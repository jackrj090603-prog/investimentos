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1" activeTab="1" autoFilterDateGrouping="1"/>
  </bookViews>
  <sheets>
    <sheet xmlns:r="http://schemas.openxmlformats.org/officeDocument/2006/relationships" name="Indicadores" sheetId="1" state="hidden" r:id="rId1"/>
    <sheet xmlns:r="http://schemas.openxmlformats.org/officeDocument/2006/relationships" name="Ações" sheetId="2" state="visible" r:id="rId2"/>
    <sheet xmlns:r="http://schemas.openxmlformats.org/officeDocument/2006/relationships" name="Dados Status Invest" sheetId="3" state="visible" r:id="rId3"/>
    <sheet xmlns:r="http://schemas.openxmlformats.org/officeDocument/2006/relationships" name="Classificação B3" sheetId="4" state="visible" r:id="rId4"/>
    <sheet xmlns:r="http://schemas.openxmlformats.org/officeDocument/2006/relationships" name="Classificacao B3" sheetId="5" state="hidden" r:id="rId5"/>
  </sheets>
  <definedNames>
    <definedName name="TICKER">#REF!</definedName>
    <definedName name="_xlnm._FilterDatabase" localSheetId="3" hidden="1">'Classificação B3'!$A$1:$H$524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_-&quot;R$&quot;\ * #,##0.00_-;\-&quot;R$&quot;\ * #,##0.00_-;_-&quot;R$&quot;\ * &quot;-&quot;??_-;_-@"/>
  </numFmts>
  <fonts count="24">
    <font>
      <name val="Arial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0"/>
    </font>
    <font>
      <name val="Arial"/>
      <family val="2"/>
      <color theme="0"/>
      <sz val="11"/>
      <u val="single"/>
    </font>
    <font>
      <name val="Calibri"/>
      <family val="2"/>
      <b val="1"/>
      <color rgb="FF392077"/>
      <sz val="9"/>
    </font>
    <font>
      <name val="Calibri"/>
      <family val="2"/>
      <color theme="1"/>
      <sz val="9"/>
    </font>
    <font>
      <name val="Calibri"/>
      <family val="2"/>
      <color rgb="FFFFCCCC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Calibri"/>
      <family val="2"/>
      <b val="1"/>
      <color theme="1"/>
      <sz val="10"/>
    </font>
    <font>
      <name val="Arial"/>
      <color theme="1"/>
      <sz val="11"/>
    </font>
    <font>
      <name val="Arial"/>
      <sz val="8"/>
    </font>
    <font>
      <name val="Arial"/>
      <color theme="10"/>
      <sz val="11"/>
      <u val="single"/>
    </font>
    <font>
      <name val="Arial"/>
      <color rgb="FF333333"/>
      <sz val="9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20"/>
    </font>
    <font>
      <name val="Calibri"/>
      <family val="2"/>
      <b val="1"/>
      <color theme="1"/>
      <sz val="9"/>
    </font>
    <font>
      <name val="Arial"/>
      <family val="2"/>
      <color rgb="FF333333"/>
      <sz val="9"/>
    </font>
  </fonts>
  <fills count="16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157EFB"/>
        <bgColor rgb="FFF6B26B"/>
      </patternFill>
    </fill>
    <fill>
      <patternFill patternType="solid">
        <fgColor rgb="FFFFFF00"/>
        <bgColor rgb="FF392077"/>
      </patternFill>
    </fill>
    <fill>
      <patternFill patternType="solid">
        <fgColor rgb="FFFFFF00"/>
        <bgColor rgb="FFF6B26B"/>
      </patternFill>
    </fill>
    <fill>
      <patternFill patternType="solid">
        <fgColor rgb="FFFFFFFF"/>
        <bgColor auto="1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rgb="FFFFCCCC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15" fillId="0" borderId="16"/>
    <xf numFmtId="9" fontId="15" fillId="0" borderId="16"/>
    <xf numFmtId="0" fontId="17" fillId="0" borderId="16"/>
    <xf numFmtId="44" fontId="15" fillId="0" borderId="16"/>
    <xf numFmtId="0" fontId="1" fillId="0" borderId="16"/>
  </cellStyleXfs>
  <cellXfs count="141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2" borderId="6" pivotButton="0" quotePrefix="0" xfId="0"/>
    <xf numFmtId="0" fontId="4" fillId="2" borderId="9" pivotButton="0" quotePrefix="0" xfId="0"/>
    <xf numFmtId="0" fontId="4" fillId="3" borderId="1" pivotButton="0" quotePrefix="0" xfId="0"/>
    <xf numFmtId="0" fontId="4" fillId="3" borderId="13" pivotButton="0" quotePrefix="0" xfId="0"/>
    <xf numFmtId="0" fontId="4" fillId="4" borderId="1" pivotButton="0" quotePrefix="0" xfId="0"/>
    <xf numFmtId="0" fontId="4" fillId="4" borderId="13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1" fillId="6" borderId="2" pivotButton="0" quotePrefix="0" xfId="0"/>
    <xf numFmtId="0" fontId="7" fillId="5" borderId="14" pivotButton="0" quotePrefix="0" xfId="0"/>
    <xf numFmtId="0" fontId="7" fillId="7" borderId="2" pivotButton="0" quotePrefix="0" xfId="0"/>
    <xf numFmtId="0" fontId="7" fillId="8" borderId="13" pivotButton="0" quotePrefix="0" xfId="0"/>
    <xf numFmtId="0" fontId="7" fillId="5" borderId="17" pivotButton="0" quotePrefix="0" xfId="0"/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4" fillId="0" borderId="0" pivotButton="0" quotePrefix="0" xfId="0"/>
    <xf numFmtId="0" fontId="12" fillId="0" borderId="7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 vertical="center"/>
    </xf>
    <xf numFmtId="0" fontId="4" fillId="0" borderId="3" pivotButton="0" quotePrefix="0" xfId="0"/>
    <xf numFmtId="0" fontId="5" fillId="9" borderId="0" applyAlignment="1" pivotButton="0" quotePrefix="0" xfId="0">
      <alignment horizontal="center" vertical="center"/>
    </xf>
    <xf numFmtId="0" fontId="14" fillId="10" borderId="4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left"/>
    </xf>
    <xf numFmtId="0" fontId="4" fillId="0" borderId="16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left" vertical="top"/>
    </xf>
    <xf numFmtId="10" fontId="6" fillId="0" borderId="18" applyAlignment="1" pivotButton="0" quotePrefix="0" xfId="1">
      <alignment horizontal="center" vertical="center"/>
    </xf>
    <xf numFmtId="4" fontId="0" fillId="0" borderId="0" pivotButton="0" quotePrefix="0" xfId="0"/>
    <xf numFmtId="0" fontId="18" fillId="12" borderId="19" applyAlignment="1" pivotButton="0" quotePrefix="0" xfId="0">
      <alignment horizontal="left" vertical="center"/>
    </xf>
    <xf numFmtId="0" fontId="18" fillId="12" borderId="19" applyAlignment="1" pivotButton="0" quotePrefix="0" xfId="0">
      <alignment horizontal="left" vertical="center" shrinkToFit="1"/>
    </xf>
    <xf numFmtId="0" fontId="0" fillId="0" borderId="0" applyAlignment="1" pivotButton="0" quotePrefix="0" xfId="0">
      <alignment horizontal="center" vertical="center"/>
    </xf>
    <xf numFmtId="0" fontId="19" fillId="13" borderId="16" applyAlignment="1" pivotButton="0" quotePrefix="0" xfId="4">
      <alignment horizontal="left"/>
    </xf>
    <xf numFmtId="0" fontId="20" fillId="0" borderId="16" pivotButton="0" quotePrefix="0" xfId="4"/>
    <xf numFmtId="0" fontId="20" fillId="14" borderId="16" pivotButton="0" quotePrefix="0" xfId="4"/>
    <xf numFmtId="10" fontId="6" fillId="0" borderId="16" applyAlignment="1" pivotButton="0" quotePrefix="0" xfId="1">
      <alignment horizontal="center" vertical="center"/>
    </xf>
    <xf numFmtId="164" fontId="0" fillId="0" borderId="0" pivotButton="0" quotePrefix="0" xfId="3"/>
    <xf numFmtId="9" fontId="0" fillId="0" borderId="0" pivotButton="0" quotePrefix="0" xfId="1"/>
    <xf numFmtId="0" fontId="11" fillId="15" borderId="2" pivotButton="0" quotePrefix="0" xfId="0"/>
    <xf numFmtId="0" fontId="5" fillId="9" borderId="26" applyAlignment="1" pivotButton="0" quotePrefix="0" xfId="0">
      <alignment horizontal="center" vertical="center" wrapText="1"/>
    </xf>
    <xf numFmtId="0" fontId="5" fillId="9" borderId="27" applyAlignment="1" pivotButton="0" quotePrefix="0" xfId="0">
      <alignment horizontal="center" vertical="center" wrapText="1"/>
    </xf>
    <xf numFmtId="0" fontId="5" fillId="9" borderId="28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/>
    </xf>
    <xf numFmtId="4" fontId="10" fillId="0" borderId="33" applyAlignment="1" pivotButton="0" quotePrefix="0" xfId="0">
      <alignment horizontal="center" vertical="center"/>
    </xf>
    <xf numFmtId="10" fontId="10" fillId="0" borderId="33" applyAlignment="1" pivotButton="0" quotePrefix="0" xfId="0">
      <alignment horizontal="center" vertical="center"/>
    </xf>
    <xf numFmtId="2" fontId="10" fillId="0" borderId="33" applyAlignment="1" pivotButton="0" quotePrefix="0" xfId="0">
      <alignment horizontal="center" vertical="center"/>
    </xf>
    <xf numFmtId="9" fontId="4" fillId="0" borderId="33" applyAlignment="1" pivotButton="0" quotePrefix="0" xfId="0">
      <alignment horizontal="center" vertical="center"/>
    </xf>
    <xf numFmtId="165" fontId="10" fillId="0" borderId="33" applyAlignment="1" pivotButton="0" quotePrefix="0" xfId="0">
      <alignment horizontal="center" vertical="center"/>
    </xf>
    <xf numFmtId="165" fontId="10" fillId="0" borderId="33" applyAlignment="1" pivotButton="0" quotePrefix="0" xfId="0">
      <alignment horizontal="left" vertical="center"/>
    </xf>
    <xf numFmtId="1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4" fontId="10" fillId="0" borderId="30" applyAlignment="1" pivotButton="0" quotePrefix="0" xfId="0">
      <alignment horizontal="center" vertical="center"/>
    </xf>
    <xf numFmtId="10" fontId="10" fillId="0" borderId="30" applyAlignment="1" pivotButton="0" quotePrefix="0" xfId="0">
      <alignment horizontal="center" vertical="center"/>
    </xf>
    <xf numFmtId="2" fontId="10" fillId="0" borderId="30" applyAlignment="1" pivotButton="0" quotePrefix="0" xfId="0">
      <alignment horizontal="center" vertical="center"/>
    </xf>
    <xf numFmtId="9" fontId="4" fillId="0" borderId="30" applyAlignment="1" pivotButton="0" quotePrefix="0" xfId="0">
      <alignment horizontal="center" vertical="center"/>
    </xf>
    <xf numFmtId="165" fontId="10" fillId="0" borderId="30" applyAlignment="1" pivotButton="0" quotePrefix="0" xfId="0">
      <alignment horizontal="center" vertical="center"/>
    </xf>
    <xf numFmtId="165" fontId="10" fillId="0" borderId="30" applyAlignment="1" pivotButton="0" quotePrefix="0" xfId="0">
      <alignment horizontal="left" vertical="center"/>
    </xf>
    <xf numFmtId="2" fontId="4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2" fontId="4" fillId="0" borderId="3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4" fontId="10" fillId="0" borderId="36" applyAlignment="1" pivotButton="0" quotePrefix="0" xfId="0">
      <alignment horizontal="center" vertical="center"/>
    </xf>
    <xf numFmtId="10" fontId="10" fillId="0" borderId="36" applyAlignment="1" pivotButton="0" quotePrefix="0" xfId="0">
      <alignment horizontal="center" vertical="center"/>
    </xf>
    <xf numFmtId="2" fontId="10" fillId="0" borderId="36" applyAlignment="1" pivotButton="0" quotePrefix="0" xfId="0">
      <alignment horizontal="center" vertical="center"/>
    </xf>
    <xf numFmtId="10" fontId="9" fillId="0" borderId="36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 wrapText="1"/>
    </xf>
    <xf numFmtId="10" fontId="6" fillId="0" borderId="16" applyAlignment="1" pivotButton="0" quotePrefix="0" xfId="1">
      <alignment horizontal="center" vertical="center"/>
    </xf>
    <xf numFmtId="9" fontId="4" fillId="0" borderId="36" applyAlignment="1" pivotButton="0" quotePrefix="0" xfId="0">
      <alignment horizontal="center" vertical="center"/>
    </xf>
    <xf numFmtId="165" fontId="10" fillId="0" borderId="36" applyAlignment="1" pivotButton="0" quotePrefix="0" xfId="0">
      <alignment horizontal="center" vertical="center"/>
    </xf>
    <xf numFmtId="165" fontId="10" fillId="0" borderId="36" applyAlignment="1" pivotButton="0" quotePrefix="0" xfId="0">
      <alignment horizontal="left" vertical="center"/>
    </xf>
    <xf numFmtId="2" fontId="4" fillId="0" borderId="37" applyAlignment="1" pivotButton="0" quotePrefix="0" xfId="0">
      <alignment horizontal="center" vertical="center"/>
    </xf>
    <xf numFmtId="0" fontId="7" fillId="5" borderId="29" pivotButton="0" quotePrefix="0" xfId="0"/>
    <xf numFmtId="0" fontId="7" fillId="5" borderId="31" pivotButton="0" quotePrefix="0" xfId="0"/>
    <xf numFmtId="0" fontId="7" fillId="5" borderId="32" pivotButton="0" quotePrefix="0" xfId="0"/>
    <xf numFmtId="0" fontId="7" fillId="5" borderId="34" pivotButton="0" quotePrefix="0" xfId="0"/>
    <xf numFmtId="0" fontId="7" fillId="5" borderId="35" pivotButton="0" quotePrefix="0" xfId="0"/>
    <xf numFmtId="0" fontId="7" fillId="5" borderId="37" pivotButton="0" quotePrefix="0" xfId="0"/>
    <xf numFmtId="10" fontId="22" fillId="0" borderId="30" applyAlignment="1" pivotButton="0" quotePrefix="0" xfId="0">
      <alignment horizontal="center" vertical="center"/>
    </xf>
    <xf numFmtId="10" fontId="22" fillId="0" borderId="33" applyAlignment="1" pivotButton="0" quotePrefix="0" xfId="0">
      <alignment horizontal="center" vertical="center"/>
    </xf>
    <xf numFmtId="10" fontId="22" fillId="0" borderId="36" applyAlignment="1" pivotButton="0" quotePrefix="0" xfId="0">
      <alignment horizontal="center" vertical="center"/>
    </xf>
    <xf numFmtId="0" fontId="23" fillId="12" borderId="19" applyAlignment="1" pivotButton="0" quotePrefix="0" xfId="0">
      <alignment horizontal="left" vertical="center"/>
    </xf>
    <xf numFmtId="0" fontId="23" fillId="12" borderId="38" applyAlignment="1" pivotButton="0" quotePrefix="0" xfId="0">
      <alignment horizontal="left" vertical="center"/>
    </xf>
    <xf numFmtId="0" fontId="14" fillId="10" borderId="20" applyAlignment="1" pivotButton="0" quotePrefix="0" xfId="0">
      <alignment horizontal="center" vertical="center" wrapText="1"/>
    </xf>
    <xf numFmtId="0" fontId="14" fillId="10" borderId="21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2" fillId="11" borderId="22" applyAlignment="1" pivotButton="0" quotePrefix="0" xfId="0">
      <alignment horizontal="center" vertical="center" wrapText="1"/>
    </xf>
    <xf numFmtId="0" fontId="2" fillId="11" borderId="23" applyAlignment="1" pivotButton="0" quotePrefix="0" xfId="0">
      <alignment horizontal="center" vertical="center" wrapText="1"/>
    </xf>
    <xf numFmtId="0" fontId="17" fillId="11" borderId="24" applyAlignment="1" pivotButton="0" quotePrefix="0" xfId="2">
      <alignment horizontal="center" vertical="center" wrapText="1"/>
    </xf>
    <xf numFmtId="0" fontId="17" fillId="11" borderId="25" applyAlignment="1" pivotButton="0" quotePrefix="0" xfId="2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21" fillId="9" borderId="16" applyAlignment="1" pivotButton="0" quotePrefix="0" xfId="0">
      <alignment horizontal="center" vertical="center" wrapText="1"/>
    </xf>
    <xf numFmtId="0" fontId="14" fillId="10" borderId="24" applyAlignment="1" pivotButton="0" quotePrefix="0" xfId="0">
      <alignment horizontal="center" vertical="center" wrapText="1"/>
    </xf>
    <xf numFmtId="0" fontId="14" fillId="10" borderId="25" applyAlignment="1" pivotButton="0" quotePrefix="0" xfId="0">
      <alignment horizontal="center" vertical="center" wrapText="1"/>
    </xf>
    <xf numFmtId="0" fontId="17" fillId="11" borderId="20" applyAlignment="1" pivotButton="0" quotePrefix="0" xfId="2">
      <alignment horizontal="center" vertical="center" wrapText="1"/>
    </xf>
    <xf numFmtId="0" fontId="17" fillId="11" borderId="21" applyAlignment="1" pivotButton="0" quotePrefix="0" xfId="2">
      <alignment horizontal="center" vertical="center" wrapText="1"/>
    </xf>
    <xf numFmtId="0" fontId="17" fillId="11" borderId="42" applyAlignment="1" pivotButton="0" quotePrefix="0" xfId="2">
      <alignment horizontal="center" vertical="center" wrapText="1"/>
    </xf>
    <xf numFmtId="0" fontId="0" fillId="0" borderId="21" pivotButton="0" quotePrefix="0" xfId="0"/>
    <xf numFmtId="0" fontId="17" fillId="11" borderId="18" applyAlignment="1" pivotButton="0" quotePrefix="0" xfId="2">
      <alignment horizontal="center" vertical="center" wrapText="1"/>
    </xf>
    <xf numFmtId="0" fontId="0" fillId="0" borderId="25" pivotButton="0" quotePrefix="0" xfId="0"/>
    <xf numFmtId="164" fontId="0" fillId="0" borderId="0" pivotButton="0" quotePrefix="0" xfId="3"/>
    <xf numFmtId="0" fontId="2" fillId="11" borderId="43" applyAlignment="1" pivotButton="0" quotePrefix="0" xfId="0">
      <alignment horizontal="center" vertical="center" wrapText="1"/>
    </xf>
    <xf numFmtId="0" fontId="0" fillId="0" borderId="23" pivotButton="0" quotePrefix="0" xfId="0"/>
    <xf numFmtId="165" fontId="10" fillId="0" borderId="30" applyAlignment="1" pivotButton="0" quotePrefix="0" xfId="0">
      <alignment horizontal="center" vertical="center"/>
    </xf>
    <xf numFmtId="165" fontId="10" fillId="0" borderId="30" applyAlignment="1" pivotButton="0" quotePrefix="0" xfId="0">
      <alignment horizontal="left" vertical="center"/>
    </xf>
    <xf numFmtId="165" fontId="10" fillId="0" borderId="33" applyAlignment="1" pivotButton="0" quotePrefix="0" xfId="0">
      <alignment horizontal="center" vertical="center"/>
    </xf>
    <xf numFmtId="165" fontId="10" fillId="0" borderId="33" applyAlignment="1" pivotButton="0" quotePrefix="0" xfId="0">
      <alignment horizontal="left" vertical="center"/>
    </xf>
    <xf numFmtId="0" fontId="12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12" fillId="0" borderId="4" applyAlignment="1" pivotButton="0" quotePrefix="0" xfId="0">
      <alignment horizontal="center" vertical="center"/>
    </xf>
    <xf numFmtId="0" fontId="12" fillId="0" borderId="4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14" fillId="10" borderId="18" applyAlignment="1" pivotButton="0" quotePrefix="0" xfId="0">
      <alignment horizontal="center" vertical="center" wrapText="1"/>
    </xf>
    <xf numFmtId="0" fontId="14" fillId="10" borderId="42" applyAlignment="1" pivotButton="0" quotePrefix="0" xfId="0">
      <alignment horizontal="center" vertical="center" wrapText="1"/>
    </xf>
    <xf numFmtId="165" fontId="10" fillId="0" borderId="36" applyAlignment="1" pivotButton="0" quotePrefix="0" xfId="0">
      <alignment horizontal="center" vertical="center"/>
    </xf>
    <xf numFmtId="165" fontId="10" fillId="0" borderId="36" applyAlignment="1" pivotButton="0" quotePrefix="0" xfId="0">
      <alignment horizontal="left" vertical="center"/>
    </xf>
  </cellXfs>
  <cellStyles count="5">
    <cellStyle name="Normal" xfId="0" builtinId="0"/>
    <cellStyle name="Porcentagem" xfId="1" builtinId="5"/>
    <cellStyle name="Hiperlink" xfId="2" builtinId="8"/>
    <cellStyle name="Moeda" xfId="3" builtinId="4"/>
    <cellStyle name="Normal 2" xfId="4"/>
  </cellStyles>
  <dxfs count="61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5999633777886288"/>
        </patternFill>
      </fill>
    </dxf>
    <dxf>
      <numFmt numFmtId="2" formatCode="0.00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R$&quot;\ * #,##0.00_-;\-&quot;R$&quot;\ * #,##0.00_-;_-&quot;R$&quot;\ * &quot;-&quot;??_-;_-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R$&quot;\ * #,##0.00_-;\-&quot;R$&quot;\ * #,##0.00_-;_-&quot;R$&quot;\ * &quot;-&quot;??_-;_-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R$&quot;\ * #,##0.00_-;\-&quot;R$&quot;\ * #,##0.00_-;_-&quot;R$&quot;\ * &quot;-&quot;??_-;_-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R$&quot;\ * #,##0.00_-;\-&quot;R$&quot;\ * #,##0.00_-;_-&quot;R$&quot;\ * &quot;-&quot;??_-;_-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14" formatCode="0.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4" formatCode="#,##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92077"/>
        <extend val="0"/>
        <sz val="9"/>
        <vertAlign val="baseline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auto="1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rgb="FFF6B26B"/>
          <bgColor rgb="FF157EFB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3" defaultTableStyle="TableStyleMedium9" defaultPivotStyle="PivotStyleLight16">
    <tableStyle name="Ações-style" pivot="0" count="3">
      <tableStyleElement type="headerRow" dxfId="60"/>
      <tableStyleElement type="firstRowStripe" dxfId="59"/>
      <tableStyleElement type="secondRowStripe" dxfId="58"/>
    </tableStyle>
    <tableStyle name="Dados Status Invest-style" pivot="0" count="6">
      <tableStyleElement type="headerRow" dxfId="57"/>
      <tableStyleElement type="firstColumn" dxfId="56"/>
      <tableStyleElement type="firstRowStripe" dxfId="55"/>
      <tableStyleElement type="secondRowStripe" dxfId="54"/>
      <tableStyleElement type="firstColumnStripe" dxfId="53"/>
      <tableStyleElement type="secondColumnStripe" dxfId="52"/>
    </tableStyle>
    <tableStyle name="Classificacao B3-style" pivot="0" count="3">
      <tableStyleElement type="headerRow" dxfId="51"/>
      <tableStyleElement type="firstRowStripe" dxfId="50"/>
      <tableStyleElement type="secondRowStripe" dxfId="4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4</col>
      <colOff>1846385</colOff>
      <row>2</row>
      <rowOff>124558</rowOff>
    </from>
    <to>
      <col>23</col>
      <colOff>613369</colOff>
      <row>7</row>
      <rowOff>249368</rowOff>
    </to>
    <grpSp>
      <nvGrpSpPr>
        <cNvPr id="2" name="Agrupar 1"/>
        <cNvGrpSpPr/>
      </nvGrpSpPr>
      <grpSpPr>
        <a:xfrm xmlns:a="http://schemas.openxmlformats.org/drawingml/2006/main" rot="0">
          <a:off x="5870698" y="374589"/>
          <a:ext cx="7887171" cy="1077310"/>
          <a:chOff x="7959968" y="4423322"/>
          <a:chExt cx="6871654" cy="1933366"/>
        </a:xfrm>
      </grpSpPr>
      <pic>
        <nvPicPr>
          <cNvPr id="4" name="Imagem 3" descr="Texto, Logotipo&#10;&#10;Descrição gerada automaticamente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7959968" y="4609060"/>
            <a:ext cx="5095037" cy="1747628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tables/table1.xml><?xml version="1.0" encoding="utf-8"?>
<table xmlns="http://schemas.openxmlformats.org/spreadsheetml/2006/main" id="1" name="Table_1" displayName="Table_1" ref="B15:AE702" headerRowCount="1" headerRowDxfId="48" headerRowBorderDxfId="47">
  <autoFilter ref="B15:AE702"/>
  <tableColumns count="30">
    <tableColumn id="1" name="AÇÕES" dataDxfId="46">
      <calculatedColumnFormula>'Dados Status Invest'!A2</calculatedColumnFormula>
    </tableColumn>
    <tableColumn id="2" name="Nome Empresa" dataDxfId="45"/>
    <tableColumn id="12" name="Setor" dataDxfId="44">
      <calculatedColumnFormula>VLOOKUP(Table_1[[#This Row],[AÇÕES]],'Classificação B3'!A:D,4,0)</calculatedColumnFormula>
    </tableColumn>
    <tableColumn id="3" name="Segmento" dataDxfId="43"/>
    <tableColumn id="21" name="CÍCLICO" dataDxfId="42">
      <calculatedColumnFormula>VLOOKUP(Table_1[[#This Row],[AÇÕES]],'Classificação B3'!A:G,7,0)</calculatedColumnFormula>
    </tableColumn>
    <tableColumn id="32" name="PREÇO" dataDxfId="41">
      <calculatedColumnFormula>VLOOKUP(Table_1[[#This Row],[AÇÕES]],'Dados Status Invest'!A:B,2,0)</calculatedColumnFormula>
    </tableColumn>
    <tableColumn id="33" name="DY" dataDxfId="40">
      <calculatedColumnFormula>VLOOKUP(Table_1[[#This Row],[AÇÕES]],'Dados Status Invest'!A:C,3,0)/100</calculatedColumnFormula>
    </tableColumn>
    <tableColumn id="19" name="P/L" dataDxfId="39">
      <calculatedColumnFormula>VLOOKUP(Table_1[[#This Row],[AÇÕES]],'Dados Status Invest'!A:D,4,0)/100</calculatedColumnFormula>
    </tableColumn>
    <tableColumn id="29" name="LPA" dataDxfId="38">
      <calculatedColumnFormula>VLOOKUP(Table_1[[#This Row],[AÇÕES]],'Dados Status Invest'!A:AB,28,0)</calculatedColumnFormula>
    </tableColumn>
    <tableColumn id="28" name="VPA" dataDxfId="37">
      <calculatedColumnFormula>VLOOKUP(Table_1[[#This Row],[AÇÕES]],'Dados Status Invest'!A:AA,27,0)</calculatedColumnFormula>
    </tableColumn>
    <tableColumn id="27" name="DPA" dataDxfId="36">
      <calculatedColumnFormula>Table_1[[#This Row],[PREÇO]]*Table_1[[#This Row],[DY]]</calculatedColumnFormula>
    </tableColumn>
    <tableColumn id="26" name="RISCO" dataDxfId="35">
      <calculatedColumnFormula>$E$13</calculatedColumnFormula>
    </tableColumn>
    <tableColumn id="20" name="MARGEM DE DESCONTO" dataDxfId="34"/>
    <tableColumn id="23" name="PAYOUT" dataDxfId="33">
      <calculatedColumnFormula>Table_1[[#This Row],[DPA]]/Table_1[[#This Row],[LPA]]</calculatedColumnFormula>
    </tableColumn>
    <tableColumn id="13" name="CRESCIMNETO OU DIVIDENDOS" dataDxfId="32">
      <calculatedColumnFormula>IF(Table_1[[#This Row],[PAYOUT]]&lt;=40%,"CRESCIMENTO",IF(Table_1[[#This Row],[PAYOUT]]&lt;=60%,"INDEFINIDO","DIVIDENDOS"))</calculatedColumnFormula>
    </tableColumn>
    <tableColumn id="25" name="ROE" dataDxfId="31">
      <calculatedColumnFormula>VLOOKUP(Table_1[[#This Row],[AÇÕES]],'Dados Status Invest'!A:R,18,0)/100</calculatedColumnFormula>
    </tableColumn>
    <tableColumn id="39" name="CAGR LUCRO 5A" dataDxfId="30">
      <calculatedColumnFormula>VLOOKUP(Table_1[[#This Row],[AÇÕES]],'Dados Status Invest'!A:Y,25,0)/100</calculatedColumnFormula>
    </tableColumn>
    <tableColumn id="38" name="CRESCIMENTO DAMODARAN" dataDxfId="29">
      <calculatedColumnFormula>(1-Table_1[[#This Row],[PAYOUT]])*Table_1[[#This Row],[ROE]]</calculatedColumnFormula>
    </tableColumn>
    <tableColumn id="40" name="MÉDIA DE CRESCIMENTO" dataDxfId="28">
      <calculatedColumnFormula>AVERAGE(Table_1[[#This Row],[CAGR LUCRO 5A]],Table_1[[#This Row],[CRESCIMENTO DAMODARAN]])</calculatedColumnFormula>
    </tableColumn>
    <tableColumn id="4" name="DESC. BAZIN" dataDxfId="27">
      <calculatedColumnFormula>(Table_1[[#This Row],[PREÇO JUSTO BAZIN]]-Table_1[[#This Row],[PREÇO]])/Table_1[[#This Row],[PREÇO JUSTO BAZIN]]</calculatedColumnFormula>
    </tableColumn>
    <tableColumn id="5" name="PREÇO JUSTO BAZIN" dataDxfId="26">
      <calculatedColumnFormula>Table_1[[#This Row],[DPA]]/6%</calculatedColumnFormula>
    </tableColumn>
    <tableColumn id="14" name="PREÇO TETO BAZIN" dataDxfId="25">
      <calculatedColumnFormula>Table_1[[#This Row],[PREÇO JUSTO BAZIN]]/(1+Table_1[[#This Row],[MARGEM DE DESCONTO]])</calculatedColumnFormula>
    </tableColumn>
    <tableColumn id="6" name="DESC. GRAHAM" dataDxfId="24">
      <calculatedColumnFormula>(Table_1[[#This Row],[PREÇO JUSTO GRAHAM]]-Table_1[[#This Row],[PREÇO]])/Table_1[[#This Row],[PREÇO JUSTO GRAHAM]]</calculatedColumnFormula>
    </tableColumn>
    <tableColumn id="7" name="PREÇO JUSTO GRAHAM" dataDxfId="23">
      <calculatedColumnFormula>(22.5*Table_1[[#This Row],[LPA]]*Table_1[[#This Row],[VPA]])^0.5</calculatedColumnFormula>
    </tableColumn>
    <tableColumn id="18" name="PREÇO TETO GRAHAM" dataDxfId="22">
      <calculatedColumnFormula>Table_1[[#This Row],[PREÇO JUSTO GRAHAM]]/(1+Table_1[[#This Row],[MARGEM DE DESCONTO]])</calculatedColumnFormula>
    </tableColumn>
    <tableColumn id="8" name="DESC. GORDON" dataDxfId="21">
      <calculatedColumnFormula>(Table_1[[#This Row],[PREÇO JUSTO GORDON]]-Table_1[[#This Row],[PREÇO]])/Table_1[[#This Row],[PREÇO JUSTO GORDON]]</calculatedColumnFormula>
    </tableColumn>
    <tableColumn id="10" name="D1" dataDxfId="20"/>
    <tableColumn id="16" name="PREÇO JUSTO GORDON" dataDxfId="19">
      <calculatedColumnFormula>Table_1[[#This Row],[D1]]/(Table_1[[#This Row],[RISCO]]-Table_1[[#This Row],[MÉDIA DE CRESCIMENTO]])</calculatedColumnFormula>
    </tableColumn>
    <tableColumn id="17" name="PREÇO TETO GORDON" dataDxfId="18">
      <calculatedColumnFormula>Table_1[[#This Row],[PREÇO JUSTO GORDON]]/(1+Table_1[[#This Row],[MARGEM DE DESCONTO]])</calculatedColumnFormula>
    </tableColumn>
    <tableColumn id="11" name="ÍNDICE PEG" dataDxfId="17">
      <calculatedColumnFormula>Table_1[[#This Row],[P/L]]/Table_1[[#This Row],[MÉDIA DE CRESCIMENTO]]</calculatedColumnFormula>
    </tableColumn>
  </tableColumns>
  <tableStyleInfo name="Ações-style" showFirstColumn="1" showLastColumn="1" showRowStripes="1" showColumnStripes="0"/>
</table>
</file>

<file path=xl/tables/table2.xml><?xml version="1.0" encoding="utf-8"?>
<table xmlns="http://schemas.openxmlformats.org/spreadsheetml/2006/main" id="2" name="Table_3" displayName="Table_3" ref="A1:C589" headerRowCount="1">
  <tableColumns count="3">
    <tableColumn id="1" name="Ticker"/>
    <tableColumn id="2" name="Nome"/>
    <tableColumn id="3" name="Setor"/>
  </tableColumns>
  <tableStyleInfo name="Classificacao B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eqef.fgv.br/bancos-de-dados" TargetMode="External" Id="rId1"/><Relationship Type="http://schemas.openxmlformats.org/officeDocument/2006/relationships/hyperlink" Target="https://www.ibge.gov.br/explica/inflacao.php" TargetMode="External" Id="rId2"/><Relationship Type="http://schemas.openxmlformats.org/officeDocument/2006/relationships/hyperlink" Target="https://ceqef.fgv.br/banco-de-dados" TargetMode="External" Id="rId3"/><Relationship Type="http://schemas.openxmlformats.org/officeDocument/2006/relationships/drawing" Target="/xl/drawings/drawing1.xml" Id="rId4"/><Relationship Type="http://schemas.openxmlformats.org/officeDocument/2006/relationships/table" Target="/xl/tables/table1.xml" Id="rId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9.8984375" customWidth="1" min="1" max="1"/>
    <col width="29.09765625" customWidth="1" min="2" max="2"/>
    <col width="31.3984375" customWidth="1" min="3" max="3"/>
    <col width="7.59765625" customWidth="1" min="4" max="26"/>
  </cols>
  <sheetData>
    <row r="1" ht="14.4" customHeight="1">
      <c r="A1" s="1" t="inlineStr">
        <is>
          <t>Indicadores</t>
        </is>
      </c>
      <c r="B1" s="2" t="inlineStr">
        <is>
          <t>Nome</t>
        </is>
      </c>
      <c r="C1" s="2" t="inlineStr">
        <is>
          <t>Fórmula</t>
        </is>
      </c>
    </row>
    <row r="2" ht="14.4" customHeight="1">
      <c r="A2" s="3" t="inlineStr">
        <is>
          <t>DY</t>
        </is>
      </c>
      <c r="B2" s="4" t="inlineStr">
        <is>
          <t>Dividend Yield</t>
        </is>
      </c>
      <c r="C2" s="4" t="inlineStr">
        <is>
          <t>Dividendos (12 meses) / Preço da Ação</t>
        </is>
      </c>
    </row>
    <row r="3" ht="14.4" customHeight="1">
      <c r="A3" s="3" t="inlineStr">
        <is>
          <t>LPA</t>
        </is>
      </c>
      <c r="B3" s="4" t="inlineStr">
        <is>
          <t>Lucro Por Ação</t>
        </is>
      </c>
      <c r="C3" s="4" t="inlineStr">
        <is>
          <t>Lucro Líquido / Qtde de Ações</t>
        </is>
      </c>
    </row>
    <row r="4" ht="14.4" customHeight="1">
      <c r="A4" s="3" t="inlineStr">
        <is>
          <t>VPA</t>
        </is>
      </c>
      <c r="B4" s="3" t="inlineStr">
        <is>
          <t>Valor Patrimonial por Ação</t>
        </is>
      </c>
      <c r="C4" s="5" t="inlineStr">
        <is>
          <t>Patrimônio Líquido / Qtde de Ações</t>
        </is>
      </c>
    </row>
    <row r="5" ht="14.4" customHeight="1">
      <c r="A5" s="3" t="inlineStr">
        <is>
          <t>CAGR</t>
        </is>
      </c>
      <c r="B5" s="3" t="inlineStr">
        <is>
          <t>Taxa de Cresc. Anual Composta</t>
        </is>
      </c>
      <c r="C5" s="3" t="inlineStr">
        <is>
          <t>(Valor Final / Valor Inicial)^(1 / Qtde Anos) - 1</t>
        </is>
      </c>
    </row>
    <row r="6" ht="14.4" customHeight="1">
      <c r="A6" s="3" t="inlineStr">
        <is>
          <t>DPA</t>
        </is>
      </c>
      <c r="B6" s="3" t="inlineStr">
        <is>
          <t>Dividendo por Ação</t>
        </is>
      </c>
      <c r="C6" s="3" t="inlineStr">
        <is>
          <t>Payout / LPA</t>
        </is>
      </c>
    </row>
    <row r="7" ht="14.4" customHeight="1">
      <c r="A7" s="3" t="inlineStr">
        <is>
          <t>PAYOUT</t>
        </is>
      </c>
      <c r="B7" s="3" t="inlineStr">
        <is>
          <t>Percentual Lucro Líquido Distribuído</t>
        </is>
      </c>
      <c r="C7" s="5" t="inlineStr">
        <is>
          <t>DPA / LPA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2:AK999"/>
  <sheetViews>
    <sheetView showGridLines="0" tabSelected="1" zoomScale="64" zoomScaleNormal="100" workbookViewId="0">
      <selection activeCell="AE16" sqref="AE16"/>
    </sheetView>
  </sheetViews>
  <sheetFormatPr baseColWidth="8" defaultColWidth="12.59765625" defaultRowHeight="15" customHeight="1"/>
  <cols>
    <col width="0.59765625" customWidth="1" min="1" max="1"/>
    <col width="6.3984375" bestFit="1" customWidth="1" min="2" max="2"/>
    <col width="24.59765625" bestFit="1" customWidth="1" min="3" max="3"/>
    <col width="21.19921875" bestFit="1" customWidth="1" min="4" max="4"/>
    <col width="35.5" bestFit="1" customWidth="1" min="5" max="5"/>
    <col width="6.8984375" bestFit="1" customWidth="1" min="6" max="6"/>
    <col width="9.69921875" customWidth="1" min="7" max="7"/>
    <col hidden="1" width="6.59765625" customWidth="1" min="8" max="8"/>
    <col hidden="1" width="9.59765625" customWidth="1" min="9" max="9"/>
    <col hidden="1" width="7.3984375" customWidth="1" min="10" max="10"/>
    <col hidden="1" width="8.09765625" customWidth="1" min="11" max="11"/>
    <col hidden="1" width="7.8984375" customWidth="1" min="12" max="12"/>
    <col hidden="1" width="10.69921875" customWidth="1" min="13" max="14"/>
    <col hidden="1" width="12.3984375" customWidth="1" min="15" max="15"/>
    <col width="12.3984375" customWidth="1" min="16" max="16"/>
    <col hidden="1" width="7.3984375" customWidth="1" min="17" max="17"/>
    <col hidden="1" width="13.3984375" customWidth="1" min="18" max="18"/>
    <col hidden="1" width="18.3984375" customWidth="1" min="19" max="19"/>
    <col width="16.09765625" customWidth="1" min="20" max="20"/>
    <col width="10.3984375" customWidth="1" min="21" max="21"/>
    <col width="14.3984375" customWidth="1" min="22" max="23"/>
    <col width="13" customWidth="1" min="24" max="24"/>
    <col width="13.3984375" customWidth="1" min="25" max="26"/>
    <col width="12.69921875" customWidth="1" min="27" max="27"/>
    <col width="11" customWidth="1" min="28" max="30"/>
    <col width="8.59765625" customWidth="1" min="31" max="31"/>
    <col width="5.09765625" customWidth="1" min="32" max="32"/>
    <col width="23.5" customWidth="1" min="33" max="33"/>
    <col width="23.5" bestFit="1" customWidth="1" min="34" max="34"/>
    <col width="14.59765625" customWidth="1" min="35" max="36"/>
    <col width="20.59765625" customWidth="1" min="37" max="37"/>
  </cols>
  <sheetData>
    <row r="1" ht="5.25" customHeight="1"/>
    <row r="2" ht="15" customHeight="1"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12" t="inlineStr">
        <is>
          <t>https://ceqef.fgv.br/bancos-de-dados</t>
        </is>
      </c>
    </row>
    <row r="3" ht="15" customHeight="1">
      <c r="B3" s="35" t="n"/>
      <c r="C3" s="115" t="inlineStr">
        <is>
          <t>MONITOR DE VALUATION DO MIRA</t>
        </is>
      </c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  <c r="AF3" s="12" t="n"/>
    </row>
    <row r="4" ht="15" customHeight="1">
      <c r="B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12" t="n"/>
    </row>
    <row r="5" ht="15" customHeight="1">
      <c r="B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12" t="n"/>
    </row>
    <row r="6" ht="15" customHeight="1">
      <c r="B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12" t="n"/>
    </row>
    <row r="7" ht="15" customHeight="1">
      <c r="B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</row>
    <row r="8" ht="22.5" customHeight="1">
      <c r="B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</row>
    <row r="9" ht="22.5" customHeight="1"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</row>
    <row r="10" ht="4.5" customHeight="1" thickBot="1">
      <c r="A10" s="5" t="n"/>
      <c r="B10" s="29" t="n"/>
      <c r="C10" s="29" t="n"/>
      <c r="D10" s="29" t="n"/>
      <c r="E10" s="30" t="n"/>
      <c r="F10" s="29" t="n"/>
      <c r="G10" s="32" t="n"/>
      <c r="H10" s="33" t="n"/>
      <c r="I10" s="43" t="n"/>
      <c r="J10" s="32" t="n"/>
      <c r="K10" s="32" t="n"/>
      <c r="L10" s="32" t="n"/>
      <c r="M10" s="32" t="n"/>
      <c r="N10" s="40" t="n"/>
      <c r="O10" s="32" t="n"/>
      <c r="P10" s="40" t="n"/>
      <c r="Q10" s="32" t="n"/>
      <c r="R10" s="34" t="n"/>
      <c r="S10" s="34" t="n"/>
      <c r="T10" s="34" t="n"/>
      <c r="U10" s="31" t="n"/>
      <c r="V10" s="31" t="n"/>
      <c r="W10" s="44" t="n"/>
      <c r="X10" s="31" t="n"/>
      <c r="Y10" s="31" t="n"/>
      <c r="Z10" s="44" t="n"/>
      <c r="AA10" s="31" t="n"/>
      <c r="AB10" s="31" t="n"/>
      <c r="AC10" s="44" t="n"/>
      <c r="AD10" s="44" t="n"/>
      <c r="AE10" s="31" t="n"/>
      <c r="AF10" s="5" t="n"/>
    </row>
    <row r="11" ht="13.5" customHeight="1" thickBot="1">
      <c r="A11" s="5" t="n"/>
      <c r="B11" s="29" t="n"/>
      <c r="C11" s="120" t="inlineStr">
        <is>
          <t>IPCA</t>
        </is>
      </c>
      <c r="D11" s="121" t="n"/>
      <c r="E11" s="45" t="n">
        <v>0.045</v>
      </c>
      <c r="F11" s="86" t="n"/>
      <c r="G11" s="40" t="n"/>
      <c r="H11" s="43" t="n"/>
      <c r="I11" s="43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1" t="n"/>
      <c r="S11" s="41" t="n"/>
      <c r="T11" s="41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5" t="n"/>
    </row>
    <row r="12" ht="13.5" customHeight="1" thickBot="1">
      <c r="A12" s="5" t="n"/>
      <c r="B12" s="29" t="n"/>
      <c r="C12" s="122" t="inlineStr">
        <is>
          <t>ERP</t>
        </is>
      </c>
      <c r="D12" s="123" t="n"/>
      <c r="E12" s="45" t="n">
        <v>0.09030000000000001</v>
      </c>
      <c r="F12" s="86" t="n"/>
      <c r="G12" s="40" t="n"/>
      <c r="H12" s="43" t="n"/>
      <c r="I12" s="43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1" t="n"/>
      <c r="S12" s="41" t="n"/>
      <c r="T12" s="41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5" t="n"/>
      <c r="AG12" s="124" t="n"/>
      <c r="AH12" s="55" t="n"/>
    </row>
    <row r="13" ht="16.2" customHeight="1" thickBot="1">
      <c r="A13" s="5" t="n"/>
      <c r="B13" s="29" t="n"/>
      <c r="C13" s="125" t="inlineStr">
        <is>
          <t>PRêMIO DE RISCO</t>
        </is>
      </c>
      <c r="D13" s="126" t="n"/>
      <c r="E13" s="45" t="n">
        <v>0.1353</v>
      </c>
      <c r="F13" s="86" t="n"/>
      <c r="G13" s="40" t="n"/>
      <c r="H13" s="43" t="n"/>
      <c r="I13" s="43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1" t="n"/>
      <c r="S13" s="41" t="n"/>
      <c r="T13" s="41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5" t="n"/>
    </row>
    <row r="14" ht="3.75" customHeight="1" thickBot="1">
      <c r="A14" s="5" t="n"/>
      <c r="B14" s="29" t="n"/>
      <c r="C14" s="85" t="n"/>
      <c r="D14" s="85" t="n"/>
      <c r="E14" s="86" t="n"/>
      <c r="F14" s="86" t="n"/>
      <c r="G14" s="40" t="n"/>
      <c r="H14" s="43" t="n"/>
      <c r="I14" s="43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1" t="n"/>
      <c r="S14" s="41" t="n"/>
      <c r="T14" s="41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5" t="n"/>
    </row>
    <row r="15" ht="44.25" customFormat="1" customHeight="1" s="42" thickBot="1">
      <c r="B15" s="57" t="inlineStr">
        <is>
          <t>AÇÕES</t>
        </is>
      </c>
      <c r="C15" s="58" t="inlineStr">
        <is>
          <t>Nome Empresa</t>
        </is>
      </c>
      <c r="D15" s="58" t="inlineStr">
        <is>
          <t>Setor</t>
        </is>
      </c>
      <c r="E15" s="58" t="inlineStr">
        <is>
          <t>Segmento</t>
        </is>
      </c>
      <c r="F15" s="58" t="inlineStr">
        <is>
          <t>CÍCLICO</t>
        </is>
      </c>
      <c r="G15" s="58" t="inlineStr">
        <is>
          <t>PREÇO</t>
        </is>
      </c>
      <c r="H15" s="58" t="inlineStr">
        <is>
          <t>DY</t>
        </is>
      </c>
      <c r="I15" s="58" t="inlineStr">
        <is>
          <t>P/L</t>
        </is>
      </c>
      <c r="J15" s="58" t="inlineStr">
        <is>
          <t>LPA</t>
        </is>
      </c>
      <c r="K15" s="58" t="inlineStr">
        <is>
          <t>VPA</t>
        </is>
      </c>
      <c r="L15" s="58" t="inlineStr">
        <is>
          <t>DPA</t>
        </is>
      </c>
      <c r="M15" s="58" t="inlineStr">
        <is>
          <t>RISCO</t>
        </is>
      </c>
      <c r="N15" s="58" t="inlineStr">
        <is>
          <t>MARGEM DE DESCONTO</t>
        </is>
      </c>
      <c r="O15" s="58" t="inlineStr">
        <is>
          <t>PAYOUT</t>
        </is>
      </c>
      <c r="P15" s="58" t="inlineStr">
        <is>
          <t>CRESCIMNETO OU DIVIDENDOS</t>
        </is>
      </c>
      <c r="Q15" s="58" t="inlineStr">
        <is>
          <t>ROE</t>
        </is>
      </c>
      <c r="R15" s="58" t="inlineStr">
        <is>
          <t>CAGR LUCRO 5A</t>
        </is>
      </c>
      <c r="S15" s="58" t="inlineStr">
        <is>
          <t>CRESCIMENTO DAMODARAN</t>
        </is>
      </c>
      <c r="T15" s="58" t="inlineStr">
        <is>
          <t>MÉDIA DE CRESCIMENTO</t>
        </is>
      </c>
      <c r="U15" s="58" t="inlineStr">
        <is>
          <t>DESC. BAZIN</t>
        </is>
      </c>
      <c r="V15" s="58" t="inlineStr">
        <is>
          <t>PREÇO JUSTO BAZIN</t>
        </is>
      </c>
      <c r="W15" s="58" t="inlineStr">
        <is>
          <t>PREÇO TETO BAZIN</t>
        </is>
      </c>
      <c r="X15" s="58" t="inlineStr">
        <is>
          <t>DESC. GRAHAM</t>
        </is>
      </c>
      <c r="Y15" s="58" t="inlineStr">
        <is>
          <t>PREÇO JUSTO GRAHAM</t>
        </is>
      </c>
      <c r="Z15" s="58" t="inlineStr">
        <is>
          <t>PREÇO TETO GRAHAM</t>
        </is>
      </c>
      <c r="AA15" s="58" t="inlineStr">
        <is>
          <t>DESC. GORDON</t>
        </is>
      </c>
      <c r="AB15" s="58" t="inlineStr">
        <is>
          <t>D1</t>
        </is>
      </c>
      <c r="AC15" s="58" t="inlineStr">
        <is>
          <t>PREÇO JUSTO GORDON</t>
        </is>
      </c>
      <c r="AD15" s="58" t="inlineStr">
        <is>
          <t>PREÇO TETO GORDON</t>
        </is>
      </c>
      <c r="AE15" s="59" t="inlineStr">
        <is>
          <t>ÍNDICE PEG</t>
        </is>
      </c>
    </row>
    <row r="16" thickBot="1">
      <c r="B16" s="68">
        <f>'Dados Status Invest'!A2</f>
        <v/>
      </c>
      <c r="C16" s="69">
        <f>VLOOKUP(Table_1[[#This Row],[AÇÕES]],'Classificação B3'!A:B,2,0)</f>
        <v/>
      </c>
      <c r="D16" s="69">
        <f>VLOOKUP(Table_1[[#This Row],[AÇÕES]],'Classificação B3'!A:D,4,0)</f>
        <v/>
      </c>
      <c r="E16" s="69">
        <f>VLOOKUP(Table_1[[#This Row],[AÇÕES]],'Classificação B3'!A:F,6,0)</f>
        <v/>
      </c>
      <c r="F16" s="69">
        <f>VLOOKUP(Table_1[[#This Row],[AÇÕES]],'Classificação B3'!A:G,7,0)</f>
        <v/>
      </c>
      <c r="G16" s="70">
        <f>VLOOKUP(Table_1[[#This Row],[AÇÕES]],'Dados Status Invest'!A:B,2,0)</f>
        <v/>
      </c>
      <c r="H16" s="71">
        <f>VLOOKUP(Table_1[[#This Row],[AÇÕES]],'Dados Status Invest'!A:C,3,0)/100</f>
        <v/>
      </c>
      <c r="I16" s="71">
        <f>VLOOKUP(Table_1[[#This Row],[AÇÕES]],'Dados Status Invest'!A:D,4,0)/100</f>
        <v/>
      </c>
      <c r="J16" s="72">
        <f>VLOOKUP(Table_1[[#This Row],[AÇÕES]],'Dados Status Invest'!A:AB,28,0)</f>
        <v/>
      </c>
      <c r="K16" s="72">
        <f>VLOOKUP(Table_1[[#This Row],[AÇÕES]],'Dados Status Invest'!A:AA,27,0)</f>
        <v/>
      </c>
      <c r="L16" s="72">
        <f>Table_1[[#This Row],[PREÇO]]*Table_1[[#This Row],[DY]]</f>
        <v/>
      </c>
      <c r="M16" s="71">
        <f>$E$13</f>
        <v/>
      </c>
      <c r="N16" s="71" t="n">
        <v>0.3</v>
      </c>
      <c r="O16" s="71">
        <f>Table_1[[#This Row],[DPA]]/Table_1[[#This Row],[LPA]]</f>
        <v/>
      </c>
      <c r="P16" s="71">
        <f>IF(Table_1[[#This Row],[PAYOUT]]&lt;=40%,"CRESCIMENTO",IF(Table_1[[#This Row],[PAYOUT]]&lt;=60%,"INDEFINIDO","DIVIDENDOS"))</f>
        <v/>
      </c>
      <c r="Q16" s="71">
        <f>VLOOKUP(Table_1[[#This Row],[AÇÕES]],'Dados Status Invest'!A:R,18,0)/100</f>
        <v/>
      </c>
      <c r="R16" s="71">
        <f>VLOOKUP(Table_1[[#This Row],[AÇÕES]],'Dados Status Invest'!A:Y,25,0)/100</f>
        <v/>
      </c>
      <c r="S16" s="71">
        <f>(1-Table_1[[#This Row],[PAYOUT]])*Table_1[[#This Row],[ROE]]</f>
        <v/>
      </c>
      <c r="T16" s="97">
        <f>AVERAGE(Table_1[[#This Row],[CAGR LUCRO 5A]],Table_1[[#This Row],[CRESCIMENTO DAMODARAN]])</f>
        <v/>
      </c>
      <c r="U16" s="73">
        <f>(Table_1[[#This Row],[PREÇO JUSTO BAZIN]]-Table_1[[#This Row],[PREÇO]])/Table_1[[#This Row],[PREÇO JUSTO BAZIN]]</f>
        <v/>
      </c>
      <c r="V16" s="127">
        <f>Table_1[[#This Row],[DPA]]/6%</f>
        <v/>
      </c>
      <c r="W16" s="127">
        <f>Table_1[[#This Row],[PREÇO JUSTO BAZIN]]/(1+Table_1[[#This Row],[MARGEM DE DESCONTO]])</f>
        <v/>
      </c>
      <c r="X16" s="73">
        <f>(Table_1[[#This Row],[PREÇO JUSTO GRAHAM]]-Table_1[[#This Row],[PREÇO]])/Table_1[[#This Row],[PREÇO JUSTO GRAHAM]]</f>
        <v/>
      </c>
      <c r="Y16" s="127">
        <f>(22.5*Table_1[[#This Row],[LPA]]*Table_1[[#This Row],[VPA]])^0.5</f>
        <v/>
      </c>
      <c r="Z16" s="127">
        <f>Table_1[[#This Row],[PREÇO JUSTO GRAHAM]]/(1+Table_1[[#This Row],[MARGEM DE DESCONTO]])</f>
        <v/>
      </c>
      <c r="AA16" s="73">
        <f>(Table_1[[#This Row],[PREÇO JUSTO GORDON]]-Table_1[[#This Row],[PREÇO]])/Table_1[[#This Row],[PREÇO JUSTO GORDON]]</f>
        <v/>
      </c>
      <c r="AB16" s="128">
        <f>Table_1[[#This Row],[DPA]]*(1+Table_1[[#This Row],[MÉDIA DE CRESCIMENTO]])</f>
        <v/>
      </c>
      <c r="AC16" s="128">
        <f>Table_1[[#This Row],[D1]]/(Table_1[[#This Row],[RISCO]]-Table_1[[#This Row],[MÉDIA DE CRESCIMENTO]])</f>
        <v/>
      </c>
      <c r="AD16" s="128">
        <f>Table_1[[#This Row],[PREÇO JUSTO GORDON]]/(1+Table_1[[#This Row],[MARGEM DE DESCONTO]])</f>
        <v/>
      </c>
      <c r="AE16" s="76">
        <f>Table_1[[#This Row],[P/L]]/Table_1[[#This Row],[MÉDIA DE CRESCIMENTO]]</f>
        <v/>
      </c>
      <c r="AG16" s="36" t="inlineStr">
        <is>
          <t>REGRA DE COLORAÇÃO</t>
        </is>
      </c>
      <c r="AH16" s="37" t="inlineStr">
        <is>
          <t>BAZIN</t>
        </is>
      </c>
      <c r="AI16" s="37" t="inlineStr">
        <is>
          <t>GRAHAM</t>
        </is>
      </c>
      <c r="AJ16" s="37" t="inlineStr">
        <is>
          <t>GORDON</t>
        </is>
      </c>
      <c r="AK16" s="38" t="inlineStr">
        <is>
          <t>PEG</t>
        </is>
      </c>
    </row>
    <row r="17" ht="14.4" customHeight="1">
      <c r="B17" s="77">
        <f>'Dados Status Invest'!A3</f>
        <v/>
      </c>
      <c r="C17" s="60">
        <f>VLOOKUP(Table_1[[#This Row],[AÇÕES]],'Classificação B3'!A:B,2,0)</f>
        <v/>
      </c>
      <c r="D17" s="60">
        <f>VLOOKUP(Table_1[[#This Row],[AÇÕES]],'Classificação B3'!A:D,4,0)</f>
        <v/>
      </c>
      <c r="E17" s="60">
        <f>VLOOKUP(Table_1[[#This Row],[AÇÕES]],'Classificação B3'!A:F,6,0)</f>
        <v/>
      </c>
      <c r="F17" s="60">
        <f>VLOOKUP(Table_1[[#This Row],[AÇÕES]],'Classificação B3'!A:G,7,0)</f>
        <v/>
      </c>
      <c r="G17" s="61">
        <f>VLOOKUP(Table_1[[#This Row],[AÇÕES]],'Dados Status Invest'!A:B,2,0)</f>
        <v/>
      </c>
      <c r="H17" s="62">
        <f>VLOOKUP(Table_1[[#This Row],[AÇÕES]],'Dados Status Invest'!A:C,3,0)/100</f>
        <v/>
      </c>
      <c r="I17" s="62">
        <f>VLOOKUP(Table_1[[#This Row],[AÇÕES]],'Dados Status Invest'!A:D,4,0)/100</f>
        <v/>
      </c>
      <c r="J17" s="63">
        <f>VLOOKUP(Table_1[[#This Row],[AÇÕES]],'Dados Status Invest'!A:AB,28,0)</f>
        <v/>
      </c>
      <c r="K17" s="63">
        <f>VLOOKUP(Table_1[[#This Row],[AÇÕES]],'Dados Status Invest'!A:AA,27,0)</f>
        <v/>
      </c>
      <c r="L17" s="63">
        <f>Table_1[[#This Row],[PREÇO]]*Table_1[[#This Row],[DY]]</f>
        <v/>
      </c>
      <c r="M17" s="62">
        <f>$E$13</f>
        <v/>
      </c>
      <c r="N17" s="62" t="n">
        <v>0.3</v>
      </c>
      <c r="O17" s="62">
        <f>Table_1[[#This Row],[DPA]]/Table_1[[#This Row],[LPA]]</f>
        <v/>
      </c>
      <c r="P17" s="62">
        <f>IF(Table_1[[#This Row],[PAYOUT]]&lt;=40%,"CRESCIMENTO",IF(Table_1[[#This Row],[PAYOUT]]&lt;=60%,"INDEFINIDO","DIVIDENDOS"))</f>
        <v/>
      </c>
      <c r="Q17" s="62">
        <f>VLOOKUP(Table_1[[#This Row],[AÇÕES]],'Dados Status Invest'!A:R,18,0)/100</f>
        <v/>
      </c>
      <c r="R17" s="62">
        <f>VLOOKUP(Table_1[[#This Row],[AÇÕES]],'Dados Status Invest'!A:Y,25,0)/100</f>
        <v/>
      </c>
      <c r="S17" s="62">
        <f>(1-Table_1[[#This Row],[PAYOUT]])*Table_1[[#This Row],[ROE]]</f>
        <v/>
      </c>
      <c r="T17" s="98">
        <f>AVERAGE(Table_1[[#This Row],[CAGR LUCRO 5A]],Table_1[[#This Row],[CRESCIMENTO DAMODARAN]])</f>
        <v/>
      </c>
      <c r="U17" s="64">
        <f>(Table_1[[#This Row],[PREÇO JUSTO BAZIN]]-Table_1[[#This Row],[PREÇO]])/Table_1[[#This Row],[PREÇO JUSTO BAZIN]]</f>
        <v/>
      </c>
      <c r="V17" s="129">
        <f>Table_1[[#This Row],[DPA]]/6%</f>
        <v/>
      </c>
      <c r="W17" s="129">
        <f>Table_1[[#This Row],[PREÇO JUSTO BAZIN]]/(1+Table_1[[#This Row],[MARGEM DE DESCONTO]])</f>
        <v/>
      </c>
      <c r="X17" s="64">
        <f>(Table_1[[#This Row],[PREÇO JUSTO GRAHAM]]-Table_1[[#This Row],[PREÇO]])/Table_1[[#This Row],[PREÇO JUSTO GRAHAM]]</f>
        <v/>
      </c>
      <c r="Y17" s="129">
        <f>(22.5*Table_1[[#This Row],[LPA]]*Table_1[[#This Row],[VPA]])^0.5</f>
        <v/>
      </c>
      <c r="Z17" s="129">
        <f>Table_1[[#This Row],[PREÇO JUSTO GRAHAM]]/(1+Table_1[[#This Row],[MARGEM DE DESCONTO]])</f>
        <v/>
      </c>
      <c r="AA17" s="64">
        <f>(Table_1[[#This Row],[PREÇO JUSTO GORDON]]-Table_1[[#This Row],[PREÇO]])/Table_1[[#This Row],[PREÇO JUSTO GORDON]]</f>
        <v/>
      </c>
      <c r="AB17" s="130">
        <f>Table_1[[#This Row],[DPA]]*(1+Table_1[[#This Row],[MÉDIA DE CRESCIMENTO]])</f>
        <v/>
      </c>
      <c r="AC17" s="130">
        <f>Table_1[[#This Row],[D1]]/(Table_1[[#This Row],[RISCO]]-Table_1[[#This Row],[MÉDIA DE CRESCIMENTO]])</f>
        <v/>
      </c>
      <c r="AD17" s="130">
        <f>Table_1[[#This Row],[PREÇO JUSTO GORDON]]/(1+Table_1[[#This Row],[MARGEM DE DESCONTO]])</f>
        <v/>
      </c>
      <c r="AE17" s="78">
        <f>Table_1[[#This Row],[P/L]]/Table_1[[#This Row],[MÉDIA DE CRESCIMENTO]]</f>
        <v/>
      </c>
      <c r="AG17" s="6" t="n"/>
      <c r="AH17" s="131" t="inlineStr">
        <is>
          <t>ACIMA DE 30%</t>
        </is>
      </c>
      <c r="AI17" s="131" t="inlineStr">
        <is>
          <t>ACIMA DE 30%</t>
        </is>
      </c>
      <c r="AJ17" s="131" t="inlineStr">
        <is>
          <t>ACIMA DE 30%</t>
        </is>
      </c>
      <c r="AK17" s="131" t="inlineStr">
        <is>
          <t>ENTRE 0 E 0,5</t>
        </is>
      </c>
    </row>
    <row r="18" thickBot="1">
      <c r="B18" s="77">
        <f>'Dados Status Invest'!A4</f>
        <v/>
      </c>
      <c r="C18" s="60">
        <f>VLOOKUP(Table_1[[#This Row],[AÇÕES]],'Classificação B3'!A:B,2,0)</f>
        <v/>
      </c>
      <c r="D18" s="60">
        <f>VLOOKUP(Table_1[[#This Row],[AÇÕES]],'Classificação B3'!A:D,4,0)</f>
        <v/>
      </c>
      <c r="E18" s="60">
        <f>VLOOKUP(Table_1[[#This Row],[AÇÕES]],'Classificação B3'!A:F,6,0)</f>
        <v/>
      </c>
      <c r="F18" s="60">
        <f>VLOOKUP(Table_1[[#This Row],[AÇÕES]],'Classificação B3'!A:G,7,0)</f>
        <v/>
      </c>
      <c r="G18" s="61">
        <f>VLOOKUP(Table_1[[#This Row],[AÇÕES]],'Dados Status Invest'!A:B,2,0)</f>
        <v/>
      </c>
      <c r="H18" s="62">
        <f>VLOOKUP(Table_1[[#This Row],[AÇÕES]],'Dados Status Invest'!A:C,3,0)/100</f>
        <v/>
      </c>
      <c r="I18" s="62">
        <f>VLOOKUP(Table_1[[#This Row],[AÇÕES]],'Dados Status Invest'!A:D,4,0)/100</f>
        <v/>
      </c>
      <c r="J18" s="63">
        <f>VLOOKUP(Table_1[[#This Row],[AÇÕES]],'Dados Status Invest'!A:AB,28,0)</f>
        <v/>
      </c>
      <c r="K18" s="63">
        <f>VLOOKUP(Table_1[[#This Row],[AÇÕES]],'Dados Status Invest'!A:AA,27,0)</f>
        <v/>
      </c>
      <c r="L18" s="63">
        <f>Table_1[[#This Row],[PREÇO]]*Table_1[[#This Row],[DY]]</f>
        <v/>
      </c>
      <c r="M18" s="62">
        <f>$E$13</f>
        <v/>
      </c>
      <c r="N18" s="62" t="n">
        <v>0.3</v>
      </c>
      <c r="O18" s="62">
        <f>Table_1[[#This Row],[DPA]]/Table_1[[#This Row],[LPA]]</f>
        <v/>
      </c>
      <c r="P18" s="62">
        <f>IF(Table_1[[#This Row],[PAYOUT]]&lt;=40%,"CRESCIMENTO",IF(Table_1[[#This Row],[PAYOUT]]&lt;=60%,"INDEFINIDO","DIVIDENDOS"))</f>
        <v/>
      </c>
      <c r="Q18" s="62">
        <f>VLOOKUP(Table_1[[#This Row],[AÇÕES]],'Dados Status Invest'!A:R,18,0)/100</f>
        <v/>
      </c>
      <c r="R18" s="62">
        <f>VLOOKUP(Table_1[[#This Row],[AÇÕES]],'Dados Status Invest'!A:Y,25,0)/100</f>
        <v/>
      </c>
      <c r="S18" s="62">
        <f>(1-Table_1[[#This Row],[PAYOUT]])*Table_1[[#This Row],[ROE]]</f>
        <v/>
      </c>
      <c r="T18" s="98">
        <f>AVERAGE(Table_1[[#This Row],[CAGR LUCRO 5A]],Table_1[[#This Row],[CRESCIMENTO DAMODARAN]])</f>
        <v/>
      </c>
      <c r="U18" s="64">
        <f>(Table_1[[#This Row],[PREÇO JUSTO BAZIN]]-Table_1[[#This Row],[PREÇO]])/Table_1[[#This Row],[PREÇO JUSTO BAZIN]]</f>
        <v/>
      </c>
      <c r="V18" s="129">
        <f>Table_1[[#This Row],[DPA]]/6%</f>
        <v/>
      </c>
      <c r="W18" s="129">
        <f>Table_1[[#This Row],[PREÇO JUSTO BAZIN]]/(1+Table_1[[#This Row],[MARGEM DE DESCONTO]])</f>
        <v/>
      </c>
      <c r="X18" s="64">
        <f>(Table_1[[#This Row],[PREÇO JUSTO GRAHAM]]-Table_1[[#This Row],[PREÇO]])/Table_1[[#This Row],[PREÇO JUSTO GRAHAM]]</f>
        <v/>
      </c>
      <c r="Y18" s="129">
        <f>(22.5*Table_1[[#This Row],[LPA]]*Table_1[[#This Row],[VPA]])^0.5</f>
        <v/>
      </c>
      <c r="Z18" s="129">
        <f>Table_1[[#This Row],[PREÇO JUSTO GRAHAM]]/(1+Table_1[[#This Row],[MARGEM DE DESCONTO]])</f>
        <v/>
      </c>
      <c r="AA18" s="64">
        <f>(Table_1[[#This Row],[PREÇO JUSTO GORDON]]-Table_1[[#This Row],[PREÇO]])/Table_1[[#This Row],[PREÇO JUSTO GORDON]]</f>
        <v/>
      </c>
      <c r="AB18" s="130">
        <f>Table_1[[#This Row],[DPA]]*(1+Table_1[[#This Row],[MÉDIA DE CRESCIMENTO]])</f>
        <v/>
      </c>
      <c r="AC18" s="130">
        <f>Table_1[[#This Row],[D1]]/(Table_1[[#This Row],[RISCO]]-Table_1[[#This Row],[MÉDIA DE CRESCIMENTO]])</f>
        <v/>
      </c>
      <c r="AD18" s="130">
        <f>Table_1[[#This Row],[PREÇO JUSTO GORDON]]/(1+Table_1[[#This Row],[MARGEM DE DESCONTO]])</f>
        <v/>
      </c>
      <c r="AE18" s="78">
        <f>Table_1[[#This Row],[P/L]]/Table_1[[#This Row],[MÉDIA DE CRESCIMENTO]]</f>
        <v/>
      </c>
      <c r="AG18" s="7" t="n"/>
      <c r="AH18" s="132" t="n"/>
      <c r="AI18" s="132" t="n"/>
      <c r="AJ18" s="132" t="n"/>
      <c r="AK18" s="132" t="n"/>
    </row>
    <row r="19" ht="14.4" customHeight="1">
      <c r="B19" s="77">
        <f>'Dados Status Invest'!A5</f>
        <v/>
      </c>
      <c r="C19" s="60">
        <f>VLOOKUP(Table_1[[#This Row],[AÇÕES]],'Classificação B3'!A:B,2,0)</f>
        <v/>
      </c>
      <c r="D19" s="60">
        <f>VLOOKUP(Table_1[[#This Row],[AÇÕES]],'Classificação B3'!A:D,4,0)</f>
        <v/>
      </c>
      <c r="E19" s="60">
        <f>VLOOKUP(Table_1[[#This Row],[AÇÕES]],'Classificação B3'!A:F,6,0)</f>
        <v/>
      </c>
      <c r="F19" s="60">
        <f>VLOOKUP(Table_1[[#This Row],[AÇÕES]],'Classificação B3'!A:G,7,0)</f>
        <v/>
      </c>
      <c r="G19" s="61">
        <f>VLOOKUP(Table_1[[#This Row],[AÇÕES]],'Dados Status Invest'!A:B,2,0)</f>
        <v/>
      </c>
      <c r="H19" s="62">
        <f>VLOOKUP(Table_1[[#This Row],[AÇÕES]],'Dados Status Invest'!A:C,3,0)/100</f>
        <v/>
      </c>
      <c r="I19" s="62">
        <f>VLOOKUP(Table_1[[#This Row],[AÇÕES]],'Dados Status Invest'!A:D,4,0)/100</f>
        <v/>
      </c>
      <c r="J19" s="63">
        <f>VLOOKUP(Table_1[[#This Row],[AÇÕES]],'Dados Status Invest'!A:AB,28,0)</f>
        <v/>
      </c>
      <c r="K19" s="63">
        <f>VLOOKUP(Table_1[[#This Row],[AÇÕES]],'Dados Status Invest'!A:AA,27,0)</f>
        <v/>
      </c>
      <c r="L19" s="63">
        <f>Table_1[[#This Row],[PREÇO]]*Table_1[[#This Row],[DY]]</f>
        <v/>
      </c>
      <c r="M19" s="62">
        <f>$E$13</f>
        <v/>
      </c>
      <c r="N19" s="62" t="n">
        <v>0.3</v>
      </c>
      <c r="O19" s="62">
        <f>Table_1[[#This Row],[DPA]]/Table_1[[#This Row],[LPA]]</f>
        <v/>
      </c>
      <c r="P19" s="62">
        <f>IF(Table_1[[#This Row],[PAYOUT]]&lt;=40%,"CRESCIMENTO",IF(Table_1[[#This Row],[PAYOUT]]&lt;=60%,"INDEFINIDO","DIVIDENDOS"))</f>
        <v/>
      </c>
      <c r="Q19" s="62">
        <f>VLOOKUP(Table_1[[#This Row],[AÇÕES]],'Dados Status Invest'!A:R,18,0)/100</f>
        <v/>
      </c>
      <c r="R19" s="62">
        <f>VLOOKUP(Table_1[[#This Row],[AÇÕES]],'Dados Status Invest'!A:Y,25,0)/100</f>
        <v/>
      </c>
      <c r="S19" s="62">
        <f>(1-Table_1[[#This Row],[PAYOUT]])*Table_1[[#This Row],[ROE]]</f>
        <v/>
      </c>
      <c r="T19" s="98">
        <f>AVERAGE(Table_1[[#This Row],[CAGR LUCRO 5A]],Table_1[[#This Row],[CRESCIMENTO DAMODARAN]])</f>
        <v/>
      </c>
      <c r="U19" s="64">
        <f>(Table_1[[#This Row],[PREÇO JUSTO BAZIN]]-Table_1[[#This Row],[PREÇO]])/Table_1[[#This Row],[PREÇO JUSTO BAZIN]]</f>
        <v/>
      </c>
      <c r="V19" s="129">
        <f>Table_1[[#This Row],[DPA]]/6%</f>
        <v/>
      </c>
      <c r="W19" s="129">
        <f>Table_1[[#This Row],[PREÇO JUSTO BAZIN]]/(1+Table_1[[#This Row],[MARGEM DE DESCONTO]])</f>
        <v/>
      </c>
      <c r="X19" s="64">
        <f>(Table_1[[#This Row],[PREÇO JUSTO GRAHAM]]-Table_1[[#This Row],[PREÇO]])/Table_1[[#This Row],[PREÇO JUSTO GRAHAM]]</f>
        <v/>
      </c>
      <c r="Y19" s="129">
        <f>(22.5*Table_1[[#This Row],[LPA]]*Table_1[[#This Row],[VPA]])^0.5</f>
        <v/>
      </c>
      <c r="Z19" s="129">
        <f>Table_1[[#This Row],[PREÇO JUSTO GRAHAM]]/(1+Table_1[[#This Row],[MARGEM DE DESCONTO]])</f>
        <v/>
      </c>
      <c r="AA19" s="64">
        <f>(Table_1[[#This Row],[PREÇO JUSTO GORDON]]-Table_1[[#This Row],[PREÇO]])/Table_1[[#This Row],[PREÇO JUSTO GORDON]]</f>
        <v/>
      </c>
      <c r="AB19" s="130">
        <f>Table_1[[#This Row],[DPA]]*(1+Table_1[[#This Row],[MÉDIA DE CRESCIMENTO]])</f>
        <v/>
      </c>
      <c r="AC19" s="130">
        <f>Table_1[[#This Row],[D1]]/(Table_1[[#This Row],[RISCO]]-Table_1[[#This Row],[MÉDIA DE CRESCIMENTO]])</f>
        <v/>
      </c>
      <c r="AD19" s="130">
        <f>Table_1[[#This Row],[PREÇO JUSTO GORDON]]/(1+Table_1[[#This Row],[MARGEM DE DESCONTO]])</f>
        <v/>
      </c>
      <c r="AE19" s="78">
        <f>Table_1[[#This Row],[P/L]]/Table_1[[#This Row],[MÉDIA DE CRESCIMENTO]]</f>
        <v/>
      </c>
      <c r="AG19" s="8" t="n"/>
      <c r="AH19" s="133" t="inlineStr">
        <is>
          <t>ENTRE 0 E 30%</t>
        </is>
      </c>
      <c r="AI19" s="131" t="inlineStr">
        <is>
          <t>ENTRE 0 E 30%</t>
        </is>
      </c>
      <c r="AJ19" s="134" t="inlineStr">
        <is>
          <t>ENTRE 0 E 30%</t>
        </is>
      </c>
      <c r="AK19" s="131" t="inlineStr">
        <is>
          <t>ENTRE 0,5 E 2</t>
        </is>
      </c>
    </row>
    <row r="20" ht="15.75" customHeight="1" thickBot="1">
      <c r="B20" s="77">
        <f>'Dados Status Invest'!A6</f>
        <v/>
      </c>
      <c r="C20" s="60">
        <f>VLOOKUP(Table_1[[#This Row],[AÇÕES]],'Classificação B3'!A:B,2,0)</f>
        <v/>
      </c>
      <c r="D20" s="60">
        <f>VLOOKUP(Table_1[[#This Row],[AÇÕES]],'Classificação B3'!A:D,4,0)</f>
        <v/>
      </c>
      <c r="E20" s="60">
        <f>VLOOKUP(Table_1[[#This Row],[AÇÕES]],'Classificação B3'!A:F,6,0)</f>
        <v/>
      </c>
      <c r="F20" s="60">
        <f>VLOOKUP(Table_1[[#This Row],[AÇÕES]],'Classificação B3'!A:G,7,0)</f>
        <v/>
      </c>
      <c r="G20" s="61">
        <f>VLOOKUP(Table_1[[#This Row],[AÇÕES]],'Dados Status Invest'!A:B,2,0)</f>
        <v/>
      </c>
      <c r="H20" s="62">
        <f>VLOOKUP(Table_1[[#This Row],[AÇÕES]],'Dados Status Invest'!A:C,3,0)/100</f>
        <v/>
      </c>
      <c r="I20" s="62">
        <f>VLOOKUP(Table_1[[#This Row],[AÇÕES]],'Dados Status Invest'!A:D,4,0)/100</f>
        <v/>
      </c>
      <c r="J20" s="63">
        <f>VLOOKUP(Table_1[[#This Row],[AÇÕES]],'Dados Status Invest'!A:AB,28,0)</f>
        <v/>
      </c>
      <c r="K20" s="63">
        <f>VLOOKUP(Table_1[[#This Row],[AÇÕES]],'Dados Status Invest'!A:AA,27,0)</f>
        <v/>
      </c>
      <c r="L20" s="63">
        <f>Table_1[[#This Row],[PREÇO]]*Table_1[[#This Row],[DY]]</f>
        <v/>
      </c>
      <c r="M20" s="62">
        <f>$E$13</f>
        <v/>
      </c>
      <c r="N20" s="62" t="n">
        <v>0.3</v>
      </c>
      <c r="O20" s="62">
        <f>Table_1[[#This Row],[DPA]]/Table_1[[#This Row],[LPA]]</f>
        <v/>
      </c>
      <c r="P20" s="62">
        <f>IF(Table_1[[#This Row],[PAYOUT]]&lt;=40%,"CRESCIMENTO",IF(Table_1[[#This Row],[PAYOUT]]&lt;=60%,"INDEFINIDO","DIVIDENDOS"))</f>
        <v/>
      </c>
      <c r="Q20" s="62">
        <f>VLOOKUP(Table_1[[#This Row],[AÇÕES]],'Dados Status Invest'!A:R,18,0)/100</f>
        <v/>
      </c>
      <c r="R20" s="62">
        <f>VLOOKUP(Table_1[[#This Row],[AÇÕES]],'Dados Status Invest'!A:Y,25,0)/100</f>
        <v/>
      </c>
      <c r="S20" s="62">
        <f>(1-Table_1[[#This Row],[PAYOUT]])*Table_1[[#This Row],[ROE]]</f>
        <v/>
      </c>
      <c r="T20" s="98">
        <f>AVERAGE(Table_1[[#This Row],[CAGR LUCRO 5A]],Table_1[[#This Row],[CRESCIMENTO DAMODARAN]])</f>
        <v/>
      </c>
      <c r="U20" s="64">
        <f>(Table_1[[#This Row],[PREÇO JUSTO BAZIN]]-Table_1[[#This Row],[PREÇO]])/Table_1[[#This Row],[PREÇO JUSTO BAZIN]]</f>
        <v/>
      </c>
      <c r="V20" s="129">
        <f>Table_1[[#This Row],[DPA]]/6%</f>
        <v/>
      </c>
      <c r="W20" s="129">
        <f>Table_1[[#This Row],[PREÇO JUSTO BAZIN]]/(1+Table_1[[#This Row],[MARGEM DE DESCONTO]])</f>
        <v/>
      </c>
      <c r="X20" s="64">
        <f>(Table_1[[#This Row],[PREÇO JUSTO GRAHAM]]-Table_1[[#This Row],[PREÇO]])/Table_1[[#This Row],[PREÇO JUSTO GRAHAM]]</f>
        <v/>
      </c>
      <c r="Y20" s="129">
        <f>(22.5*Table_1[[#This Row],[LPA]]*Table_1[[#This Row],[VPA]])^0.5</f>
        <v/>
      </c>
      <c r="Z20" s="129">
        <f>Table_1[[#This Row],[PREÇO JUSTO GRAHAM]]/(1+Table_1[[#This Row],[MARGEM DE DESCONTO]])</f>
        <v/>
      </c>
      <c r="AA20" s="64">
        <f>(Table_1[[#This Row],[PREÇO JUSTO GORDON]]-Table_1[[#This Row],[PREÇO]])/Table_1[[#This Row],[PREÇO JUSTO GORDON]]</f>
        <v/>
      </c>
      <c r="AB20" s="130">
        <f>Table_1[[#This Row],[DPA]]*(1+Table_1[[#This Row],[MÉDIA DE CRESCIMENTO]])</f>
        <v/>
      </c>
      <c r="AC20" s="130">
        <f>Table_1[[#This Row],[D1]]/(Table_1[[#This Row],[RISCO]]-Table_1[[#This Row],[MÉDIA DE CRESCIMENTO]])</f>
        <v/>
      </c>
      <c r="AD20" s="130">
        <f>Table_1[[#This Row],[PREÇO JUSTO GORDON]]/(1+Table_1[[#This Row],[MARGEM DE DESCONTO]])</f>
        <v/>
      </c>
      <c r="AE20" s="78">
        <f>Table_1[[#This Row],[P/L]]/Table_1[[#This Row],[MÉDIA DE CRESCIMENTO]]</f>
        <v/>
      </c>
      <c r="AG20" s="9" t="n"/>
      <c r="AH20" s="135" t="n"/>
      <c r="AI20" s="132" t="n"/>
      <c r="AJ20" s="136" t="n"/>
      <c r="AK20" s="132" t="n"/>
    </row>
    <row r="21" ht="15.75" customHeight="1">
      <c r="B21" s="77">
        <f>'Dados Status Invest'!A7</f>
        <v/>
      </c>
      <c r="C21" s="60">
        <f>VLOOKUP(Table_1[[#This Row],[AÇÕES]],'Classificação B3'!A:B,2,0)</f>
        <v/>
      </c>
      <c r="D21" s="60">
        <f>VLOOKUP(Table_1[[#This Row],[AÇÕES]],'Classificação B3'!A:D,4,0)</f>
        <v/>
      </c>
      <c r="E21" s="60">
        <f>VLOOKUP(Table_1[[#This Row],[AÇÕES]],'Classificação B3'!A:F,6,0)</f>
        <v/>
      </c>
      <c r="F21" s="60">
        <f>VLOOKUP(Table_1[[#This Row],[AÇÕES]],'Classificação B3'!A:G,7,0)</f>
        <v/>
      </c>
      <c r="G21" s="61">
        <f>VLOOKUP(Table_1[[#This Row],[AÇÕES]],'Dados Status Invest'!A:B,2,0)</f>
        <v/>
      </c>
      <c r="H21" s="62">
        <f>VLOOKUP(Table_1[[#This Row],[AÇÕES]],'Dados Status Invest'!A:C,3,0)/100</f>
        <v/>
      </c>
      <c r="I21" s="62">
        <f>VLOOKUP(Table_1[[#This Row],[AÇÕES]],'Dados Status Invest'!A:D,4,0)/100</f>
        <v/>
      </c>
      <c r="J21" s="63">
        <f>VLOOKUP(Table_1[[#This Row],[AÇÕES]],'Dados Status Invest'!A:AB,28,0)</f>
        <v/>
      </c>
      <c r="K21" s="63">
        <f>VLOOKUP(Table_1[[#This Row],[AÇÕES]],'Dados Status Invest'!A:AA,27,0)</f>
        <v/>
      </c>
      <c r="L21" s="63">
        <f>Table_1[[#This Row],[PREÇO]]*Table_1[[#This Row],[DY]]</f>
        <v/>
      </c>
      <c r="M21" s="62">
        <f>$E$13</f>
        <v/>
      </c>
      <c r="N21" s="62" t="n">
        <v>0.3</v>
      </c>
      <c r="O21" s="62">
        <f>Table_1[[#This Row],[DPA]]/Table_1[[#This Row],[LPA]]</f>
        <v/>
      </c>
      <c r="P21" s="62">
        <f>IF(Table_1[[#This Row],[PAYOUT]]&lt;=40%,"CRESCIMENTO",IF(Table_1[[#This Row],[PAYOUT]]&lt;=60%,"INDEFINIDO","DIVIDENDOS"))</f>
        <v/>
      </c>
      <c r="Q21" s="62">
        <f>VLOOKUP(Table_1[[#This Row],[AÇÕES]],'Dados Status Invest'!A:R,18,0)/100</f>
        <v/>
      </c>
      <c r="R21" s="62">
        <f>VLOOKUP(Table_1[[#This Row],[AÇÕES]],'Dados Status Invest'!A:Y,25,0)/100</f>
        <v/>
      </c>
      <c r="S21" s="62">
        <f>(1-Table_1[[#This Row],[PAYOUT]])*Table_1[[#This Row],[ROE]]</f>
        <v/>
      </c>
      <c r="T21" s="98">
        <f>AVERAGE(Table_1[[#This Row],[CAGR LUCRO 5A]],Table_1[[#This Row],[CRESCIMENTO DAMODARAN]])</f>
        <v/>
      </c>
      <c r="U21" s="64">
        <f>(Table_1[[#This Row],[PREÇO JUSTO BAZIN]]-Table_1[[#This Row],[PREÇO]])/Table_1[[#This Row],[PREÇO JUSTO BAZIN]]</f>
        <v/>
      </c>
      <c r="V21" s="129">
        <f>Table_1[[#This Row],[DPA]]/6%</f>
        <v/>
      </c>
      <c r="W21" s="129">
        <f>Table_1[[#This Row],[PREÇO JUSTO BAZIN]]/(1+Table_1[[#This Row],[MARGEM DE DESCONTO]])</f>
        <v/>
      </c>
      <c r="X21" s="64">
        <f>(Table_1[[#This Row],[PREÇO JUSTO GRAHAM]]-Table_1[[#This Row],[PREÇO]])/Table_1[[#This Row],[PREÇO JUSTO GRAHAM]]</f>
        <v/>
      </c>
      <c r="Y21" s="129">
        <f>(22.5*Table_1[[#This Row],[LPA]]*Table_1[[#This Row],[VPA]])^0.5</f>
        <v/>
      </c>
      <c r="Z21" s="129">
        <f>Table_1[[#This Row],[PREÇO JUSTO GRAHAM]]/(1+Table_1[[#This Row],[MARGEM DE DESCONTO]])</f>
        <v/>
      </c>
      <c r="AA21" s="64">
        <f>(Table_1[[#This Row],[PREÇO JUSTO GORDON]]-Table_1[[#This Row],[PREÇO]])/Table_1[[#This Row],[PREÇO JUSTO GORDON]]</f>
        <v/>
      </c>
      <c r="AB21" s="130">
        <f>Table_1[[#This Row],[DPA]]*(1+Table_1[[#This Row],[MÉDIA DE CRESCIMENTO]])</f>
        <v/>
      </c>
      <c r="AC21" s="130">
        <f>Table_1[[#This Row],[D1]]/(Table_1[[#This Row],[RISCO]]-Table_1[[#This Row],[MÉDIA DE CRESCIMENTO]])</f>
        <v/>
      </c>
      <c r="AD21" s="130">
        <f>Table_1[[#This Row],[PREÇO JUSTO GORDON]]/(1+Table_1[[#This Row],[MARGEM DE DESCONTO]])</f>
        <v/>
      </c>
      <c r="AE21" s="78">
        <f>Table_1[[#This Row],[P/L]]/Table_1[[#This Row],[MÉDIA DE CRESCIMENTO]]</f>
        <v/>
      </c>
      <c r="AG21" s="10" t="n"/>
      <c r="AH21" s="106" t="n"/>
      <c r="AI21" s="104" t="n"/>
      <c r="AJ21" s="113" t="n"/>
      <c r="AK21" s="22" t="n"/>
    </row>
    <row r="22" ht="15.75" customHeight="1" thickBot="1">
      <c r="B22" s="77">
        <f>'Dados Status Invest'!A8</f>
        <v/>
      </c>
      <c r="C22" s="60">
        <f>VLOOKUP(Table_1[[#This Row],[AÇÕES]],'Classificação B3'!A:B,2,0)</f>
        <v/>
      </c>
      <c r="D22" s="60">
        <f>VLOOKUP(Table_1[[#This Row],[AÇÕES]],'Classificação B3'!A:D,4,0)</f>
        <v/>
      </c>
      <c r="E22" s="60">
        <f>VLOOKUP(Table_1[[#This Row],[AÇÕES]],'Classificação B3'!A:F,6,0)</f>
        <v/>
      </c>
      <c r="F22" s="60">
        <f>VLOOKUP(Table_1[[#This Row],[AÇÕES]],'Classificação B3'!A:G,7,0)</f>
        <v/>
      </c>
      <c r="G22" s="61">
        <f>VLOOKUP(Table_1[[#This Row],[AÇÕES]],'Dados Status Invest'!A:B,2,0)</f>
        <v/>
      </c>
      <c r="H22" s="62">
        <f>VLOOKUP(Table_1[[#This Row],[AÇÕES]],'Dados Status Invest'!A:C,3,0)/100</f>
        <v/>
      </c>
      <c r="I22" s="62">
        <f>VLOOKUP(Table_1[[#This Row],[AÇÕES]],'Dados Status Invest'!A:D,4,0)/100</f>
        <v/>
      </c>
      <c r="J22" s="63">
        <f>VLOOKUP(Table_1[[#This Row],[AÇÕES]],'Dados Status Invest'!A:AB,28,0)</f>
        <v/>
      </c>
      <c r="K22" s="63">
        <f>VLOOKUP(Table_1[[#This Row],[AÇÕES]],'Dados Status Invest'!A:AA,27,0)</f>
        <v/>
      </c>
      <c r="L22" s="63">
        <f>Table_1[[#This Row],[PREÇO]]*Table_1[[#This Row],[DY]]</f>
        <v/>
      </c>
      <c r="M22" s="62">
        <f>$E$13</f>
        <v/>
      </c>
      <c r="N22" s="62" t="n">
        <v>0.3</v>
      </c>
      <c r="O22" s="62">
        <f>Table_1[[#This Row],[DPA]]/Table_1[[#This Row],[LPA]]</f>
        <v/>
      </c>
      <c r="P22" s="62">
        <f>IF(Table_1[[#This Row],[PAYOUT]]&lt;=40%,"CRESCIMENTO",IF(Table_1[[#This Row],[PAYOUT]]&lt;=60%,"INDEFINIDO","DIVIDENDOS"))</f>
        <v/>
      </c>
      <c r="Q22" s="62">
        <f>VLOOKUP(Table_1[[#This Row],[AÇÕES]],'Dados Status Invest'!A:R,18,0)/100</f>
        <v/>
      </c>
      <c r="R22" s="62">
        <f>VLOOKUP(Table_1[[#This Row],[AÇÕES]],'Dados Status Invest'!A:Y,25,0)/100</f>
        <v/>
      </c>
      <c r="S22" s="62">
        <f>(1-Table_1[[#This Row],[PAYOUT]])*Table_1[[#This Row],[ROE]]</f>
        <v/>
      </c>
      <c r="T22" s="98">
        <f>AVERAGE(Table_1[[#This Row],[CAGR LUCRO 5A]],Table_1[[#This Row],[CRESCIMENTO DAMODARAN]])</f>
        <v/>
      </c>
      <c r="U22" s="64">
        <f>(Table_1[[#This Row],[PREÇO JUSTO BAZIN]]-Table_1[[#This Row],[PREÇO]])/Table_1[[#This Row],[PREÇO JUSTO BAZIN]]</f>
        <v/>
      </c>
      <c r="V22" s="129">
        <f>Table_1[[#This Row],[DPA]]/6%</f>
        <v/>
      </c>
      <c r="W22" s="129">
        <f>Table_1[[#This Row],[PREÇO JUSTO BAZIN]]/(1+Table_1[[#This Row],[MARGEM DE DESCONTO]])</f>
        <v/>
      </c>
      <c r="X22" s="64">
        <f>(Table_1[[#This Row],[PREÇO JUSTO GRAHAM]]-Table_1[[#This Row],[PREÇO]])/Table_1[[#This Row],[PREÇO JUSTO GRAHAM]]</f>
        <v/>
      </c>
      <c r="Y22" s="129">
        <f>(22.5*Table_1[[#This Row],[LPA]]*Table_1[[#This Row],[VPA]])^0.5</f>
        <v/>
      </c>
      <c r="Z22" s="129">
        <f>Table_1[[#This Row],[PREÇO JUSTO GRAHAM]]/(1+Table_1[[#This Row],[MARGEM DE DESCONTO]])</f>
        <v/>
      </c>
      <c r="AA22" s="64">
        <f>(Table_1[[#This Row],[PREÇO JUSTO GORDON]]-Table_1[[#This Row],[PREÇO]])/Table_1[[#This Row],[PREÇO JUSTO GORDON]]</f>
        <v/>
      </c>
      <c r="AB22" s="130">
        <f>Table_1[[#This Row],[DPA]]*(1+Table_1[[#This Row],[MÉDIA DE CRESCIMENTO]])</f>
        <v/>
      </c>
      <c r="AC22" s="130">
        <f>Table_1[[#This Row],[D1]]/(Table_1[[#This Row],[RISCO]]-Table_1[[#This Row],[MÉDIA DE CRESCIMENTO]])</f>
        <v/>
      </c>
      <c r="AD22" s="130">
        <f>Table_1[[#This Row],[PREÇO JUSTO GORDON]]/(1+Table_1[[#This Row],[MARGEM DE DESCONTO]])</f>
        <v/>
      </c>
      <c r="AE22" s="78">
        <f>Table_1[[#This Row],[P/L]]/Table_1[[#This Row],[MÉDIA DE CRESCIMENTO]]</f>
        <v/>
      </c>
      <c r="AG22" s="11" t="n"/>
      <c r="AH22" s="105" t="inlineStr">
        <is>
          <t>ABAIXO DE ZERO</t>
        </is>
      </c>
      <c r="AI22" s="105" t="inlineStr">
        <is>
          <t>ABAIXO DE ZERO</t>
        </is>
      </c>
      <c r="AJ22" s="28" t="inlineStr">
        <is>
          <t>ABAIXO DE ZERO</t>
        </is>
      </c>
      <c r="AK22" s="23" t="inlineStr">
        <is>
          <t>ABAIXO DE 0 OU ACIMA DE 2</t>
        </is>
      </c>
    </row>
    <row r="23" ht="15.75" customHeight="1">
      <c r="B23" s="77">
        <f>'Dados Status Invest'!A9</f>
        <v/>
      </c>
      <c r="C23" s="60">
        <f>VLOOKUP(Table_1[[#This Row],[AÇÕES]],'Classificação B3'!A:B,2,0)</f>
        <v/>
      </c>
      <c r="D23" s="60">
        <f>VLOOKUP(Table_1[[#This Row],[AÇÕES]],'Classificação B3'!A:D,4,0)</f>
        <v/>
      </c>
      <c r="E23" s="60">
        <f>VLOOKUP(Table_1[[#This Row],[AÇÕES]],'Classificação B3'!A:F,6,0)</f>
        <v/>
      </c>
      <c r="F23" s="60">
        <f>VLOOKUP(Table_1[[#This Row],[AÇÕES]],'Classificação B3'!A:G,7,0)</f>
        <v/>
      </c>
      <c r="G23" s="61">
        <f>VLOOKUP(Table_1[[#This Row],[AÇÕES]],'Dados Status Invest'!A:B,2,0)</f>
        <v/>
      </c>
      <c r="H23" s="62">
        <f>VLOOKUP(Table_1[[#This Row],[AÇÕES]],'Dados Status Invest'!A:C,3,0)/100</f>
        <v/>
      </c>
      <c r="I23" s="62">
        <f>VLOOKUP(Table_1[[#This Row],[AÇÕES]],'Dados Status Invest'!A:D,4,0)/100</f>
        <v/>
      </c>
      <c r="J23" s="63">
        <f>VLOOKUP(Table_1[[#This Row],[AÇÕES]],'Dados Status Invest'!A:AB,28,0)</f>
        <v/>
      </c>
      <c r="K23" s="63">
        <f>VLOOKUP(Table_1[[#This Row],[AÇÕES]],'Dados Status Invest'!A:AA,27,0)</f>
        <v/>
      </c>
      <c r="L23" s="63">
        <f>Table_1[[#This Row],[PREÇO]]*Table_1[[#This Row],[DY]]</f>
        <v/>
      </c>
      <c r="M23" s="62">
        <f>$E$13</f>
        <v/>
      </c>
      <c r="N23" s="62" t="n">
        <v>0.3</v>
      </c>
      <c r="O23" s="62">
        <f>Table_1[[#This Row],[DPA]]/Table_1[[#This Row],[LPA]]</f>
        <v/>
      </c>
      <c r="P23" s="62">
        <f>IF(Table_1[[#This Row],[PAYOUT]]&lt;=40%,"CRESCIMENTO",IF(Table_1[[#This Row],[PAYOUT]]&lt;=60%,"INDEFINIDO","DIVIDENDOS"))</f>
        <v/>
      </c>
      <c r="Q23" s="62">
        <f>VLOOKUP(Table_1[[#This Row],[AÇÕES]],'Dados Status Invest'!A:R,18,0)/100</f>
        <v/>
      </c>
      <c r="R23" s="62">
        <f>VLOOKUP(Table_1[[#This Row],[AÇÕES]],'Dados Status Invest'!A:Y,25,0)/100</f>
        <v/>
      </c>
      <c r="S23" s="62">
        <f>(1-Table_1[[#This Row],[PAYOUT]])*Table_1[[#This Row],[ROE]]</f>
        <v/>
      </c>
      <c r="T23" s="98">
        <f>AVERAGE(Table_1[[#This Row],[CAGR LUCRO 5A]],Table_1[[#This Row],[CRESCIMENTO DAMODARAN]])</f>
        <v/>
      </c>
      <c r="U23" s="64">
        <f>(Table_1[[#This Row],[PREÇO JUSTO BAZIN]]-Table_1[[#This Row],[PREÇO]])/Table_1[[#This Row],[PREÇO JUSTO BAZIN]]</f>
        <v/>
      </c>
      <c r="V23" s="129">
        <f>Table_1[[#This Row],[DPA]]/6%</f>
        <v/>
      </c>
      <c r="W23" s="129">
        <f>Table_1[[#This Row],[PREÇO JUSTO BAZIN]]/(1+Table_1[[#This Row],[MARGEM DE DESCONTO]])</f>
        <v/>
      </c>
      <c r="X23" s="64">
        <f>(Table_1[[#This Row],[PREÇO JUSTO GRAHAM]]-Table_1[[#This Row],[PREÇO]])/Table_1[[#This Row],[PREÇO JUSTO GRAHAM]]</f>
        <v/>
      </c>
      <c r="Y23" s="129">
        <f>(22.5*Table_1[[#This Row],[LPA]]*Table_1[[#This Row],[VPA]])^0.5</f>
        <v/>
      </c>
      <c r="Z23" s="129">
        <f>Table_1[[#This Row],[PREÇO JUSTO GRAHAM]]/(1+Table_1[[#This Row],[MARGEM DE DESCONTO]])</f>
        <v/>
      </c>
      <c r="AA23" s="64">
        <f>(Table_1[[#This Row],[PREÇO JUSTO GORDON]]-Table_1[[#This Row],[PREÇO]])/Table_1[[#This Row],[PREÇO JUSTO GORDON]]</f>
        <v/>
      </c>
      <c r="AB23" s="130">
        <f>Table_1[[#This Row],[DPA]]*(1+Table_1[[#This Row],[MÉDIA DE CRESCIMENTO]])</f>
        <v/>
      </c>
      <c r="AC23" s="130">
        <f>Table_1[[#This Row],[D1]]/(Table_1[[#This Row],[RISCO]]-Table_1[[#This Row],[MÉDIA DE CRESCIMENTO]])</f>
        <v/>
      </c>
      <c r="AD23" s="130">
        <f>Table_1[[#This Row],[PREÇO JUSTO GORDON]]/(1+Table_1[[#This Row],[MARGEM DE DESCONTO]])</f>
        <v/>
      </c>
      <c r="AE23" s="78">
        <f>Table_1[[#This Row],[P/L]]/Table_1[[#This Row],[MÉDIA DE CRESCIMENTO]]</f>
        <v/>
      </c>
    </row>
    <row r="24" ht="15.75" customHeight="1" thickBot="1">
      <c r="B24" s="77">
        <f>'Dados Status Invest'!A10</f>
        <v/>
      </c>
      <c r="C24" s="60">
        <f>VLOOKUP(Table_1[[#This Row],[AÇÕES]],'Classificação B3'!A:B,2,0)</f>
        <v/>
      </c>
      <c r="D24" s="60">
        <f>VLOOKUP(Table_1[[#This Row],[AÇÕES]],'Classificação B3'!A:D,4,0)</f>
        <v/>
      </c>
      <c r="E24" s="60">
        <f>VLOOKUP(Table_1[[#This Row],[AÇÕES]],'Classificação B3'!A:F,6,0)</f>
        <v/>
      </c>
      <c r="F24" s="60">
        <f>VLOOKUP(Table_1[[#This Row],[AÇÕES]],'Classificação B3'!A:G,7,0)</f>
        <v/>
      </c>
      <c r="G24" s="61">
        <f>VLOOKUP(Table_1[[#This Row],[AÇÕES]],'Dados Status Invest'!A:B,2,0)</f>
        <v/>
      </c>
      <c r="H24" s="62">
        <f>VLOOKUP(Table_1[[#This Row],[AÇÕES]],'Dados Status Invest'!A:C,3,0)/100</f>
        <v/>
      </c>
      <c r="I24" s="62">
        <f>VLOOKUP(Table_1[[#This Row],[AÇÕES]],'Dados Status Invest'!A:D,4,0)/100</f>
        <v/>
      </c>
      <c r="J24" s="63">
        <f>VLOOKUP(Table_1[[#This Row],[AÇÕES]],'Dados Status Invest'!A:AB,28,0)</f>
        <v/>
      </c>
      <c r="K24" s="63">
        <f>VLOOKUP(Table_1[[#This Row],[AÇÕES]],'Dados Status Invest'!A:AA,27,0)</f>
        <v/>
      </c>
      <c r="L24" s="63">
        <f>Table_1[[#This Row],[PREÇO]]*Table_1[[#This Row],[DY]]</f>
        <v/>
      </c>
      <c r="M24" s="62">
        <f>$E$13</f>
        <v/>
      </c>
      <c r="N24" s="62" t="n">
        <v>0.3</v>
      </c>
      <c r="O24" s="62">
        <f>Table_1[[#This Row],[DPA]]/Table_1[[#This Row],[LPA]]</f>
        <v/>
      </c>
      <c r="P24" s="62">
        <f>IF(Table_1[[#This Row],[PAYOUT]]&lt;=40%,"CRESCIMENTO",IF(Table_1[[#This Row],[PAYOUT]]&lt;=60%,"INDEFINIDO","DIVIDENDOS"))</f>
        <v/>
      </c>
      <c r="Q24" s="62">
        <f>VLOOKUP(Table_1[[#This Row],[AÇÕES]],'Dados Status Invest'!A:R,18,0)/100</f>
        <v/>
      </c>
      <c r="R24" s="62">
        <f>VLOOKUP(Table_1[[#This Row],[AÇÕES]],'Dados Status Invest'!A:Y,25,0)/100</f>
        <v/>
      </c>
      <c r="S24" s="62">
        <f>(1-Table_1[[#This Row],[PAYOUT]])*Table_1[[#This Row],[ROE]]</f>
        <v/>
      </c>
      <c r="T24" s="98">
        <f>AVERAGE(Table_1[[#This Row],[CAGR LUCRO 5A]],Table_1[[#This Row],[CRESCIMENTO DAMODARAN]])</f>
        <v/>
      </c>
      <c r="U24" s="64">
        <f>(Table_1[[#This Row],[PREÇO JUSTO BAZIN]]-Table_1[[#This Row],[PREÇO]])/Table_1[[#This Row],[PREÇO JUSTO BAZIN]]</f>
        <v/>
      </c>
      <c r="V24" s="129">
        <f>Table_1[[#This Row],[DPA]]/6%</f>
        <v/>
      </c>
      <c r="W24" s="129">
        <f>Table_1[[#This Row],[PREÇO JUSTO BAZIN]]/(1+Table_1[[#This Row],[MARGEM DE DESCONTO]])</f>
        <v/>
      </c>
      <c r="X24" s="64">
        <f>(Table_1[[#This Row],[PREÇO JUSTO GRAHAM]]-Table_1[[#This Row],[PREÇO]])/Table_1[[#This Row],[PREÇO JUSTO GRAHAM]]</f>
        <v/>
      </c>
      <c r="Y24" s="129">
        <f>(22.5*Table_1[[#This Row],[LPA]]*Table_1[[#This Row],[VPA]])^0.5</f>
        <v/>
      </c>
      <c r="Z24" s="129">
        <f>Table_1[[#This Row],[PREÇO JUSTO GRAHAM]]/(1+Table_1[[#This Row],[MARGEM DE DESCONTO]])</f>
        <v/>
      </c>
      <c r="AA24" s="64">
        <f>(Table_1[[#This Row],[PREÇO JUSTO GORDON]]-Table_1[[#This Row],[PREÇO]])/Table_1[[#This Row],[PREÇO JUSTO GORDON]]</f>
        <v/>
      </c>
      <c r="AB24" s="130">
        <f>Table_1[[#This Row],[DPA]]*(1+Table_1[[#This Row],[MÉDIA DE CRESCIMENTO]])</f>
        <v/>
      </c>
      <c r="AC24" s="130">
        <f>Table_1[[#This Row],[D1]]/(Table_1[[#This Row],[RISCO]]-Table_1[[#This Row],[MÉDIA DE CRESCIMENTO]])</f>
        <v/>
      </c>
      <c r="AD24" s="130">
        <f>Table_1[[#This Row],[PREÇO JUSTO GORDON]]/(1+Table_1[[#This Row],[MARGEM DE DESCONTO]])</f>
        <v/>
      </c>
      <c r="AE24" s="78">
        <f>Table_1[[#This Row],[P/L]]/Table_1[[#This Row],[MÉDIA DE CRESCIMENTO]]</f>
        <v/>
      </c>
    </row>
    <row r="25" ht="15.75" customHeight="1" thickBot="1">
      <c r="B25" s="77">
        <f>'Dados Status Invest'!A11</f>
        <v/>
      </c>
      <c r="C25" s="60">
        <f>VLOOKUP(Table_1[[#This Row],[AÇÕES]],'Classificação B3'!A:B,2,0)</f>
        <v/>
      </c>
      <c r="D25" s="60">
        <f>VLOOKUP(Table_1[[#This Row],[AÇÕES]],'Classificação B3'!A:D,4,0)</f>
        <v/>
      </c>
      <c r="E25" s="60">
        <f>VLOOKUP(Table_1[[#This Row],[AÇÕES]],'Classificação B3'!A:F,6,0)</f>
        <v/>
      </c>
      <c r="F25" s="60">
        <f>VLOOKUP(Table_1[[#This Row],[AÇÕES]],'Classificação B3'!A:G,7,0)</f>
        <v/>
      </c>
      <c r="G25" s="61">
        <f>VLOOKUP(Table_1[[#This Row],[AÇÕES]],'Dados Status Invest'!A:B,2,0)</f>
        <v/>
      </c>
      <c r="H25" s="62">
        <f>VLOOKUP(Table_1[[#This Row],[AÇÕES]],'Dados Status Invest'!A:C,3,0)/100</f>
        <v/>
      </c>
      <c r="I25" s="62">
        <f>VLOOKUP(Table_1[[#This Row],[AÇÕES]],'Dados Status Invest'!A:D,4,0)/100</f>
        <v/>
      </c>
      <c r="J25" s="63">
        <f>VLOOKUP(Table_1[[#This Row],[AÇÕES]],'Dados Status Invest'!A:AB,28,0)</f>
        <v/>
      </c>
      <c r="K25" s="63">
        <f>VLOOKUP(Table_1[[#This Row],[AÇÕES]],'Dados Status Invest'!A:AA,27,0)</f>
        <v/>
      </c>
      <c r="L25" s="63">
        <f>Table_1[[#This Row],[PREÇO]]*Table_1[[#This Row],[DY]]</f>
        <v/>
      </c>
      <c r="M25" s="62">
        <f>$E$13</f>
        <v/>
      </c>
      <c r="N25" s="62" t="n">
        <v>0.3</v>
      </c>
      <c r="O25" s="62">
        <f>Table_1[[#This Row],[DPA]]/Table_1[[#This Row],[LPA]]</f>
        <v/>
      </c>
      <c r="P25" s="62">
        <f>IF(Table_1[[#This Row],[PAYOUT]]&lt;=40%,"CRESCIMENTO",IF(Table_1[[#This Row],[PAYOUT]]&lt;=60%,"INDEFINIDO","DIVIDENDOS"))</f>
        <v/>
      </c>
      <c r="Q25" s="62">
        <f>VLOOKUP(Table_1[[#This Row],[AÇÕES]],'Dados Status Invest'!A:R,18,0)/100</f>
        <v/>
      </c>
      <c r="R25" s="62">
        <f>VLOOKUP(Table_1[[#This Row],[AÇÕES]],'Dados Status Invest'!A:Y,25,0)/100</f>
        <v/>
      </c>
      <c r="S25" s="62">
        <f>(1-Table_1[[#This Row],[PAYOUT]])*Table_1[[#This Row],[ROE]]</f>
        <v/>
      </c>
      <c r="T25" s="98">
        <f>AVERAGE(Table_1[[#This Row],[CAGR LUCRO 5A]],Table_1[[#This Row],[CRESCIMENTO DAMODARAN]])</f>
        <v/>
      </c>
      <c r="U25" s="64">
        <f>(Table_1[[#This Row],[PREÇO JUSTO BAZIN]]-Table_1[[#This Row],[PREÇO]])/Table_1[[#This Row],[PREÇO JUSTO BAZIN]]</f>
        <v/>
      </c>
      <c r="V25" s="129">
        <f>Table_1[[#This Row],[DPA]]/6%</f>
        <v/>
      </c>
      <c r="W25" s="129">
        <f>Table_1[[#This Row],[PREÇO JUSTO BAZIN]]/(1+Table_1[[#This Row],[MARGEM DE DESCONTO]])</f>
        <v/>
      </c>
      <c r="X25" s="64">
        <f>(Table_1[[#This Row],[PREÇO JUSTO GRAHAM]]-Table_1[[#This Row],[PREÇO]])/Table_1[[#This Row],[PREÇO JUSTO GRAHAM]]</f>
        <v/>
      </c>
      <c r="Y25" s="129">
        <f>(22.5*Table_1[[#This Row],[LPA]]*Table_1[[#This Row],[VPA]])^0.5</f>
        <v/>
      </c>
      <c r="Z25" s="129">
        <f>Table_1[[#This Row],[PREÇO JUSTO GRAHAM]]/(1+Table_1[[#This Row],[MARGEM DE DESCONTO]])</f>
        <v/>
      </c>
      <c r="AA25" s="64">
        <f>(Table_1[[#This Row],[PREÇO JUSTO GORDON]]-Table_1[[#This Row],[PREÇO]])/Table_1[[#This Row],[PREÇO JUSTO GORDON]]</f>
        <v/>
      </c>
      <c r="AB25" s="130">
        <f>Table_1[[#This Row],[DPA]]*(1+Table_1[[#This Row],[MÉDIA DE CRESCIMENTO]])</f>
        <v/>
      </c>
      <c r="AC25" s="130">
        <f>Table_1[[#This Row],[D1]]/(Table_1[[#This Row],[RISCO]]-Table_1[[#This Row],[MÉDIA DE CRESCIMENTO]])</f>
        <v/>
      </c>
      <c r="AD25" s="130">
        <f>Table_1[[#This Row],[PREÇO JUSTO GORDON]]/(1+Table_1[[#This Row],[MARGEM DE DESCONTO]])</f>
        <v/>
      </c>
      <c r="AE25" s="78">
        <f>Table_1[[#This Row],[P/L]]/Table_1[[#This Row],[MÉDIA DE CRESCIMENTO]]</f>
        <v/>
      </c>
      <c r="AG25" s="137" t="inlineStr">
        <is>
          <t>MÉDIA CRESCIMENTO</t>
        </is>
      </c>
      <c r="AH25" s="123" t="n"/>
    </row>
    <row r="26" ht="15.75" customHeight="1">
      <c r="B26" s="77">
        <f>'Dados Status Invest'!A12</f>
        <v/>
      </c>
      <c r="C26" s="60">
        <f>VLOOKUP(Table_1[[#This Row],[AÇÕES]],'Classificação B3'!A:B,2,0)</f>
        <v/>
      </c>
      <c r="D26" s="60">
        <f>VLOOKUP(Table_1[[#This Row],[AÇÕES]],'Classificação B3'!A:D,4,0)</f>
        <v/>
      </c>
      <c r="E26" s="60">
        <f>VLOOKUP(Table_1[[#This Row],[AÇÕES]],'Classificação B3'!A:F,6,0)</f>
        <v/>
      </c>
      <c r="F26" s="60">
        <f>VLOOKUP(Table_1[[#This Row],[AÇÕES]],'Classificação B3'!A:G,7,0)</f>
        <v/>
      </c>
      <c r="G26" s="61">
        <f>VLOOKUP(Table_1[[#This Row],[AÇÕES]],'Dados Status Invest'!A:B,2,0)</f>
        <v/>
      </c>
      <c r="H26" s="62">
        <f>VLOOKUP(Table_1[[#This Row],[AÇÕES]],'Dados Status Invest'!A:C,3,0)/100</f>
        <v/>
      </c>
      <c r="I26" s="62">
        <f>VLOOKUP(Table_1[[#This Row],[AÇÕES]],'Dados Status Invest'!A:D,4,0)/100</f>
        <v/>
      </c>
      <c r="J26" s="63">
        <f>VLOOKUP(Table_1[[#This Row],[AÇÕES]],'Dados Status Invest'!A:AB,28,0)</f>
        <v/>
      </c>
      <c r="K26" s="63">
        <f>VLOOKUP(Table_1[[#This Row],[AÇÕES]],'Dados Status Invest'!A:AA,27,0)</f>
        <v/>
      </c>
      <c r="L26" s="63">
        <f>Table_1[[#This Row],[PREÇO]]*Table_1[[#This Row],[DY]]</f>
        <v/>
      </c>
      <c r="M26" s="62">
        <f>$E$13</f>
        <v/>
      </c>
      <c r="N26" s="62" t="n">
        <v>0.3</v>
      </c>
      <c r="O26" s="62">
        <f>Table_1[[#This Row],[DPA]]/Table_1[[#This Row],[LPA]]</f>
        <v/>
      </c>
      <c r="P26" s="62">
        <f>IF(Table_1[[#This Row],[PAYOUT]]&lt;=40%,"CRESCIMENTO",IF(Table_1[[#This Row],[PAYOUT]]&lt;=60%,"INDEFINIDO","DIVIDENDOS"))</f>
        <v/>
      </c>
      <c r="Q26" s="62">
        <f>VLOOKUP(Table_1[[#This Row],[AÇÕES]],'Dados Status Invest'!A:R,18,0)/100</f>
        <v/>
      </c>
      <c r="R26" s="62">
        <f>VLOOKUP(Table_1[[#This Row],[AÇÕES]],'Dados Status Invest'!A:Y,25,0)/100</f>
        <v/>
      </c>
      <c r="S26" s="62">
        <f>(1-Table_1[[#This Row],[PAYOUT]])*Table_1[[#This Row],[ROE]]</f>
        <v/>
      </c>
      <c r="T26" s="98">
        <f>AVERAGE(Table_1[[#This Row],[CAGR LUCRO 5A]],Table_1[[#This Row],[CRESCIMENTO DAMODARAN]])</f>
        <v/>
      </c>
      <c r="U26" s="64">
        <f>(Table_1[[#This Row],[PREÇO JUSTO BAZIN]]-Table_1[[#This Row],[PREÇO]])/Table_1[[#This Row],[PREÇO JUSTO BAZIN]]</f>
        <v/>
      </c>
      <c r="V26" s="129">
        <f>Table_1[[#This Row],[DPA]]/6%</f>
        <v/>
      </c>
      <c r="W26" s="129">
        <f>Table_1[[#This Row],[PREÇO JUSTO BAZIN]]/(1+Table_1[[#This Row],[MARGEM DE DESCONTO]])</f>
        <v/>
      </c>
      <c r="X26" s="64">
        <f>(Table_1[[#This Row],[PREÇO JUSTO GRAHAM]]-Table_1[[#This Row],[PREÇO]])/Table_1[[#This Row],[PREÇO JUSTO GRAHAM]]</f>
        <v/>
      </c>
      <c r="Y26" s="129">
        <f>(22.5*Table_1[[#This Row],[LPA]]*Table_1[[#This Row],[VPA]])^0.5</f>
        <v/>
      </c>
      <c r="Z26" s="129">
        <f>Table_1[[#This Row],[PREÇO JUSTO GRAHAM]]/(1+Table_1[[#This Row],[MARGEM DE DESCONTO]])</f>
        <v/>
      </c>
      <c r="AA26" s="64">
        <f>(Table_1[[#This Row],[PREÇO JUSTO GORDON]]-Table_1[[#This Row],[PREÇO]])/Table_1[[#This Row],[PREÇO JUSTO GORDON]]</f>
        <v/>
      </c>
      <c r="AB26" s="130">
        <f>Table_1[[#This Row],[DPA]]*(1+Table_1[[#This Row],[MÉDIA DE CRESCIMENTO]])</f>
        <v/>
      </c>
      <c r="AC26" s="130">
        <f>Table_1[[#This Row],[D1]]/(Table_1[[#This Row],[RISCO]]-Table_1[[#This Row],[MÉDIA DE CRESCIMENTO]])</f>
        <v/>
      </c>
      <c r="AD26" s="130">
        <f>Table_1[[#This Row],[PREÇO JUSTO GORDON]]/(1+Table_1[[#This Row],[MARGEM DE DESCONTO]])</f>
        <v/>
      </c>
      <c r="AE26" s="78">
        <f>Table_1[[#This Row],[P/L]]/Table_1[[#This Row],[MÉDIA DE CRESCIMENTO]]</f>
        <v/>
      </c>
      <c r="AG26" s="56" t="n"/>
      <c r="AH26" s="15" t="inlineStr">
        <is>
          <t>Abaixo de Zero</t>
        </is>
      </c>
    </row>
    <row r="27" ht="15.75" customHeight="1">
      <c r="B27" s="77">
        <f>'Dados Status Invest'!A13</f>
        <v/>
      </c>
      <c r="C27" s="60">
        <f>VLOOKUP(Table_1[[#This Row],[AÇÕES]],'Classificação B3'!A:B,2,0)</f>
        <v/>
      </c>
      <c r="D27" s="60">
        <f>VLOOKUP(Table_1[[#This Row],[AÇÕES]],'Classificação B3'!A:D,4,0)</f>
        <v/>
      </c>
      <c r="E27" s="60">
        <f>VLOOKUP(Table_1[[#This Row],[AÇÕES]],'Classificação B3'!A:F,6,0)</f>
        <v/>
      </c>
      <c r="F27" s="60">
        <f>VLOOKUP(Table_1[[#This Row],[AÇÕES]],'Classificação B3'!A:G,7,0)</f>
        <v/>
      </c>
      <c r="G27" s="61">
        <f>VLOOKUP(Table_1[[#This Row],[AÇÕES]],'Dados Status Invest'!A:B,2,0)</f>
        <v/>
      </c>
      <c r="H27" s="62">
        <f>VLOOKUP(Table_1[[#This Row],[AÇÕES]],'Dados Status Invest'!A:C,3,0)/100</f>
        <v/>
      </c>
      <c r="I27" s="62">
        <f>VLOOKUP(Table_1[[#This Row],[AÇÕES]],'Dados Status Invest'!A:D,4,0)/100</f>
        <v/>
      </c>
      <c r="J27" s="63">
        <f>VLOOKUP(Table_1[[#This Row],[AÇÕES]],'Dados Status Invest'!A:AB,28,0)</f>
        <v/>
      </c>
      <c r="K27" s="63">
        <f>VLOOKUP(Table_1[[#This Row],[AÇÕES]],'Dados Status Invest'!A:AA,27,0)</f>
        <v/>
      </c>
      <c r="L27" s="63">
        <f>Table_1[[#This Row],[PREÇO]]*Table_1[[#This Row],[DY]]</f>
        <v/>
      </c>
      <c r="M27" s="62">
        <f>$E$13</f>
        <v/>
      </c>
      <c r="N27" s="62" t="n">
        <v>0.3</v>
      </c>
      <c r="O27" s="62">
        <f>Table_1[[#This Row],[DPA]]/Table_1[[#This Row],[LPA]]</f>
        <v/>
      </c>
      <c r="P27" s="62">
        <f>IF(Table_1[[#This Row],[PAYOUT]]&lt;=40%,"CRESCIMENTO",IF(Table_1[[#This Row],[PAYOUT]]&lt;=60%,"INDEFINIDO","DIVIDENDOS"))</f>
        <v/>
      </c>
      <c r="Q27" s="62">
        <f>VLOOKUP(Table_1[[#This Row],[AÇÕES]],'Dados Status Invest'!A:R,18,0)/100</f>
        <v/>
      </c>
      <c r="R27" s="62">
        <f>VLOOKUP(Table_1[[#This Row],[AÇÕES]],'Dados Status Invest'!A:Y,25,0)/100</f>
        <v/>
      </c>
      <c r="S27" s="62">
        <f>(1-Table_1[[#This Row],[PAYOUT]])*Table_1[[#This Row],[ROE]]</f>
        <v/>
      </c>
      <c r="T27" s="98">
        <f>AVERAGE(Table_1[[#This Row],[CAGR LUCRO 5A]],Table_1[[#This Row],[CRESCIMENTO DAMODARAN]])</f>
        <v/>
      </c>
      <c r="U27" s="64">
        <f>(Table_1[[#This Row],[PREÇO JUSTO BAZIN]]-Table_1[[#This Row],[PREÇO]])/Table_1[[#This Row],[PREÇO JUSTO BAZIN]]</f>
        <v/>
      </c>
      <c r="V27" s="129">
        <f>Table_1[[#This Row],[DPA]]/6%</f>
        <v/>
      </c>
      <c r="W27" s="129">
        <f>Table_1[[#This Row],[PREÇO JUSTO BAZIN]]/(1+Table_1[[#This Row],[MARGEM DE DESCONTO]])</f>
        <v/>
      </c>
      <c r="X27" s="64">
        <f>(Table_1[[#This Row],[PREÇO JUSTO GRAHAM]]-Table_1[[#This Row],[PREÇO]])/Table_1[[#This Row],[PREÇO JUSTO GRAHAM]]</f>
        <v/>
      </c>
      <c r="Y27" s="129">
        <f>(22.5*Table_1[[#This Row],[LPA]]*Table_1[[#This Row],[VPA]])^0.5</f>
        <v/>
      </c>
      <c r="Z27" s="129">
        <f>Table_1[[#This Row],[PREÇO JUSTO GRAHAM]]/(1+Table_1[[#This Row],[MARGEM DE DESCONTO]])</f>
        <v/>
      </c>
      <c r="AA27" s="64">
        <f>(Table_1[[#This Row],[PREÇO JUSTO GORDON]]-Table_1[[#This Row],[PREÇO]])/Table_1[[#This Row],[PREÇO JUSTO GORDON]]</f>
        <v/>
      </c>
      <c r="AB27" s="130">
        <f>Table_1[[#This Row],[DPA]]*(1+Table_1[[#This Row],[MÉDIA DE CRESCIMENTO]])</f>
        <v/>
      </c>
      <c r="AC27" s="130">
        <f>Table_1[[#This Row],[D1]]/(Table_1[[#This Row],[RISCO]]-Table_1[[#This Row],[MÉDIA DE CRESCIMENTO]])</f>
        <v/>
      </c>
      <c r="AD27" s="130">
        <f>Table_1[[#This Row],[PREÇO JUSTO GORDON]]/(1+Table_1[[#This Row],[MARGEM DE DESCONTO]])</f>
        <v/>
      </c>
      <c r="AE27" s="78">
        <f>Table_1[[#This Row],[P/L]]/Table_1[[#This Row],[MÉDIA DE CRESCIMENTO]]</f>
        <v/>
      </c>
      <c r="AG27" s="14" t="n"/>
      <c r="AH27" s="15" t="inlineStr">
        <is>
          <t>Entre Zero e 10%</t>
        </is>
      </c>
    </row>
    <row r="28" ht="15.75" customHeight="1">
      <c r="B28" s="77">
        <f>'Dados Status Invest'!A14</f>
        <v/>
      </c>
      <c r="C28" s="60">
        <f>VLOOKUP(Table_1[[#This Row],[AÇÕES]],'Classificação B3'!A:B,2,0)</f>
        <v/>
      </c>
      <c r="D28" s="60">
        <f>VLOOKUP(Table_1[[#This Row],[AÇÕES]],'Classificação B3'!A:D,4,0)</f>
        <v/>
      </c>
      <c r="E28" s="60">
        <f>VLOOKUP(Table_1[[#This Row],[AÇÕES]],'Classificação B3'!A:F,6,0)</f>
        <v/>
      </c>
      <c r="F28" s="60">
        <f>VLOOKUP(Table_1[[#This Row],[AÇÕES]],'Classificação B3'!A:G,7,0)</f>
        <v/>
      </c>
      <c r="G28" s="61">
        <f>VLOOKUP(Table_1[[#This Row],[AÇÕES]],'Dados Status Invest'!A:B,2,0)</f>
        <v/>
      </c>
      <c r="H28" s="62">
        <f>VLOOKUP(Table_1[[#This Row],[AÇÕES]],'Dados Status Invest'!A:C,3,0)/100</f>
        <v/>
      </c>
      <c r="I28" s="62">
        <f>VLOOKUP(Table_1[[#This Row],[AÇÕES]],'Dados Status Invest'!A:D,4,0)/100</f>
        <v/>
      </c>
      <c r="J28" s="63">
        <f>VLOOKUP(Table_1[[#This Row],[AÇÕES]],'Dados Status Invest'!A:AB,28,0)</f>
        <v/>
      </c>
      <c r="K28" s="63">
        <f>VLOOKUP(Table_1[[#This Row],[AÇÕES]],'Dados Status Invest'!A:AA,27,0)</f>
        <v/>
      </c>
      <c r="L28" s="63">
        <f>Table_1[[#This Row],[PREÇO]]*Table_1[[#This Row],[DY]]</f>
        <v/>
      </c>
      <c r="M28" s="62">
        <f>$E$13</f>
        <v/>
      </c>
      <c r="N28" s="62" t="n">
        <v>0.3</v>
      </c>
      <c r="O28" s="62">
        <f>Table_1[[#This Row],[DPA]]/Table_1[[#This Row],[LPA]]</f>
        <v/>
      </c>
      <c r="P28" s="62">
        <f>IF(Table_1[[#This Row],[PAYOUT]]&lt;=40%,"CRESCIMENTO",IF(Table_1[[#This Row],[PAYOUT]]&lt;=60%,"INDEFINIDO","DIVIDENDOS"))</f>
        <v/>
      </c>
      <c r="Q28" s="62">
        <f>VLOOKUP(Table_1[[#This Row],[AÇÕES]],'Dados Status Invest'!A:R,18,0)/100</f>
        <v/>
      </c>
      <c r="R28" s="62">
        <f>VLOOKUP(Table_1[[#This Row],[AÇÕES]],'Dados Status Invest'!A:Y,25,0)/100</f>
        <v/>
      </c>
      <c r="S28" s="62">
        <f>(1-Table_1[[#This Row],[PAYOUT]])*Table_1[[#This Row],[ROE]]</f>
        <v/>
      </c>
      <c r="T28" s="98">
        <f>AVERAGE(Table_1[[#This Row],[CAGR LUCRO 5A]],Table_1[[#This Row],[CRESCIMENTO DAMODARAN]])</f>
        <v/>
      </c>
      <c r="U28" s="64">
        <f>(Table_1[[#This Row],[PREÇO JUSTO BAZIN]]-Table_1[[#This Row],[PREÇO]])/Table_1[[#This Row],[PREÇO JUSTO BAZIN]]</f>
        <v/>
      </c>
      <c r="V28" s="129">
        <f>Table_1[[#This Row],[DPA]]/6%</f>
        <v/>
      </c>
      <c r="W28" s="129">
        <f>Table_1[[#This Row],[PREÇO JUSTO BAZIN]]/(1+Table_1[[#This Row],[MARGEM DE DESCONTO]])</f>
        <v/>
      </c>
      <c r="X28" s="64">
        <f>(Table_1[[#This Row],[PREÇO JUSTO GRAHAM]]-Table_1[[#This Row],[PREÇO]])/Table_1[[#This Row],[PREÇO JUSTO GRAHAM]]</f>
        <v/>
      </c>
      <c r="Y28" s="129">
        <f>(22.5*Table_1[[#This Row],[LPA]]*Table_1[[#This Row],[VPA]])^0.5</f>
        <v/>
      </c>
      <c r="Z28" s="129">
        <f>Table_1[[#This Row],[PREÇO JUSTO GRAHAM]]/(1+Table_1[[#This Row],[MARGEM DE DESCONTO]])</f>
        <v/>
      </c>
      <c r="AA28" s="64">
        <f>(Table_1[[#This Row],[PREÇO JUSTO GORDON]]-Table_1[[#This Row],[PREÇO]])/Table_1[[#This Row],[PREÇO JUSTO GORDON]]</f>
        <v/>
      </c>
      <c r="AB28" s="130">
        <f>Table_1[[#This Row],[DPA]]*(1+Table_1[[#This Row],[MÉDIA DE CRESCIMENTO]])</f>
        <v/>
      </c>
      <c r="AC28" s="130">
        <f>Table_1[[#This Row],[D1]]/(Table_1[[#This Row],[RISCO]]-Table_1[[#This Row],[MÉDIA DE CRESCIMENTO]])</f>
        <v/>
      </c>
      <c r="AD28" s="130">
        <f>Table_1[[#This Row],[PREÇO JUSTO GORDON]]/(1+Table_1[[#This Row],[MARGEM DE DESCONTO]])</f>
        <v/>
      </c>
      <c r="AE28" s="78">
        <f>Table_1[[#This Row],[P/L]]/Table_1[[#This Row],[MÉDIA DE CRESCIMENTO]]</f>
        <v/>
      </c>
      <c r="AG28" s="16" t="n"/>
      <c r="AH28" s="15" t="inlineStr">
        <is>
          <t>Entre 10% e 20%</t>
        </is>
      </c>
    </row>
    <row r="29" ht="15.75" customHeight="1" thickBot="1">
      <c r="B29" s="77">
        <f>'Dados Status Invest'!A15</f>
        <v/>
      </c>
      <c r="C29" s="60">
        <f>VLOOKUP(Table_1[[#This Row],[AÇÕES]],'Classificação B3'!A:B,2,0)</f>
        <v/>
      </c>
      <c r="D29" s="60">
        <f>VLOOKUP(Table_1[[#This Row],[AÇÕES]],'Classificação B3'!A:D,4,0)</f>
        <v/>
      </c>
      <c r="E29" s="60">
        <f>VLOOKUP(Table_1[[#This Row],[AÇÕES]],'Classificação B3'!A:F,6,0)</f>
        <v/>
      </c>
      <c r="F29" s="60">
        <f>VLOOKUP(Table_1[[#This Row],[AÇÕES]],'Classificação B3'!A:G,7,0)</f>
        <v/>
      </c>
      <c r="G29" s="61">
        <f>VLOOKUP(Table_1[[#This Row],[AÇÕES]],'Dados Status Invest'!A:B,2,0)</f>
        <v/>
      </c>
      <c r="H29" s="62">
        <f>VLOOKUP(Table_1[[#This Row],[AÇÕES]],'Dados Status Invest'!A:C,3,0)/100</f>
        <v/>
      </c>
      <c r="I29" s="62">
        <f>VLOOKUP(Table_1[[#This Row],[AÇÕES]],'Dados Status Invest'!A:D,4,0)/100</f>
        <v/>
      </c>
      <c r="J29" s="63">
        <f>VLOOKUP(Table_1[[#This Row],[AÇÕES]],'Dados Status Invest'!A:AB,28,0)</f>
        <v/>
      </c>
      <c r="K29" s="63">
        <f>VLOOKUP(Table_1[[#This Row],[AÇÕES]],'Dados Status Invest'!A:AA,27,0)</f>
        <v/>
      </c>
      <c r="L29" s="63">
        <f>Table_1[[#This Row],[PREÇO]]*Table_1[[#This Row],[DY]]</f>
        <v/>
      </c>
      <c r="M29" s="62">
        <f>$E$13</f>
        <v/>
      </c>
      <c r="N29" s="62" t="n">
        <v>0.3</v>
      </c>
      <c r="O29" s="62">
        <f>Table_1[[#This Row],[DPA]]/Table_1[[#This Row],[LPA]]</f>
        <v/>
      </c>
      <c r="P29" s="62">
        <f>IF(Table_1[[#This Row],[PAYOUT]]&lt;=40%,"CRESCIMENTO",IF(Table_1[[#This Row],[PAYOUT]]&lt;=60%,"INDEFINIDO","DIVIDENDOS"))</f>
        <v/>
      </c>
      <c r="Q29" s="62">
        <f>VLOOKUP(Table_1[[#This Row],[AÇÕES]],'Dados Status Invest'!A:R,18,0)/100</f>
        <v/>
      </c>
      <c r="R29" s="62">
        <f>VLOOKUP(Table_1[[#This Row],[AÇÕES]],'Dados Status Invest'!A:Y,25,0)/100</f>
        <v/>
      </c>
      <c r="S29" s="62">
        <f>(1-Table_1[[#This Row],[PAYOUT]])*Table_1[[#This Row],[ROE]]</f>
        <v/>
      </c>
      <c r="T29" s="98">
        <f>AVERAGE(Table_1[[#This Row],[CAGR LUCRO 5A]],Table_1[[#This Row],[CRESCIMENTO DAMODARAN]])</f>
        <v/>
      </c>
      <c r="U29" s="64">
        <f>(Table_1[[#This Row],[PREÇO JUSTO BAZIN]]-Table_1[[#This Row],[PREÇO]])/Table_1[[#This Row],[PREÇO JUSTO BAZIN]]</f>
        <v/>
      </c>
      <c r="V29" s="129">
        <f>Table_1[[#This Row],[DPA]]/6%</f>
        <v/>
      </c>
      <c r="W29" s="129">
        <f>Table_1[[#This Row],[PREÇO JUSTO BAZIN]]/(1+Table_1[[#This Row],[MARGEM DE DESCONTO]])</f>
        <v/>
      </c>
      <c r="X29" s="64">
        <f>(Table_1[[#This Row],[PREÇO JUSTO GRAHAM]]-Table_1[[#This Row],[PREÇO]])/Table_1[[#This Row],[PREÇO JUSTO GRAHAM]]</f>
        <v/>
      </c>
      <c r="Y29" s="129">
        <f>(22.5*Table_1[[#This Row],[LPA]]*Table_1[[#This Row],[VPA]])^0.5</f>
        <v/>
      </c>
      <c r="Z29" s="129">
        <f>Table_1[[#This Row],[PREÇO JUSTO GRAHAM]]/(1+Table_1[[#This Row],[MARGEM DE DESCONTO]])</f>
        <v/>
      </c>
      <c r="AA29" s="64">
        <f>(Table_1[[#This Row],[PREÇO JUSTO GORDON]]-Table_1[[#This Row],[PREÇO]])/Table_1[[#This Row],[PREÇO JUSTO GORDON]]</f>
        <v/>
      </c>
      <c r="AB29" s="130">
        <f>Table_1[[#This Row],[DPA]]*(1+Table_1[[#This Row],[MÉDIA DE CRESCIMENTO]])</f>
        <v/>
      </c>
      <c r="AC29" s="130">
        <f>Table_1[[#This Row],[D1]]/(Table_1[[#This Row],[RISCO]]-Table_1[[#This Row],[MÉDIA DE CRESCIMENTO]])</f>
        <v/>
      </c>
      <c r="AD29" s="130">
        <f>Table_1[[#This Row],[PREÇO JUSTO GORDON]]/(1+Table_1[[#This Row],[MARGEM DE DESCONTO]])</f>
        <v/>
      </c>
      <c r="AE29" s="78">
        <f>Table_1[[#This Row],[P/L]]/Table_1[[#This Row],[MÉDIA DE CRESCIMENTO]]</f>
        <v/>
      </c>
      <c r="AG29" s="17" t="n"/>
      <c r="AH29" s="18" t="inlineStr">
        <is>
          <t>Acima de 20%</t>
        </is>
      </c>
    </row>
    <row r="30" ht="15.75" customHeight="1" thickBot="1">
      <c r="B30" s="77">
        <f>'Dados Status Invest'!A16</f>
        <v/>
      </c>
      <c r="C30" s="60">
        <f>VLOOKUP(Table_1[[#This Row],[AÇÕES]],'Classificação B3'!A:B,2,0)</f>
        <v/>
      </c>
      <c r="D30" s="60">
        <f>VLOOKUP(Table_1[[#This Row],[AÇÕES]],'Classificação B3'!A:D,4,0)</f>
        <v/>
      </c>
      <c r="E30" s="60">
        <f>VLOOKUP(Table_1[[#This Row],[AÇÕES]],'Classificação B3'!A:F,6,0)</f>
        <v/>
      </c>
      <c r="F30" s="60">
        <f>VLOOKUP(Table_1[[#This Row],[AÇÕES]],'Classificação B3'!A:G,7,0)</f>
        <v/>
      </c>
      <c r="G30" s="61">
        <f>VLOOKUP(Table_1[[#This Row],[AÇÕES]],'Dados Status Invest'!A:B,2,0)</f>
        <v/>
      </c>
      <c r="H30" s="62">
        <f>VLOOKUP(Table_1[[#This Row],[AÇÕES]],'Dados Status Invest'!A:C,3,0)/100</f>
        <v/>
      </c>
      <c r="I30" s="62">
        <f>VLOOKUP(Table_1[[#This Row],[AÇÕES]],'Dados Status Invest'!A:D,4,0)/100</f>
        <v/>
      </c>
      <c r="J30" s="63">
        <f>VLOOKUP(Table_1[[#This Row],[AÇÕES]],'Dados Status Invest'!A:AB,28,0)</f>
        <v/>
      </c>
      <c r="K30" s="63">
        <f>VLOOKUP(Table_1[[#This Row],[AÇÕES]],'Dados Status Invest'!A:AA,27,0)</f>
        <v/>
      </c>
      <c r="L30" s="63">
        <f>Table_1[[#This Row],[PREÇO]]*Table_1[[#This Row],[DY]]</f>
        <v/>
      </c>
      <c r="M30" s="62">
        <f>$E$13</f>
        <v/>
      </c>
      <c r="N30" s="62" t="n">
        <v>0.3</v>
      </c>
      <c r="O30" s="62">
        <f>Table_1[[#This Row],[DPA]]/Table_1[[#This Row],[LPA]]</f>
        <v/>
      </c>
      <c r="P30" s="62">
        <f>IF(Table_1[[#This Row],[PAYOUT]]&lt;=40%,"CRESCIMENTO",IF(Table_1[[#This Row],[PAYOUT]]&lt;=60%,"INDEFINIDO","DIVIDENDOS"))</f>
        <v/>
      </c>
      <c r="Q30" s="62">
        <f>VLOOKUP(Table_1[[#This Row],[AÇÕES]],'Dados Status Invest'!A:R,18,0)/100</f>
        <v/>
      </c>
      <c r="R30" s="62">
        <f>VLOOKUP(Table_1[[#This Row],[AÇÕES]],'Dados Status Invest'!A:Y,25,0)/100</f>
        <v/>
      </c>
      <c r="S30" s="62">
        <f>(1-Table_1[[#This Row],[PAYOUT]])*Table_1[[#This Row],[ROE]]</f>
        <v/>
      </c>
      <c r="T30" s="98">
        <f>AVERAGE(Table_1[[#This Row],[CAGR LUCRO 5A]],Table_1[[#This Row],[CRESCIMENTO DAMODARAN]])</f>
        <v/>
      </c>
      <c r="U30" s="64">
        <f>(Table_1[[#This Row],[PREÇO JUSTO BAZIN]]-Table_1[[#This Row],[PREÇO]])/Table_1[[#This Row],[PREÇO JUSTO BAZIN]]</f>
        <v/>
      </c>
      <c r="V30" s="129">
        <f>Table_1[[#This Row],[DPA]]/6%</f>
        <v/>
      </c>
      <c r="W30" s="129">
        <f>Table_1[[#This Row],[PREÇO JUSTO BAZIN]]/(1+Table_1[[#This Row],[MARGEM DE DESCONTO]])</f>
        <v/>
      </c>
      <c r="X30" s="64">
        <f>(Table_1[[#This Row],[PREÇO JUSTO GRAHAM]]-Table_1[[#This Row],[PREÇO]])/Table_1[[#This Row],[PREÇO JUSTO GRAHAM]]</f>
        <v/>
      </c>
      <c r="Y30" s="129">
        <f>(22.5*Table_1[[#This Row],[LPA]]*Table_1[[#This Row],[VPA]])^0.5</f>
        <v/>
      </c>
      <c r="Z30" s="129">
        <f>Table_1[[#This Row],[PREÇO JUSTO GRAHAM]]/(1+Table_1[[#This Row],[MARGEM DE DESCONTO]])</f>
        <v/>
      </c>
      <c r="AA30" s="64">
        <f>(Table_1[[#This Row],[PREÇO JUSTO GORDON]]-Table_1[[#This Row],[PREÇO]])/Table_1[[#This Row],[PREÇO JUSTO GORDON]]</f>
        <v/>
      </c>
      <c r="AB30" s="130">
        <f>Table_1[[#This Row],[DPA]]*(1+Table_1[[#This Row],[MÉDIA DE CRESCIMENTO]])</f>
        <v/>
      </c>
      <c r="AC30" s="130">
        <f>Table_1[[#This Row],[D1]]/(Table_1[[#This Row],[RISCO]]-Table_1[[#This Row],[MÉDIA DE CRESCIMENTO]])</f>
        <v/>
      </c>
      <c r="AD30" s="130">
        <f>Table_1[[#This Row],[PREÇO JUSTO GORDON]]/(1+Table_1[[#This Row],[MARGEM DE DESCONTO]])</f>
        <v/>
      </c>
      <c r="AE30" s="78">
        <f>Table_1[[#This Row],[P/L]]/Table_1[[#This Row],[MÉDIA DE CRESCIMENTO]]</f>
        <v/>
      </c>
    </row>
    <row r="31" ht="15.75" customHeight="1" thickBot="1">
      <c r="B31" s="77">
        <f>'Dados Status Invest'!A17</f>
        <v/>
      </c>
      <c r="C31" s="60">
        <f>VLOOKUP(Table_1[[#This Row],[AÇÕES]],'Classificação B3'!A:B,2,0)</f>
        <v/>
      </c>
      <c r="D31" s="60">
        <f>VLOOKUP(Table_1[[#This Row],[AÇÕES]],'Classificação B3'!A:D,4,0)</f>
        <v/>
      </c>
      <c r="E31" s="60">
        <f>VLOOKUP(Table_1[[#This Row],[AÇÕES]],'Classificação B3'!A:F,6,0)</f>
        <v/>
      </c>
      <c r="F31" s="60">
        <f>VLOOKUP(Table_1[[#This Row],[AÇÕES]],'Classificação B3'!A:G,7,0)</f>
        <v/>
      </c>
      <c r="G31" s="61">
        <f>VLOOKUP(Table_1[[#This Row],[AÇÕES]],'Dados Status Invest'!A:B,2,0)</f>
        <v/>
      </c>
      <c r="H31" s="62">
        <f>VLOOKUP(Table_1[[#This Row],[AÇÕES]],'Dados Status Invest'!A:C,3,0)/100</f>
        <v/>
      </c>
      <c r="I31" s="62">
        <f>VLOOKUP(Table_1[[#This Row],[AÇÕES]],'Dados Status Invest'!A:D,4,0)/100</f>
        <v/>
      </c>
      <c r="J31" s="63">
        <f>VLOOKUP(Table_1[[#This Row],[AÇÕES]],'Dados Status Invest'!A:AB,28,0)</f>
        <v/>
      </c>
      <c r="K31" s="63">
        <f>VLOOKUP(Table_1[[#This Row],[AÇÕES]],'Dados Status Invest'!A:AA,27,0)</f>
        <v/>
      </c>
      <c r="L31" s="63">
        <f>Table_1[[#This Row],[PREÇO]]*Table_1[[#This Row],[DY]]</f>
        <v/>
      </c>
      <c r="M31" s="62">
        <f>$E$13</f>
        <v/>
      </c>
      <c r="N31" s="62" t="n">
        <v>0.3</v>
      </c>
      <c r="O31" s="62">
        <f>Table_1[[#This Row],[DPA]]/Table_1[[#This Row],[LPA]]</f>
        <v/>
      </c>
      <c r="P31" s="62">
        <f>IF(Table_1[[#This Row],[PAYOUT]]&lt;=40%,"CRESCIMENTO",IF(Table_1[[#This Row],[PAYOUT]]&lt;=60%,"INDEFINIDO","DIVIDENDOS"))</f>
        <v/>
      </c>
      <c r="Q31" s="62">
        <f>VLOOKUP(Table_1[[#This Row],[AÇÕES]],'Dados Status Invest'!A:R,18,0)/100</f>
        <v/>
      </c>
      <c r="R31" s="62">
        <f>VLOOKUP(Table_1[[#This Row],[AÇÕES]],'Dados Status Invest'!A:Y,25,0)/100</f>
        <v/>
      </c>
      <c r="S31" s="62">
        <f>(1-Table_1[[#This Row],[PAYOUT]])*Table_1[[#This Row],[ROE]]</f>
        <v/>
      </c>
      <c r="T31" s="98">
        <f>AVERAGE(Table_1[[#This Row],[CAGR LUCRO 5A]],Table_1[[#This Row],[CRESCIMENTO DAMODARAN]])</f>
        <v/>
      </c>
      <c r="U31" s="64">
        <f>(Table_1[[#This Row],[PREÇO JUSTO BAZIN]]-Table_1[[#This Row],[PREÇO]])/Table_1[[#This Row],[PREÇO JUSTO BAZIN]]</f>
        <v/>
      </c>
      <c r="V31" s="129">
        <f>Table_1[[#This Row],[DPA]]/6%</f>
        <v/>
      </c>
      <c r="W31" s="129">
        <f>Table_1[[#This Row],[PREÇO JUSTO BAZIN]]/(1+Table_1[[#This Row],[MARGEM DE DESCONTO]])</f>
        <v/>
      </c>
      <c r="X31" s="64">
        <f>(Table_1[[#This Row],[PREÇO JUSTO GRAHAM]]-Table_1[[#This Row],[PREÇO]])/Table_1[[#This Row],[PREÇO JUSTO GRAHAM]]</f>
        <v/>
      </c>
      <c r="Y31" s="129">
        <f>(22.5*Table_1[[#This Row],[LPA]]*Table_1[[#This Row],[VPA]])^0.5</f>
        <v/>
      </c>
      <c r="Z31" s="129">
        <f>Table_1[[#This Row],[PREÇO JUSTO GRAHAM]]/(1+Table_1[[#This Row],[MARGEM DE DESCONTO]])</f>
        <v/>
      </c>
      <c r="AA31" s="64">
        <f>(Table_1[[#This Row],[PREÇO JUSTO GORDON]]-Table_1[[#This Row],[PREÇO]])/Table_1[[#This Row],[PREÇO JUSTO GORDON]]</f>
        <v/>
      </c>
      <c r="AB31" s="130">
        <f>Table_1[[#This Row],[DPA]]*(1+Table_1[[#This Row],[MÉDIA DE CRESCIMENTO]])</f>
        <v/>
      </c>
      <c r="AC31" s="130">
        <f>Table_1[[#This Row],[D1]]/(Table_1[[#This Row],[RISCO]]-Table_1[[#This Row],[MÉDIA DE CRESCIMENTO]])</f>
        <v/>
      </c>
      <c r="AD31" s="130">
        <f>Table_1[[#This Row],[PREÇO JUSTO GORDON]]/(1+Table_1[[#This Row],[MARGEM DE DESCONTO]])</f>
        <v/>
      </c>
      <c r="AE31" s="78">
        <f>Table_1[[#This Row],[P/L]]/Table_1[[#This Row],[MÉDIA DE CRESCIMENTO]]</f>
        <v/>
      </c>
      <c r="AG31" s="138" t="inlineStr">
        <is>
          <t>CRESCIMENTO X DIVIDENDOS</t>
        </is>
      </c>
      <c r="AH31" s="121" t="n"/>
      <c r="AI31" s="13" t="n"/>
      <c r="AJ31" s="5" t="n"/>
      <c r="AK31" s="5" t="n"/>
    </row>
    <row r="32" ht="15.75" customHeight="1">
      <c r="B32" s="77">
        <f>'Dados Status Invest'!A18</f>
        <v/>
      </c>
      <c r="C32" s="60">
        <f>VLOOKUP(Table_1[[#This Row],[AÇÕES]],'Classificação B3'!A:B,2,0)</f>
        <v/>
      </c>
      <c r="D32" s="60">
        <f>VLOOKUP(Table_1[[#This Row],[AÇÕES]],'Classificação B3'!A:D,4,0)</f>
        <v/>
      </c>
      <c r="E32" s="60">
        <f>VLOOKUP(Table_1[[#This Row],[AÇÕES]],'Classificação B3'!A:F,6,0)</f>
        <v/>
      </c>
      <c r="F32" s="60">
        <f>VLOOKUP(Table_1[[#This Row],[AÇÕES]],'Classificação B3'!A:G,7,0)</f>
        <v/>
      </c>
      <c r="G32" s="61">
        <f>VLOOKUP(Table_1[[#This Row],[AÇÕES]],'Dados Status Invest'!A:B,2,0)</f>
        <v/>
      </c>
      <c r="H32" s="62">
        <f>VLOOKUP(Table_1[[#This Row],[AÇÕES]],'Dados Status Invest'!A:C,3,0)/100</f>
        <v/>
      </c>
      <c r="I32" s="62">
        <f>VLOOKUP(Table_1[[#This Row],[AÇÕES]],'Dados Status Invest'!A:D,4,0)/100</f>
        <v/>
      </c>
      <c r="J32" s="63">
        <f>VLOOKUP(Table_1[[#This Row],[AÇÕES]],'Dados Status Invest'!A:AB,28,0)</f>
        <v/>
      </c>
      <c r="K32" s="63">
        <f>VLOOKUP(Table_1[[#This Row],[AÇÕES]],'Dados Status Invest'!A:AA,27,0)</f>
        <v/>
      </c>
      <c r="L32" s="63">
        <f>Table_1[[#This Row],[PREÇO]]*Table_1[[#This Row],[DY]]</f>
        <v/>
      </c>
      <c r="M32" s="62">
        <f>$E$13</f>
        <v/>
      </c>
      <c r="N32" s="62" t="n">
        <v>0.3</v>
      </c>
      <c r="O32" s="62">
        <f>Table_1[[#This Row],[DPA]]/Table_1[[#This Row],[LPA]]</f>
        <v/>
      </c>
      <c r="P32" s="62">
        <f>IF(Table_1[[#This Row],[PAYOUT]]&lt;=40%,"CRESCIMENTO",IF(Table_1[[#This Row],[PAYOUT]]&lt;=60%,"INDEFINIDO","DIVIDENDOS"))</f>
        <v/>
      </c>
      <c r="Q32" s="62">
        <f>VLOOKUP(Table_1[[#This Row],[AÇÕES]],'Dados Status Invest'!A:R,18,0)/100</f>
        <v/>
      </c>
      <c r="R32" s="62">
        <f>VLOOKUP(Table_1[[#This Row],[AÇÕES]],'Dados Status Invest'!A:Y,25,0)/100</f>
        <v/>
      </c>
      <c r="S32" s="62">
        <f>(1-Table_1[[#This Row],[PAYOUT]])*Table_1[[#This Row],[ROE]]</f>
        <v/>
      </c>
      <c r="T32" s="98">
        <f>AVERAGE(Table_1[[#This Row],[CAGR LUCRO 5A]],Table_1[[#This Row],[CRESCIMENTO DAMODARAN]])</f>
        <v/>
      </c>
      <c r="U32" s="64">
        <f>(Table_1[[#This Row],[PREÇO JUSTO BAZIN]]-Table_1[[#This Row],[PREÇO]])/Table_1[[#This Row],[PREÇO JUSTO BAZIN]]</f>
        <v/>
      </c>
      <c r="V32" s="129">
        <f>Table_1[[#This Row],[DPA]]/6%</f>
        <v/>
      </c>
      <c r="W32" s="129">
        <f>Table_1[[#This Row],[PREÇO JUSTO BAZIN]]/(1+Table_1[[#This Row],[MARGEM DE DESCONTO]])</f>
        <v/>
      </c>
      <c r="X32" s="64">
        <f>(Table_1[[#This Row],[PREÇO JUSTO GRAHAM]]-Table_1[[#This Row],[PREÇO]])/Table_1[[#This Row],[PREÇO JUSTO GRAHAM]]</f>
        <v/>
      </c>
      <c r="Y32" s="129">
        <f>(22.5*Table_1[[#This Row],[LPA]]*Table_1[[#This Row],[VPA]])^0.5</f>
        <v/>
      </c>
      <c r="Z32" s="129">
        <f>Table_1[[#This Row],[PREÇO JUSTO GRAHAM]]/(1+Table_1[[#This Row],[MARGEM DE DESCONTO]])</f>
        <v/>
      </c>
      <c r="AA32" s="64">
        <f>(Table_1[[#This Row],[PREÇO JUSTO GORDON]]-Table_1[[#This Row],[PREÇO]])/Table_1[[#This Row],[PREÇO JUSTO GORDON]]</f>
        <v/>
      </c>
      <c r="AB32" s="130">
        <f>Table_1[[#This Row],[DPA]]*(1+Table_1[[#This Row],[MÉDIA DE CRESCIMENTO]])</f>
        <v/>
      </c>
      <c r="AC32" s="130">
        <f>Table_1[[#This Row],[D1]]/(Table_1[[#This Row],[RISCO]]-Table_1[[#This Row],[MÉDIA DE CRESCIMENTO]])</f>
        <v/>
      </c>
      <c r="AD32" s="130">
        <f>Table_1[[#This Row],[PREÇO JUSTO GORDON]]/(1+Table_1[[#This Row],[MARGEM DE DESCONTO]])</f>
        <v/>
      </c>
      <c r="AE32" s="78">
        <f>Table_1[[#This Row],[P/L]]/Table_1[[#This Row],[MÉDIA DE CRESCIMENTO]]</f>
        <v/>
      </c>
      <c r="AG32" s="91" t="inlineStr">
        <is>
          <t>DIVIDENDOS</t>
        </is>
      </c>
      <c r="AH32" s="92" t="inlineStr">
        <is>
          <t>PAYOUT MAIOR OU IGUAL A 60%</t>
        </is>
      </c>
    </row>
    <row r="33" ht="15.75" customHeight="1">
      <c r="B33" s="77">
        <f>'Dados Status Invest'!A19</f>
        <v/>
      </c>
      <c r="C33" s="60">
        <f>VLOOKUP(Table_1[[#This Row],[AÇÕES]],'Classificação B3'!A:B,2,0)</f>
        <v/>
      </c>
      <c r="D33" s="60">
        <f>VLOOKUP(Table_1[[#This Row],[AÇÕES]],'Classificação B3'!A:D,4,0)</f>
        <v/>
      </c>
      <c r="E33" s="60">
        <f>VLOOKUP(Table_1[[#This Row],[AÇÕES]],'Classificação B3'!A:F,6,0)</f>
        <v/>
      </c>
      <c r="F33" s="60">
        <f>VLOOKUP(Table_1[[#This Row],[AÇÕES]],'Classificação B3'!A:G,7,0)</f>
        <v/>
      </c>
      <c r="G33" s="61">
        <f>VLOOKUP(Table_1[[#This Row],[AÇÕES]],'Dados Status Invest'!A:B,2,0)</f>
        <v/>
      </c>
      <c r="H33" s="62">
        <f>VLOOKUP(Table_1[[#This Row],[AÇÕES]],'Dados Status Invest'!A:C,3,0)/100</f>
        <v/>
      </c>
      <c r="I33" s="62">
        <f>VLOOKUP(Table_1[[#This Row],[AÇÕES]],'Dados Status Invest'!A:D,4,0)/100</f>
        <v/>
      </c>
      <c r="J33" s="63">
        <f>VLOOKUP(Table_1[[#This Row],[AÇÕES]],'Dados Status Invest'!A:AB,28,0)</f>
        <v/>
      </c>
      <c r="K33" s="63">
        <f>VLOOKUP(Table_1[[#This Row],[AÇÕES]],'Dados Status Invest'!A:AA,27,0)</f>
        <v/>
      </c>
      <c r="L33" s="63">
        <f>Table_1[[#This Row],[PREÇO]]*Table_1[[#This Row],[DY]]</f>
        <v/>
      </c>
      <c r="M33" s="62">
        <f>$E$13</f>
        <v/>
      </c>
      <c r="N33" s="62" t="n">
        <v>0.3</v>
      </c>
      <c r="O33" s="62">
        <f>Table_1[[#This Row],[DPA]]/Table_1[[#This Row],[LPA]]</f>
        <v/>
      </c>
      <c r="P33" s="62">
        <f>IF(Table_1[[#This Row],[PAYOUT]]&lt;=40%,"CRESCIMENTO",IF(Table_1[[#This Row],[PAYOUT]]&lt;=60%,"INDEFINIDO","DIVIDENDOS"))</f>
        <v/>
      </c>
      <c r="Q33" s="62">
        <f>VLOOKUP(Table_1[[#This Row],[AÇÕES]],'Dados Status Invest'!A:R,18,0)/100</f>
        <v/>
      </c>
      <c r="R33" s="62">
        <f>VLOOKUP(Table_1[[#This Row],[AÇÕES]],'Dados Status Invest'!A:Y,25,0)/100</f>
        <v/>
      </c>
      <c r="S33" s="62">
        <f>(1-Table_1[[#This Row],[PAYOUT]])*Table_1[[#This Row],[ROE]]</f>
        <v/>
      </c>
      <c r="T33" s="98">
        <f>AVERAGE(Table_1[[#This Row],[CAGR LUCRO 5A]],Table_1[[#This Row],[CRESCIMENTO DAMODARAN]])</f>
        <v/>
      </c>
      <c r="U33" s="64">
        <f>(Table_1[[#This Row],[PREÇO JUSTO BAZIN]]-Table_1[[#This Row],[PREÇO]])/Table_1[[#This Row],[PREÇO JUSTO BAZIN]]</f>
        <v/>
      </c>
      <c r="V33" s="129">
        <f>Table_1[[#This Row],[DPA]]/6%</f>
        <v/>
      </c>
      <c r="W33" s="129">
        <f>Table_1[[#This Row],[PREÇO JUSTO BAZIN]]/(1+Table_1[[#This Row],[MARGEM DE DESCONTO]])</f>
        <v/>
      </c>
      <c r="X33" s="64">
        <f>(Table_1[[#This Row],[PREÇO JUSTO GRAHAM]]-Table_1[[#This Row],[PREÇO]])/Table_1[[#This Row],[PREÇO JUSTO GRAHAM]]</f>
        <v/>
      </c>
      <c r="Y33" s="129">
        <f>(22.5*Table_1[[#This Row],[LPA]]*Table_1[[#This Row],[VPA]])^0.5</f>
        <v/>
      </c>
      <c r="Z33" s="129">
        <f>Table_1[[#This Row],[PREÇO JUSTO GRAHAM]]/(1+Table_1[[#This Row],[MARGEM DE DESCONTO]])</f>
        <v/>
      </c>
      <c r="AA33" s="64">
        <f>(Table_1[[#This Row],[PREÇO JUSTO GORDON]]-Table_1[[#This Row],[PREÇO]])/Table_1[[#This Row],[PREÇO JUSTO GORDON]]</f>
        <v/>
      </c>
      <c r="AB33" s="130">
        <f>Table_1[[#This Row],[DPA]]*(1+Table_1[[#This Row],[MÉDIA DE CRESCIMENTO]])</f>
        <v/>
      </c>
      <c r="AC33" s="130">
        <f>Table_1[[#This Row],[D1]]/(Table_1[[#This Row],[RISCO]]-Table_1[[#This Row],[MÉDIA DE CRESCIMENTO]])</f>
        <v/>
      </c>
      <c r="AD33" s="130">
        <f>Table_1[[#This Row],[PREÇO JUSTO GORDON]]/(1+Table_1[[#This Row],[MARGEM DE DESCONTO]])</f>
        <v/>
      </c>
      <c r="AE33" s="78">
        <f>Table_1[[#This Row],[P/L]]/Table_1[[#This Row],[MÉDIA DE CRESCIMENTO]]</f>
        <v/>
      </c>
      <c r="AG33" s="93" t="inlineStr">
        <is>
          <t>CRESCIMENTO</t>
        </is>
      </c>
      <c r="AH33" s="94" t="inlineStr">
        <is>
          <t>PAYOUT MENOR OU IGUAL A 40%</t>
        </is>
      </c>
      <c r="AI33" s="5" t="n"/>
      <c r="AJ33" s="5" t="n"/>
    </row>
    <row r="34" ht="15.75" customHeight="1" thickBot="1">
      <c r="B34" s="77">
        <f>'Dados Status Invest'!A20</f>
        <v/>
      </c>
      <c r="C34" s="60">
        <f>VLOOKUP(Table_1[[#This Row],[AÇÕES]],'Classificação B3'!A:B,2,0)</f>
        <v/>
      </c>
      <c r="D34" s="60">
        <f>VLOOKUP(Table_1[[#This Row],[AÇÕES]],'Classificação B3'!A:D,4,0)</f>
        <v/>
      </c>
      <c r="E34" s="60">
        <f>VLOOKUP(Table_1[[#This Row],[AÇÕES]],'Classificação B3'!A:F,6,0)</f>
        <v/>
      </c>
      <c r="F34" s="60">
        <f>VLOOKUP(Table_1[[#This Row],[AÇÕES]],'Classificação B3'!A:G,7,0)</f>
        <v/>
      </c>
      <c r="G34" s="61">
        <f>VLOOKUP(Table_1[[#This Row],[AÇÕES]],'Dados Status Invest'!A:B,2,0)</f>
        <v/>
      </c>
      <c r="H34" s="62">
        <f>VLOOKUP(Table_1[[#This Row],[AÇÕES]],'Dados Status Invest'!A:C,3,0)/100</f>
        <v/>
      </c>
      <c r="I34" s="62">
        <f>VLOOKUP(Table_1[[#This Row],[AÇÕES]],'Dados Status Invest'!A:D,4,0)/100</f>
        <v/>
      </c>
      <c r="J34" s="63">
        <f>VLOOKUP(Table_1[[#This Row],[AÇÕES]],'Dados Status Invest'!A:AB,28,0)</f>
        <v/>
      </c>
      <c r="K34" s="63">
        <f>VLOOKUP(Table_1[[#This Row],[AÇÕES]],'Dados Status Invest'!A:AA,27,0)</f>
        <v/>
      </c>
      <c r="L34" s="63">
        <f>Table_1[[#This Row],[PREÇO]]*Table_1[[#This Row],[DY]]</f>
        <v/>
      </c>
      <c r="M34" s="62">
        <f>$E$13</f>
        <v/>
      </c>
      <c r="N34" s="62" t="n">
        <v>0.3</v>
      </c>
      <c r="O34" s="62">
        <f>Table_1[[#This Row],[DPA]]/Table_1[[#This Row],[LPA]]</f>
        <v/>
      </c>
      <c r="P34" s="62">
        <f>IF(Table_1[[#This Row],[PAYOUT]]&lt;=40%,"CRESCIMENTO",IF(Table_1[[#This Row],[PAYOUT]]&lt;=60%,"INDEFINIDO","DIVIDENDOS"))</f>
        <v/>
      </c>
      <c r="Q34" s="62">
        <f>VLOOKUP(Table_1[[#This Row],[AÇÕES]],'Dados Status Invest'!A:R,18,0)/100</f>
        <v/>
      </c>
      <c r="R34" s="62">
        <f>VLOOKUP(Table_1[[#This Row],[AÇÕES]],'Dados Status Invest'!A:Y,25,0)/100</f>
        <v/>
      </c>
      <c r="S34" s="62">
        <f>(1-Table_1[[#This Row],[PAYOUT]])*Table_1[[#This Row],[ROE]]</f>
        <v/>
      </c>
      <c r="T34" s="98">
        <f>AVERAGE(Table_1[[#This Row],[CAGR LUCRO 5A]],Table_1[[#This Row],[CRESCIMENTO DAMODARAN]])</f>
        <v/>
      </c>
      <c r="U34" s="64">
        <f>(Table_1[[#This Row],[PREÇO JUSTO BAZIN]]-Table_1[[#This Row],[PREÇO]])/Table_1[[#This Row],[PREÇO JUSTO BAZIN]]</f>
        <v/>
      </c>
      <c r="V34" s="129">
        <f>Table_1[[#This Row],[DPA]]/6%</f>
        <v/>
      </c>
      <c r="W34" s="129">
        <f>Table_1[[#This Row],[PREÇO JUSTO BAZIN]]/(1+Table_1[[#This Row],[MARGEM DE DESCONTO]])</f>
        <v/>
      </c>
      <c r="X34" s="64">
        <f>(Table_1[[#This Row],[PREÇO JUSTO GRAHAM]]-Table_1[[#This Row],[PREÇO]])/Table_1[[#This Row],[PREÇO JUSTO GRAHAM]]</f>
        <v/>
      </c>
      <c r="Y34" s="129">
        <f>(22.5*Table_1[[#This Row],[LPA]]*Table_1[[#This Row],[VPA]])^0.5</f>
        <v/>
      </c>
      <c r="Z34" s="129">
        <f>Table_1[[#This Row],[PREÇO JUSTO GRAHAM]]/(1+Table_1[[#This Row],[MARGEM DE DESCONTO]])</f>
        <v/>
      </c>
      <c r="AA34" s="64">
        <f>(Table_1[[#This Row],[PREÇO JUSTO GORDON]]-Table_1[[#This Row],[PREÇO]])/Table_1[[#This Row],[PREÇO JUSTO GORDON]]</f>
        <v/>
      </c>
      <c r="AB34" s="130">
        <f>Table_1[[#This Row],[DPA]]*(1+Table_1[[#This Row],[MÉDIA DE CRESCIMENTO]])</f>
        <v/>
      </c>
      <c r="AC34" s="130">
        <f>Table_1[[#This Row],[D1]]/(Table_1[[#This Row],[RISCO]]-Table_1[[#This Row],[MÉDIA DE CRESCIMENTO]])</f>
        <v/>
      </c>
      <c r="AD34" s="130">
        <f>Table_1[[#This Row],[PREÇO JUSTO GORDON]]/(1+Table_1[[#This Row],[MARGEM DE DESCONTO]])</f>
        <v/>
      </c>
      <c r="AE34" s="78">
        <f>Table_1[[#This Row],[P/L]]/Table_1[[#This Row],[MÉDIA DE CRESCIMENTO]]</f>
        <v/>
      </c>
      <c r="AG34" s="95" t="inlineStr">
        <is>
          <t>INDEFINIDO</t>
        </is>
      </c>
      <c r="AH34" s="96" t="inlineStr">
        <is>
          <t>PAYOUT ENTRE 40 E 60%</t>
        </is>
      </c>
    </row>
    <row r="35" ht="15.75" customHeight="1">
      <c r="B35" s="77">
        <f>'Dados Status Invest'!A21</f>
        <v/>
      </c>
      <c r="C35" s="60">
        <f>VLOOKUP(Table_1[[#This Row],[AÇÕES]],'Classificação B3'!A:B,2,0)</f>
        <v/>
      </c>
      <c r="D35" s="60">
        <f>VLOOKUP(Table_1[[#This Row],[AÇÕES]],'Classificação B3'!A:D,4,0)</f>
        <v/>
      </c>
      <c r="E35" s="60">
        <f>VLOOKUP(Table_1[[#This Row],[AÇÕES]],'Classificação B3'!A:F,6,0)</f>
        <v/>
      </c>
      <c r="F35" s="60">
        <f>VLOOKUP(Table_1[[#This Row],[AÇÕES]],'Classificação B3'!A:G,7,0)</f>
        <v/>
      </c>
      <c r="G35" s="61">
        <f>VLOOKUP(Table_1[[#This Row],[AÇÕES]],'Dados Status Invest'!A:B,2,0)</f>
        <v/>
      </c>
      <c r="H35" s="62">
        <f>VLOOKUP(Table_1[[#This Row],[AÇÕES]],'Dados Status Invest'!A:C,3,0)/100</f>
        <v/>
      </c>
      <c r="I35" s="62">
        <f>VLOOKUP(Table_1[[#This Row],[AÇÕES]],'Dados Status Invest'!A:D,4,0)/100</f>
        <v/>
      </c>
      <c r="J35" s="63">
        <f>VLOOKUP(Table_1[[#This Row],[AÇÕES]],'Dados Status Invest'!A:AB,28,0)</f>
        <v/>
      </c>
      <c r="K35" s="63">
        <f>VLOOKUP(Table_1[[#This Row],[AÇÕES]],'Dados Status Invest'!A:AA,27,0)</f>
        <v/>
      </c>
      <c r="L35" s="63">
        <f>Table_1[[#This Row],[PREÇO]]*Table_1[[#This Row],[DY]]</f>
        <v/>
      </c>
      <c r="M35" s="62">
        <f>$E$13</f>
        <v/>
      </c>
      <c r="N35" s="62" t="n">
        <v>0.3</v>
      </c>
      <c r="O35" s="62">
        <f>Table_1[[#This Row],[DPA]]/Table_1[[#This Row],[LPA]]</f>
        <v/>
      </c>
      <c r="P35" s="62">
        <f>IF(Table_1[[#This Row],[PAYOUT]]&lt;=40%,"CRESCIMENTO",IF(Table_1[[#This Row],[PAYOUT]]&lt;=60%,"INDEFINIDO","DIVIDENDOS"))</f>
        <v/>
      </c>
      <c r="Q35" s="62">
        <f>VLOOKUP(Table_1[[#This Row],[AÇÕES]],'Dados Status Invest'!A:R,18,0)/100</f>
        <v/>
      </c>
      <c r="R35" s="62">
        <f>VLOOKUP(Table_1[[#This Row],[AÇÕES]],'Dados Status Invest'!A:Y,25,0)/100</f>
        <v/>
      </c>
      <c r="S35" s="62">
        <f>(1-Table_1[[#This Row],[PAYOUT]])*Table_1[[#This Row],[ROE]]</f>
        <v/>
      </c>
      <c r="T35" s="98">
        <f>AVERAGE(Table_1[[#This Row],[CAGR LUCRO 5A]],Table_1[[#This Row],[CRESCIMENTO DAMODARAN]])</f>
        <v/>
      </c>
      <c r="U35" s="64">
        <f>(Table_1[[#This Row],[PREÇO JUSTO BAZIN]]-Table_1[[#This Row],[PREÇO]])/Table_1[[#This Row],[PREÇO JUSTO BAZIN]]</f>
        <v/>
      </c>
      <c r="V35" s="129">
        <f>Table_1[[#This Row],[DPA]]/6%</f>
        <v/>
      </c>
      <c r="W35" s="129">
        <f>Table_1[[#This Row],[PREÇO JUSTO BAZIN]]/(1+Table_1[[#This Row],[MARGEM DE DESCONTO]])</f>
        <v/>
      </c>
      <c r="X35" s="64">
        <f>(Table_1[[#This Row],[PREÇO JUSTO GRAHAM]]-Table_1[[#This Row],[PREÇO]])/Table_1[[#This Row],[PREÇO JUSTO GRAHAM]]</f>
        <v/>
      </c>
      <c r="Y35" s="129">
        <f>(22.5*Table_1[[#This Row],[LPA]]*Table_1[[#This Row],[VPA]])^0.5</f>
        <v/>
      </c>
      <c r="Z35" s="129">
        <f>Table_1[[#This Row],[PREÇO JUSTO GRAHAM]]/(1+Table_1[[#This Row],[MARGEM DE DESCONTO]])</f>
        <v/>
      </c>
      <c r="AA35" s="64">
        <f>(Table_1[[#This Row],[PREÇO JUSTO GORDON]]-Table_1[[#This Row],[PREÇO]])/Table_1[[#This Row],[PREÇO JUSTO GORDON]]</f>
        <v/>
      </c>
      <c r="AB35" s="130">
        <f>Table_1[[#This Row],[DPA]]*(1+Table_1[[#This Row],[MÉDIA DE CRESCIMENTO]])</f>
        <v/>
      </c>
      <c r="AC35" s="130">
        <f>Table_1[[#This Row],[D1]]/(Table_1[[#This Row],[RISCO]]-Table_1[[#This Row],[MÉDIA DE CRESCIMENTO]])</f>
        <v/>
      </c>
      <c r="AD35" s="130">
        <f>Table_1[[#This Row],[PREÇO JUSTO GORDON]]/(1+Table_1[[#This Row],[MARGEM DE DESCONTO]])</f>
        <v/>
      </c>
      <c r="AE35" s="78">
        <f>Table_1[[#This Row],[P/L]]/Table_1[[#This Row],[MÉDIA DE CRESCIMENTO]]</f>
        <v/>
      </c>
      <c r="AI35" s="5" t="n"/>
      <c r="AJ35" s="5" t="n"/>
    </row>
    <row r="36" ht="15.75" customHeight="1">
      <c r="B36" s="77">
        <f>'Dados Status Invest'!A22</f>
        <v/>
      </c>
      <c r="C36" s="60">
        <f>VLOOKUP(Table_1[[#This Row],[AÇÕES]],'Classificação B3'!A:B,2,0)</f>
        <v/>
      </c>
      <c r="D36" s="60">
        <f>VLOOKUP(Table_1[[#This Row],[AÇÕES]],'Classificação B3'!A:D,4,0)</f>
        <v/>
      </c>
      <c r="E36" s="60">
        <f>VLOOKUP(Table_1[[#This Row],[AÇÕES]],'Classificação B3'!A:F,6,0)</f>
        <v/>
      </c>
      <c r="F36" s="60">
        <f>VLOOKUP(Table_1[[#This Row],[AÇÕES]],'Classificação B3'!A:G,7,0)</f>
        <v/>
      </c>
      <c r="G36" s="61">
        <f>VLOOKUP(Table_1[[#This Row],[AÇÕES]],'Dados Status Invest'!A:B,2,0)</f>
        <v/>
      </c>
      <c r="H36" s="62">
        <f>VLOOKUP(Table_1[[#This Row],[AÇÕES]],'Dados Status Invest'!A:C,3,0)/100</f>
        <v/>
      </c>
      <c r="I36" s="62">
        <f>VLOOKUP(Table_1[[#This Row],[AÇÕES]],'Dados Status Invest'!A:D,4,0)/100</f>
        <v/>
      </c>
      <c r="J36" s="63">
        <f>VLOOKUP(Table_1[[#This Row],[AÇÕES]],'Dados Status Invest'!A:AB,28,0)</f>
        <v/>
      </c>
      <c r="K36" s="63">
        <f>VLOOKUP(Table_1[[#This Row],[AÇÕES]],'Dados Status Invest'!A:AA,27,0)</f>
        <v/>
      </c>
      <c r="L36" s="63">
        <f>Table_1[[#This Row],[PREÇO]]*Table_1[[#This Row],[DY]]</f>
        <v/>
      </c>
      <c r="M36" s="62">
        <f>$E$13</f>
        <v/>
      </c>
      <c r="N36" s="62" t="n">
        <v>0.3</v>
      </c>
      <c r="O36" s="62">
        <f>Table_1[[#This Row],[DPA]]/Table_1[[#This Row],[LPA]]</f>
        <v/>
      </c>
      <c r="P36" s="62">
        <f>IF(Table_1[[#This Row],[PAYOUT]]&lt;=40%,"CRESCIMENTO",IF(Table_1[[#This Row],[PAYOUT]]&lt;=60%,"INDEFINIDO","DIVIDENDOS"))</f>
        <v/>
      </c>
      <c r="Q36" s="62">
        <f>VLOOKUP(Table_1[[#This Row],[AÇÕES]],'Dados Status Invest'!A:R,18,0)/100</f>
        <v/>
      </c>
      <c r="R36" s="62">
        <f>VLOOKUP(Table_1[[#This Row],[AÇÕES]],'Dados Status Invest'!A:Y,25,0)/100</f>
        <v/>
      </c>
      <c r="S36" s="62">
        <f>(1-Table_1[[#This Row],[PAYOUT]])*Table_1[[#This Row],[ROE]]</f>
        <v/>
      </c>
      <c r="T36" s="98">
        <f>AVERAGE(Table_1[[#This Row],[CAGR LUCRO 5A]],Table_1[[#This Row],[CRESCIMENTO DAMODARAN]])</f>
        <v/>
      </c>
      <c r="U36" s="64">
        <f>(Table_1[[#This Row],[PREÇO JUSTO BAZIN]]-Table_1[[#This Row],[PREÇO]])/Table_1[[#This Row],[PREÇO JUSTO BAZIN]]</f>
        <v/>
      </c>
      <c r="V36" s="129">
        <f>Table_1[[#This Row],[DPA]]/6%</f>
        <v/>
      </c>
      <c r="W36" s="129">
        <f>Table_1[[#This Row],[PREÇO JUSTO BAZIN]]/(1+Table_1[[#This Row],[MARGEM DE DESCONTO]])</f>
        <v/>
      </c>
      <c r="X36" s="64">
        <f>(Table_1[[#This Row],[PREÇO JUSTO GRAHAM]]-Table_1[[#This Row],[PREÇO]])/Table_1[[#This Row],[PREÇO JUSTO GRAHAM]]</f>
        <v/>
      </c>
      <c r="Y36" s="129">
        <f>(22.5*Table_1[[#This Row],[LPA]]*Table_1[[#This Row],[VPA]])^0.5</f>
        <v/>
      </c>
      <c r="Z36" s="129">
        <f>Table_1[[#This Row],[PREÇO JUSTO GRAHAM]]/(1+Table_1[[#This Row],[MARGEM DE DESCONTO]])</f>
        <v/>
      </c>
      <c r="AA36" s="64">
        <f>(Table_1[[#This Row],[PREÇO JUSTO GORDON]]-Table_1[[#This Row],[PREÇO]])/Table_1[[#This Row],[PREÇO JUSTO GORDON]]</f>
        <v/>
      </c>
      <c r="AB36" s="130">
        <f>Table_1[[#This Row],[DPA]]*(1+Table_1[[#This Row],[MÉDIA DE CRESCIMENTO]])</f>
        <v/>
      </c>
      <c r="AC36" s="130">
        <f>Table_1[[#This Row],[D1]]/(Table_1[[#This Row],[RISCO]]-Table_1[[#This Row],[MÉDIA DE CRESCIMENTO]])</f>
        <v/>
      </c>
      <c r="AD36" s="130">
        <f>Table_1[[#This Row],[PREÇO JUSTO GORDON]]/(1+Table_1[[#This Row],[MARGEM DE DESCONTO]])</f>
        <v/>
      </c>
      <c r="AE36" s="78">
        <f>Table_1[[#This Row],[P/L]]/Table_1[[#This Row],[MÉDIA DE CRESCIMENTO]]</f>
        <v/>
      </c>
    </row>
    <row r="37" ht="15.75" customHeight="1">
      <c r="B37" s="77">
        <f>'Dados Status Invest'!A23</f>
        <v/>
      </c>
      <c r="C37" s="60">
        <f>VLOOKUP(Table_1[[#This Row],[AÇÕES]],'Classificação B3'!A:B,2,0)</f>
        <v/>
      </c>
      <c r="D37" s="60">
        <f>VLOOKUP(Table_1[[#This Row],[AÇÕES]],'Classificação B3'!A:D,4,0)</f>
        <v/>
      </c>
      <c r="E37" s="60">
        <f>VLOOKUP(Table_1[[#This Row],[AÇÕES]],'Classificação B3'!A:F,6,0)</f>
        <v/>
      </c>
      <c r="F37" s="60">
        <f>VLOOKUP(Table_1[[#This Row],[AÇÕES]],'Classificação B3'!A:G,7,0)</f>
        <v/>
      </c>
      <c r="G37" s="61">
        <f>VLOOKUP(Table_1[[#This Row],[AÇÕES]],'Dados Status Invest'!A:B,2,0)</f>
        <v/>
      </c>
      <c r="H37" s="62">
        <f>VLOOKUP(Table_1[[#This Row],[AÇÕES]],'Dados Status Invest'!A:C,3,0)/100</f>
        <v/>
      </c>
      <c r="I37" s="62">
        <f>VLOOKUP(Table_1[[#This Row],[AÇÕES]],'Dados Status Invest'!A:D,4,0)/100</f>
        <v/>
      </c>
      <c r="J37" s="63">
        <f>VLOOKUP(Table_1[[#This Row],[AÇÕES]],'Dados Status Invest'!A:AB,28,0)</f>
        <v/>
      </c>
      <c r="K37" s="63">
        <f>VLOOKUP(Table_1[[#This Row],[AÇÕES]],'Dados Status Invest'!A:AA,27,0)</f>
        <v/>
      </c>
      <c r="L37" s="63">
        <f>Table_1[[#This Row],[PREÇO]]*Table_1[[#This Row],[DY]]</f>
        <v/>
      </c>
      <c r="M37" s="62">
        <f>$E$13</f>
        <v/>
      </c>
      <c r="N37" s="62" t="n">
        <v>0.3</v>
      </c>
      <c r="O37" s="62">
        <f>Table_1[[#This Row],[DPA]]/Table_1[[#This Row],[LPA]]</f>
        <v/>
      </c>
      <c r="P37" s="62">
        <f>IF(Table_1[[#This Row],[PAYOUT]]&lt;=40%,"CRESCIMENTO",IF(Table_1[[#This Row],[PAYOUT]]&lt;=60%,"INDEFINIDO","DIVIDENDOS"))</f>
        <v/>
      </c>
      <c r="Q37" s="62">
        <f>VLOOKUP(Table_1[[#This Row],[AÇÕES]],'Dados Status Invest'!A:R,18,0)/100</f>
        <v/>
      </c>
      <c r="R37" s="62">
        <f>VLOOKUP(Table_1[[#This Row],[AÇÕES]],'Dados Status Invest'!A:Y,25,0)/100</f>
        <v/>
      </c>
      <c r="S37" s="62">
        <f>(1-Table_1[[#This Row],[PAYOUT]])*Table_1[[#This Row],[ROE]]</f>
        <v/>
      </c>
      <c r="T37" s="98">
        <f>AVERAGE(Table_1[[#This Row],[CAGR LUCRO 5A]],Table_1[[#This Row],[CRESCIMENTO DAMODARAN]])</f>
        <v/>
      </c>
      <c r="U37" s="64">
        <f>(Table_1[[#This Row],[PREÇO JUSTO BAZIN]]-Table_1[[#This Row],[PREÇO]])/Table_1[[#This Row],[PREÇO JUSTO BAZIN]]</f>
        <v/>
      </c>
      <c r="V37" s="129">
        <f>Table_1[[#This Row],[DPA]]/6%</f>
        <v/>
      </c>
      <c r="W37" s="129">
        <f>Table_1[[#This Row],[PREÇO JUSTO BAZIN]]/(1+Table_1[[#This Row],[MARGEM DE DESCONTO]])</f>
        <v/>
      </c>
      <c r="X37" s="64">
        <f>(Table_1[[#This Row],[PREÇO JUSTO GRAHAM]]-Table_1[[#This Row],[PREÇO]])/Table_1[[#This Row],[PREÇO JUSTO GRAHAM]]</f>
        <v/>
      </c>
      <c r="Y37" s="129">
        <f>(22.5*Table_1[[#This Row],[LPA]]*Table_1[[#This Row],[VPA]])^0.5</f>
        <v/>
      </c>
      <c r="Z37" s="129">
        <f>Table_1[[#This Row],[PREÇO JUSTO GRAHAM]]/(1+Table_1[[#This Row],[MARGEM DE DESCONTO]])</f>
        <v/>
      </c>
      <c r="AA37" s="64">
        <f>(Table_1[[#This Row],[PREÇO JUSTO GORDON]]-Table_1[[#This Row],[PREÇO]])/Table_1[[#This Row],[PREÇO JUSTO GORDON]]</f>
        <v/>
      </c>
      <c r="AB37" s="130">
        <f>Table_1[[#This Row],[DPA]]*(1+Table_1[[#This Row],[MÉDIA DE CRESCIMENTO]])</f>
        <v/>
      </c>
      <c r="AC37" s="130">
        <f>Table_1[[#This Row],[D1]]/(Table_1[[#This Row],[RISCO]]-Table_1[[#This Row],[MÉDIA DE CRESCIMENTO]])</f>
        <v/>
      </c>
      <c r="AD37" s="130">
        <f>Table_1[[#This Row],[PREÇO JUSTO GORDON]]/(1+Table_1[[#This Row],[MARGEM DE DESCONTO]])</f>
        <v/>
      </c>
      <c r="AE37" s="78">
        <f>Table_1[[#This Row],[P/L]]/Table_1[[#This Row],[MÉDIA DE CRESCIMENTO]]</f>
        <v/>
      </c>
      <c r="AI37" s="5" t="n"/>
      <c r="AJ37" s="5" t="n"/>
    </row>
    <row r="38" ht="15.75" customHeight="1">
      <c r="B38" s="77">
        <f>'Dados Status Invest'!A24</f>
        <v/>
      </c>
      <c r="C38" s="60">
        <f>VLOOKUP(Table_1[[#This Row],[AÇÕES]],'Classificação B3'!A:B,2,0)</f>
        <v/>
      </c>
      <c r="D38" s="60">
        <f>VLOOKUP(Table_1[[#This Row],[AÇÕES]],'Classificação B3'!A:D,4,0)</f>
        <v/>
      </c>
      <c r="E38" s="60">
        <f>VLOOKUP(Table_1[[#This Row],[AÇÕES]],'Classificação B3'!A:F,6,0)</f>
        <v/>
      </c>
      <c r="F38" s="60">
        <f>VLOOKUP(Table_1[[#This Row],[AÇÕES]],'Classificação B3'!A:G,7,0)</f>
        <v/>
      </c>
      <c r="G38" s="61">
        <f>VLOOKUP(Table_1[[#This Row],[AÇÕES]],'Dados Status Invest'!A:B,2,0)</f>
        <v/>
      </c>
      <c r="H38" s="62">
        <f>VLOOKUP(Table_1[[#This Row],[AÇÕES]],'Dados Status Invest'!A:C,3,0)/100</f>
        <v/>
      </c>
      <c r="I38" s="62">
        <f>VLOOKUP(Table_1[[#This Row],[AÇÕES]],'Dados Status Invest'!A:D,4,0)/100</f>
        <v/>
      </c>
      <c r="J38" s="63">
        <f>VLOOKUP(Table_1[[#This Row],[AÇÕES]],'Dados Status Invest'!A:AB,28,0)</f>
        <v/>
      </c>
      <c r="K38" s="63">
        <f>VLOOKUP(Table_1[[#This Row],[AÇÕES]],'Dados Status Invest'!A:AA,27,0)</f>
        <v/>
      </c>
      <c r="L38" s="63">
        <f>Table_1[[#This Row],[PREÇO]]*Table_1[[#This Row],[DY]]</f>
        <v/>
      </c>
      <c r="M38" s="62">
        <f>$E$13</f>
        <v/>
      </c>
      <c r="N38" s="62" t="n">
        <v>0.3</v>
      </c>
      <c r="O38" s="62">
        <f>Table_1[[#This Row],[DPA]]/Table_1[[#This Row],[LPA]]</f>
        <v/>
      </c>
      <c r="P38" s="62">
        <f>IF(Table_1[[#This Row],[PAYOUT]]&lt;=40%,"CRESCIMENTO",IF(Table_1[[#This Row],[PAYOUT]]&lt;=60%,"INDEFINIDO","DIVIDENDOS"))</f>
        <v/>
      </c>
      <c r="Q38" s="62">
        <f>VLOOKUP(Table_1[[#This Row],[AÇÕES]],'Dados Status Invest'!A:R,18,0)/100</f>
        <v/>
      </c>
      <c r="R38" s="62">
        <f>VLOOKUP(Table_1[[#This Row],[AÇÕES]],'Dados Status Invest'!A:Y,25,0)/100</f>
        <v/>
      </c>
      <c r="S38" s="62">
        <f>(1-Table_1[[#This Row],[PAYOUT]])*Table_1[[#This Row],[ROE]]</f>
        <v/>
      </c>
      <c r="T38" s="98">
        <f>AVERAGE(Table_1[[#This Row],[CAGR LUCRO 5A]],Table_1[[#This Row],[CRESCIMENTO DAMODARAN]])</f>
        <v/>
      </c>
      <c r="U38" s="64">
        <f>(Table_1[[#This Row],[PREÇO JUSTO BAZIN]]-Table_1[[#This Row],[PREÇO]])/Table_1[[#This Row],[PREÇO JUSTO BAZIN]]</f>
        <v/>
      </c>
      <c r="V38" s="129">
        <f>Table_1[[#This Row],[DPA]]/6%</f>
        <v/>
      </c>
      <c r="W38" s="129">
        <f>Table_1[[#This Row],[PREÇO JUSTO BAZIN]]/(1+Table_1[[#This Row],[MARGEM DE DESCONTO]])</f>
        <v/>
      </c>
      <c r="X38" s="64">
        <f>(Table_1[[#This Row],[PREÇO JUSTO GRAHAM]]-Table_1[[#This Row],[PREÇO]])/Table_1[[#This Row],[PREÇO JUSTO GRAHAM]]</f>
        <v/>
      </c>
      <c r="Y38" s="129">
        <f>(22.5*Table_1[[#This Row],[LPA]]*Table_1[[#This Row],[VPA]])^0.5</f>
        <v/>
      </c>
      <c r="Z38" s="129">
        <f>Table_1[[#This Row],[PREÇO JUSTO GRAHAM]]/(1+Table_1[[#This Row],[MARGEM DE DESCONTO]])</f>
        <v/>
      </c>
      <c r="AA38" s="64">
        <f>(Table_1[[#This Row],[PREÇO JUSTO GORDON]]-Table_1[[#This Row],[PREÇO]])/Table_1[[#This Row],[PREÇO JUSTO GORDON]]</f>
        <v/>
      </c>
      <c r="AB38" s="130">
        <f>Table_1[[#This Row],[DPA]]*(1+Table_1[[#This Row],[MÉDIA DE CRESCIMENTO]])</f>
        <v/>
      </c>
      <c r="AC38" s="130">
        <f>Table_1[[#This Row],[D1]]/(Table_1[[#This Row],[RISCO]]-Table_1[[#This Row],[MÉDIA DE CRESCIMENTO]])</f>
        <v/>
      </c>
      <c r="AD38" s="130">
        <f>Table_1[[#This Row],[PREÇO JUSTO GORDON]]/(1+Table_1[[#This Row],[MARGEM DE DESCONTO]])</f>
        <v/>
      </c>
      <c r="AE38" s="78">
        <f>Table_1[[#This Row],[P/L]]/Table_1[[#This Row],[MÉDIA DE CRESCIMENTO]]</f>
        <v/>
      </c>
    </row>
    <row r="39" ht="15.75" customHeight="1">
      <c r="B39" s="77">
        <f>'Dados Status Invest'!A25</f>
        <v/>
      </c>
      <c r="C39" s="60">
        <f>VLOOKUP(Table_1[[#This Row],[AÇÕES]],'Classificação B3'!A:B,2,0)</f>
        <v/>
      </c>
      <c r="D39" s="60">
        <f>VLOOKUP(Table_1[[#This Row],[AÇÕES]],'Classificação B3'!A:D,4,0)</f>
        <v/>
      </c>
      <c r="E39" s="60">
        <f>VLOOKUP(Table_1[[#This Row],[AÇÕES]],'Classificação B3'!A:F,6,0)</f>
        <v/>
      </c>
      <c r="F39" s="60">
        <f>VLOOKUP(Table_1[[#This Row],[AÇÕES]],'Classificação B3'!A:G,7,0)</f>
        <v/>
      </c>
      <c r="G39" s="61">
        <f>VLOOKUP(Table_1[[#This Row],[AÇÕES]],'Dados Status Invest'!A:B,2,0)</f>
        <v/>
      </c>
      <c r="H39" s="62">
        <f>VLOOKUP(Table_1[[#This Row],[AÇÕES]],'Dados Status Invest'!A:C,3,0)/100</f>
        <v/>
      </c>
      <c r="I39" s="62">
        <f>VLOOKUP(Table_1[[#This Row],[AÇÕES]],'Dados Status Invest'!A:D,4,0)/100</f>
        <v/>
      </c>
      <c r="J39" s="63">
        <f>VLOOKUP(Table_1[[#This Row],[AÇÕES]],'Dados Status Invest'!A:AB,28,0)</f>
        <v/>
      </c>
      <c r="K39" s="63">
        <f>VLOOKUP(Table_1[[#This Row],[AÇÕES]],'Dados Status Invest'!A:AA,27,0)</f>
        <v/>
      </c>
      <c r="L39" s="63">
        <f>Table_1[[#This Row],[PREÇO]]*Table_1[[#This Row],[DY]]</f>
        <v/>
      </c>
      <c r="M39" s="62">
        <f>$E$13</f>
        <v/>
      </c>
      <c r="N39" s="62" t="n">
        <v>0.3</v>
      </c>
      <c r="O39" s="62">
        <f>Table_1[[#This Row],[DPA]]/Table_1[[#This Row],[LPA]]</f>
        <v/>
      </c>
      <c r="P39" s="62">
        <f>IF(Table_1[[#This Row],[PAYOUT]]&lt;=40%,"CRESCIMENTO",IF(Table_1[[#This Row],[PAYOUT]]&lt;=60%,"INDEFINIDO","DIVIDENDOS"))</f>
        <v/>
      </c>
      <c r="Q39" s="62">
        <f>VLOOKUP(Table_1[[#This Row],[AÇÕES]],'Dados Status Invest'!A:R,18,0)/100</f>
        <v/>
      </c>
      <c r="R39" s="62">
        <f>VLOOKUP(Table_1[[#This Row],[AÇÕES]],'Dados Status Invest'!A:Y,25,0)/100</f>
        <v/>
      </c>
      <c r="S39" s="62">
        <f>(1-Table_1[[#This Row],[PAYOUT]])*Table_1[[#This Row],[ROE]]</f>
        <v/>
      </c>
      <c r="T39" s="98">
        <f>AVERAGE(Table_1[[#This Row],[CAGR LUCRO 5A]],Table_1[[#This Row],[CRESCIMENTO DAMODARAN]])</f>
        <v/>
      </c>
      <c r="U39" s="64">
        <f>(Table_1[[#This Row],[PREÇO JUSTO BAZIN]]-Table_1[[#This Row],[PREÇO]])/Table_1[[#This Row],[PREÇO JUSTO BAZIN]]</f>
        <v/>
      </c>
      <c r="V39" s="129">
        <f>Table_1[[#This Row],[DPA]]/6%</f>
        <v/>
      </c>
      <c r="W39" s="129">
        <f>Table_1[[#This Row],[PREÇO JUSTO BAZIN]]/(1+Table_1[[#This Row],[MARGEM DE DESCONTO]])</f>
        <v/>
      </c>
      <c r="X39" s="64">
        <f>(Table_1[[#This Row],[PREÇO JUSTO GRAHAM]]-Table_1[[#This Row],[PREÇO]])/Table_1[[#This Row],[PREÇO JUSTO GRAHAM]]</f>
        <v/>
      </c>
      <c r="Y39" s="129">
        <f>(22.5*Table_1[[#This Row],[LPA]]*Table_1[[#This Row],[VPA]])^0.5</f>
        <v/>
      </c>
      <c r="Z39" s="129">
        <f>Table_1[[#This Row],[PREÇO JUSTO GRAHAM]]/(1+Table_1[[#This Row],[MARGEM DE DESCONTO]])</f>
        <v/>
      </c>
      <c r="AA39" s="64">
        <f>(Table_1[[#This Row],[PREÇO JUSTO GORDON]]-Table_1[[#This Row],[PREÇO]])/Table_1[[#This Row],[PREÇO JUSTO GORDON]]</f>
        <v/>
      </c>
      <c r="AB39" s="130">
        <f>Table_1[[#This Row],[DPA]]*(1+Table_1[[#This Row],[MÉDIA DE CRESCIMENTO]])</f>
        <v/>
      </c>
      <c r="AC39" s="130">
        <f>Table_1[[#This Row],[D1]]/(Table_1[[#This Row],[RISCO]]-Table_1[[#This Row],[MÉDIA DE CRESCIMENTO]])</f>
        <v/>
      </c>
      <c r="AD39" s="130">
        <f>Table_1[[#This Row],[PREÇO JUSTO GORDON]]/(1+Table_1[[#This Row],[MARGEM DE DESCONTO]])</f>
        <v/>
      </c>
      <c r="AE39" s="78">
        <f>Table_1[[#This Row],[P/L]]/Table_1[[#This Row],[MÉDIA DE CRESCIMENTO]]</f>
        <v/>
      </c>
    </row>
    <row r="40" ht="15.75" customHeight="1">
      <c r="B40" s="77">
        <f>'Dados Status Invest'!A26</f>
        <v/>
      </c>
      <c r="C40" s="60">
        <f>VLOOKUP(Table_1[[#This Row],[AÇÕES]],'Classificação B3'!A:B,2,0)</f>
        <v/>
      </c>
      <c r="D40" s="60">
        <f>VLOOKUP(Table_1[[#This Row],[AÇÕES]],'Classificação B3'!A:D,4,0)</f>
        <v/>
      </c>
      <c r="E40" s="60">
        <f>VLOOKUP(Table_1[[#This Row],[AÇÕES]],'Classificação B3'!A:F,6,0)</f>
        <v/>
      </c>
      <c r="F40" s="60">
        <f>VLOOKUP(Table_1[[#This Row],[AÇÕES]],'Classificação B3'!A:G,7,0)</f>
        <v/>
      </c>
      <c r="G40" s="61">
        <f>VLOOKUP(Table_1[[#This Row],[AÇÕES]],'Dados Status Invest'!A:B,2,0)</f>
        <v/>
      </c>
      <c r="H40" s="62">
        <f>VLOOKUP(Table_1[[#This Row],[AÇÕES]],'Dados Status Invest'!A:C,3,0)/100</f>
        <v/>
      </c>
      <c r="I40" s="62">
        <f>VLOOKUP(Table_1[[#This Row],[AÇÕES]],'Dados Status Invest'!A:D,4,0)/100</f>
        <v/>
      </c>
      <c r="J40" s="63">
        <f>VLOOKUP(Table_1[[#This Row],[AÇÕES]],'Dados Status Invest'!A:AB,28,0)</f>
        <v/>
      </c>
      <c r="K40" s="63">
        <f>VLOOKUP(Table_1[[#This Row],[AÇÕES]],'Dados Status Invest'!A:AA,27,0)</f>
        <v/>
      </c>
      <c r="L40" s="63">
        <f>Table_1[[#This Row],[PREÇO]]*Table_1[[#This Row],[DY]]</f>
        <v/>
      </c>
      <c r="M40" s="62">
        <f>$E$13</f>
        <v/>
      </c>
      <c r="N40" s="62" t="n">
        <v>0.3</v>
      </c>
      <c r="O40" s="62">
        <f>Table_1[[#This Row],[DPA]]/Table_1[[#This Row],[LPA]]</f>
        <v/>
      </c>
      <c r="P40" s="62">
        <f>IF(Table_1[[#This Row],[PAYOUT]]&lt;=40%,"CRESCIMENTO",IF(Table_1[[#This Row],[PAYOUT]]&lt;=60%,"INDEFINIDO","DIVIDENDOS"))</f>
        <v/>
      </c>
      <c r="Q40" s="62">
        <f>VLOOKUP(Table_1[[#This Row],[AÇÕES]],'Dados Status Invest'!A:R,18,0)/100</f>
        <v/>
      </c>
      <c r="R40" s="62">
        <f>VLOOKUP(Table_1[[#This Row],[AÇÕES]],'Dados Status Invest'!A:Y,25,0)/100</f>
        <v/>
      </c>
      <c r="S40" s="62">
        <f>(1-Table_1[[#This Row],[PAYOUT]])*Table_1[[#This Row],[ROE]]</f>
        <v/>
      </c>
      <c r="T40" s="98">
        <f>AVERAGE(Table_1[[#This Row],[CAGR LUCRO 5A]],Table_1[[#This Row],[CRESCIMENTO DAMODARAN]])</f>
        <v/>
      </c>
      <c r="U40" s="64">
        <f>(Table_1[[#This Row],[PREÇO JUSTO BAZIN]]-Table_1[[#This Row],[PREÇO]])/Table_1[[#This Row],[PREÇO JUSTO BAZIN]]</f>
        <v/>
      </c>
      <c r="V40" s="129">
        <f>Table_1[[#This Row],[DPA]]/6%</f>
        <v/>
      </c>
      <c r="W40" s="129">
        <f>Table_1[[#This Row],[PREÇO JUSTO BAZIN]]/(1+Table_1[[#This Row],[MARGEM DE DESCONTO]])</f>
        <v/>
      </c>
      <c r="X40" s="64">
        <f>(Table_1[[#This Row],[PREÇO JUSTO GRAHAM]]-Table_1[[#This Row],[PREÇO]])/Table_1[[#This Row],[PREÇO JUSTO GRAHAM]]</f>
        <v/>
      </c>
      <c r="Y40" s="129">
        <f>(22.5*Table_1[[#This Row],[LPA]]*Table_1[[#This Row],[VPA]])^0.5</f>
        <v/>
      </c>
      <c r="Z40" s="129">
        <f>Table_1[[#This Row],[PREÇO JUSTO GRAHAM]]/(1+Table_1[[#This Row],[MARGEM DE DESCONTO]])</f>
        <v/>
      </c>
      <c r="AA40" s="64">
        <f>(Table_1[[#This Row],[PREÇO JUSTO GORDON]]-Table_1[[#This Row],[PREÇO]])/Table_1[[#This Row],[PREÇO JUSTO GORDON]]</f>
        <v/>
      </c>
      <c r="AB40" s="130">
        <f>Table_1[[#This Row],[DPA]]*(1+Table_1[[#This Row],[MÉDIA DE CRESCIMENTO]])</f>
        <v/>
      </c>
      <c r="AC40" s="130">
        <f>Table_1[[#This Row],[D1]]/(Table_1[[#This Row],[RISCO]]-Table_1[[#This Row],[MÉDIA DE CRESCIMENTO]])</f>
        <v/>
      </c>
      <c r="AD40" s="130">
        <f>Table_1[[#This Row],[PREÇO JUSTO GORDON]]/(1+Table_1[[#This Row],[MARGEM DE DESCONTO]])</f>
        <v/>
      </c>
      <c r="AE40" s="78">
        <f>Table_1[[#This Row],[P/L]]/Table_1[[#This Row],[MÉDIA DE CRESCIMENTO]]</f>
        <v/>
      </c>
    </row>
    <row r="41" ht="15.75" customHeight="1">
      <c r="B41" s="77">
        <f>'Dados Status Invest'!A27</f>
        <v/>
      </c>
      <c r="C41" s="60">
        <f>VLOOKUP(Table_1[[#This Row],[AÇÕES]],'Classificação B3'!A:B,2,0)</f>
        <v/>
      </c>
      <c r="D41" s="60">
        <f>VLOOKUP(Table_1[[#This Row],[AÇÕES]],'Classificação B3'!A:D,4,0)</f>
        <v/>
      </c>
      <c r="E41" s="60">
        <f>VLOOKUP(Table_1[[#This Row],[AÇÕES]],'Classificação B3'!A:F,6,0)</f>
        <v/>
      </c>
      <c r="F41" s="60">
        <f>VLOOKUP(Table_1[[#This Row],[AÇÕES]],'Classificação B3'!A:G,7,0)</f>
        <v/>
      </c>
      <c r="G41" s="61">
        <f>VLOOKUP(Table_1[[#This Row],[AÇÕES]],'Dados Status Invest'!A:B,2,0)</f>
        <v/>
      </c>
      <c r="H41" s="62">
        <f>VLOOKUP(Table_1[[#This Row],[AÇÕES]],'Dados Status Invest'!A:C,3,0)/100</f>
        <v/>
      </c>
      <c r="I41" s="62">
        <f>VLOOKUP(Table_1[[#This Row],[AÇÕES]],'Dados Status Invest'!A:D,4,0)/100</f>
        <v/>
      </c>
      <c r="J41" s="63">
        <f>VLOOKUP(Table_1[[#This Row],[AÇÕES]],'Dados Status Invest'!A:AB,28,0)</f>
        <v/>
      </c>
      <c r="K41" s="63">
        <f>VLOOKUP(Table_1[[#This Row],[AÇÕES]],'Dados Status Invest'!A:AA,27,0)</f>
        <v/>
      </c>
      <c r="L41" s="63">
        <f>Table_1[[#This Row],[PREÇO]]*Table_1[[#This Row],[DY]]</f>
        <v/>
      </c>
      <c r="M41" s="62">
        <f>$E$13</f>
        <v/>
      </c>
      <c r="N41" s="62" t="n">
        <v>0.3</v>
      </c>
      <c r="O41" s="62">
        <f>Table_1[[#This Row],[DPA]]/Table_1[[#This Row],[LPA]]</f>
        <v/>
      </c>
      <c r="P41" s="62">
        <f>IF(Table_1[[#This Row],[PAYOUT]]&lt;=40%,"CRESCIMENTO",IF(Table_1[[#This Row],[PAYOUT]]&lt;=60%,"INDEFINIDO","DIVIDENDOS"))</f>
        <v/>
      </c>
      <c r="Q41" s="62">
        <f>VLOOKUP(Table_1[[#This Row],[AÇÕES]],'Dados Status Invest'!A:R,18,0)/100</f>
        <v/>
      </c>
      <c r="R41" s="62">
        <f>VLOOKUP(Table_1[[#This Row],[AÇÕES]],'Dados Status Invest'!A:Y,25,0)/100</f>
        <v/>
      </c>
      <c r="S41" s="62">
        <f>(1-Table_1[[#This Row],[PAYOUT]])*Table_1[[#This Row],[ROE]]</f>
        <v/>
      </c>
      <c r="T41" s="98">
        <f>AVERAGE(Table_1[[#This Row],[CAGR LUCRO 5A]],Table_1[[#This Row],[CRESCIMENTO DAMODARAN]])</f>
        <v/>
      </c>
      <c r="U41" s="64">
        <f>(Table_1[[#This Row],[PREÇO JUSTO BAZIN]]-Table_1[[#This Row],[PREÇO]])/Table_1[[#This Row],[PREÇO JUSTO BAZIN]]</f>
        <v/>
      </c>
      <c r="V41" s="129">
        <f>Table_1[[#This Row],[DPA]]/6%</f>
        <v/>
      </c>
      <c r="W41" s="129">
        <f>Table_1[[#This Row],[PREÇO JUSTO BAZIN]]/(1+Table_1[[#This Row],[MARGEM DE DESCONTO]])</f>
        <v/>
      </c>
      <c r="X41" s="64">
        <f>(Table_1[[#This Row],[PREÇO JUSTO GRAHAM]]-Table_1[[#This Row],[PREÇO]])/Table_1[[#This Row],[PREÇO JUSTO GRAHAM]]</f>
        <v/>
      </c>
      <c r="Y41" s="129">
        <f>(22.5*Table_1[[#This Row],[LPA]]*Table_1[[#This Row],[VPA]])^0.5</f>
        <v/>
      </c>
      <c r="Z41" s="129">
        <f>Table_1[[#This Row],[PREÇO JUSTO GRAHAM]]/(1+Table_1[[#This Row],[MARGEM DE DESCONTO]])</f>
        <v/>
      </c>
      <c r="AA41" s="64">
        <f>(Table_1[[#This Row],[PREÇO JUSTO GORDON]]-Table_1[[#This Row],[PREÇO]])/Table_1[[#This Row],[PREÇO JUSTO GORDON]]</f>
        <v/>
      </c>
      <c r="AB41" s="130">
        <f>Table_1[[#This Row],[DPA]]*(1+Table_1[[#This Row],[MÉDIA DE CRESCIMENTO]])</f>
        <v/>
      </c>
      <c r="AC41" s="130">
        <f>Table_1[[#This Row],[D1]]/(Table_1[[#This Row],[RISCO]]-Table_1[[#This Row],[MÉDIA DE CRESCIMENTO]])</f>
        <v/>
      </c>
      <c r="AD41" s="130">
        <f>Table_1[[#This Row],[PREÇO JUSTO GORDON]]/(1+Table_1[[#This Row],[MARGEM DE DESCONTO]])</f>
        <v/>
      </c>
      <c r="AE41" s="78">
        <f>Table_1[[#This Row],[P/L]]/Table_1[[#This Row],[MÉDIA DE CRESCIMENTO]]</f>
        <v/>
      </c>
    </row>
    <row r="42" ht="15.75" customHeight="1">
      <c r="B42" s="77">
        <f>'Dados Status Invest'!A28</f>
        <v/>
      </c>
      <c r="C42" s="60">
        <f>VLOOKUP(Table_1[[#This Row],[AÇÕES]],'Classificação B3'!A:B,2,0)</f>
        <v/>
      </c>
      <c r="D42" s="60">
        <f>VLOOKUP(Table_1[[#This Row],[AÇÕES]],'Classificação B3'!A:D,4,0)</f>
        <v/>
      </c>
      <c r="E42" s="60">
        <f>VLOOKUP(Table_1[[#This Row],[AÇÕES]],'Classificação B3'!A:F,6,0)</f>
        <v/>
      </c>
      <c r="F42" s="60">
        <f>VLOOKUP(Table_1[[#This Row],[AÇÕES]],'Classificação B3'!A:G,7,0)</f>
        <v/>
      </c>
      <c r="G42" s="61">
        <f>VLOOKUP(Table_1[[#This Row],[AÇÕES]],'Dados Status Invest'!A:B,2,0)</f>
        <v/>
      </c>
      <c r="H42" s="62">
        <f>VLOOKUP(Table_1[[#This Row],[AÇÕES]],'Dados Status Invest'!A:C,3,0)/100</f>
        <v/>
      </c>
      <c r="I42" s="62">
        <f>VLOOKUP(Table_1[[#This Row],[AÇÕES]],'Dados Status Invest'!A:D,4,0)/100</f>
        <v/>
      </c>
      <c r="J42" s="63">
        <f>VLOOKUP(Table_1[[#This Row],[AÇÕES]],'Dados Status Invest'!A:AB,28,0)</f>
        <v/>
      </c>
      <c r="K42" s="63">
        <f>VLOOKUP(Table_1[[#This Row],[AÇÕES]],'Dados Status Invest'!A:AA,27,0)</f>
        <v/>
      </c>
      <c r="L42" s="63">
        <f>Table_1[[#This Row],[PREÇO]]*Table_1[[#This Row],[DY]]</f>
        <v/>
      </c>
      <c r="M42" s="62">
        <f>$E$13</f>
        <v/>
      </c>
      <c r="N42" s="62" t="n">
        <v>0.3</v>
      </c>
      <c r="O42" s="62">
        <f>Table_1[[#This Row],[DPA]]/Table_1[[#This Row],[LPA]]</f>
        <v/>
      </c>
      <c r="P42" s="62">
        <f>IF(Table_1[[#This Row],[PAYOUT]]&lt;=40%,"CRESCIMENTO",IF(Table_1[[#This Row],[PAYOUT]]&lt;=60%,"INDEFINIDO","DIVIDENDOS"))</f>
        <v/>
      </c>
      <c r="Q42" s="62">
        <f>VLOOKUP(Table_1[[#This Row],[AÇÕES]],'Dados Status Invest'!A:R,18,0)/100</f>
        <v/>
      </c>
      <c r="R42" s="62">
        <f>VLOOKUP(Table_1[[#This Row],[AÇÕES]],'Dados Status Invest'!A:Y,25,0)/100</f>
        <v/>
      </c>
      <c r="S42" s="62">
        <f>(1-Table_1[[#This Row],[PAYOUT]])*Table_1[[#This Row],[ROE]]</f>
        <v/>
      </c>
      <c r="T42" s="98">
        <f>AVERAGE(Table_1[[#This Row],[CAGR LUCRO 5A]],Table_1[[#This Row],[CRESCIMENTO DAMODARAN]])</f>
        <v/>
      </c>
      <c r="U42" s="64">
        <f>(Table_1[[#This Row],[PREÇO JUSTO BAZIN]]-Table_1[[#This Row],[PREÇO]])/Table_1[[#This Row],[PREÇO JUSTO BAZIN]]</f>
        <v/>
      </c>
      <c r="V42" s="129">
        <f>Table_1[[#This Row],[DPA]]/6%</f>
        <v/>
      </c>
      <c r="W42" s="129">
        <f>Table_1[[#This Row],[PREÇO JUSTO BAZIN]]/(1+Table_1[[#This Row],[MARGEM DE DESCONTO]])</f>
        <v/>
      </c>
      <c r="X42" s="64">
        <f>(Table_1[[#This Row],[PREÇO JUSTO GRAHAM]]-Table_1[[#This Row],[PREÇO]])/Table_1[[#This Row],[PREÇO JUSTO GRAHAM]]</f>
        <v/>
      </c>
      <c r="Y42" s="129">
        <f>(22.5*Table_1[[#This Row],[LPA]]*Table_1[[#This Row],[VPA]])^0.5</f>
        <v/>
      </c>
      <c r="Z42" s="129">
        <f>Table_1[[#This Row],[PREÇO JUSTO GRAHAM]]/(1+Table_1[[#This Row],[MARGEM DE DESCONTO]])</f>
        <v/>
      </c>
      <c r="AA42" s="64">
        <f>(Table_1[[#This Row],[PREÇO JUSTO GORDON]]-Table_1[[#This Row],[PREÇO]])/Table_1[[#This Row],[PREÇO JUSTO GORDON]]</f>
        <v/>
      </c>
      <c r="AB42" s="130">
        <f>Table_1[[#This Row],[DPA]]*(1+Table_1[[#This Row],[MÉDIA DE CRESCIMENTO]])</f>
        <v/>
      </c>
      <c r="AC42" s="130">
        <f>Table_1[[#This Row],[D1]]/(Table_1[[#This Row],[RISCO]]-Table_1[[#This Row],[MÉDIA DE CRESCIMENTO]])</f>
        <v/>
      </c>
      <c r="AD42" s="130">
        <f>Table_1[[#This Row],[PREÇO JUSTO GORDON]]/(1+Table_1[[#This Row],[MARGEM DE DESCONTO]])</f>
        <v/>
      </c>
      <c r="AE42" s="78">
        <f>Table_1[[#This Row],[P/L]]/Table_1[[#This Row],[MÉDIA DE CRESCIMENTO]]</f>
        <v/>
      </c>
    </row>
    <row r="43" ht="15.75" customHeight="1">
      <c r="B43" s="77">
        <f>'Dados Status Invest'!A29</f>
        <v/>
      </c>
      <c r="C43" s="60">
        <f>VLOOKUP(Table_1[[#This Row],[AÇÕES]],'Classificação B3'!A:B,2,0)</f>
        <v/>
      </c>
      <c r="D43" s="60">
        <f>VLOOKUP(Table_1[[#This Row],[AÇÕES]],'Classificação B3'!A:D,4,0)</f>
        <v/>
      </c>
      <c r="E43" s="60">
        <f>VLOOKUP(Table_1[[#This Row],[AÇÕES]],'Classificação B3'!A:F,6,0)</f>
        <v/>
      </c>
      <c r="F43" s="60">
        <f>VLOOKUP(Table_1[[#This Row],[AÇÕES]],'Classificação B3'!A:G,7,0)</f>
        <v/>
      </c>
      <c r="G43" s="61">
        <f>VLOOKUP(Table_1[[#This Row],[AÇÕES]],'Dados Status Invest'!A:B,2,0)</f>
        <v/>
      </c>
      <c r="H43" s="62">
        <f>VLOOKUP(Table_1[[#This Row],[AÇÕES]],'Dados Status Invest'!A:C,3,0)/100</f>
        <v/>
      </c>
      <c r="I43" s="62">
        <f>VLOOKUP(Table_1[[#This Row],[AÇÕES]],'Dados Status Invest'!A:D,4,0)/100</f>
        <v/>
      </c>
      <c r="J43" s="63">
        <f>VLOOKUP(Table_1[[#This Row],[AÇÕES]],'Dados Status Invest'!A:AB,28,0)</f>
        <v/>
      </c>
      <c r="K43" s="63">
        <f>VLOOKUP(Table_1[[#This Row],[AÇÕES]],'Dados Status Invest'!A:AA,27,0)</f>
        <v/>
      </c>
      <c r="L43" s="63">
        <f>Table_1[[#This Row],[PREÇO]]*Table_1[[#This Row],[DY]]</f>
        <v/>
      </c>
      <c r="M43" s="62">
        <f>$E$13</f>
        <v/>
      </c>
      <c r="N43" s="62" t="n">
        <v>0.3</v>
      </c>
      <c r="O43" s="62">
        <f>Table_1[[#This Row],[DPA]]/Table_1[[#This Row],[LPA]]</f>
        <v/>
      </c>
      <c r="P43" s="62">
        <f>IF(Table_1[[#This Row],[PAYOUT]]&lt;=40%,"CRESCIMENTO",IF(Table_1[[#This Row],[PAYOUT]]&lt;=60%,"INDEFINIDO","DIVIDENDOS"))</f>
        <v/>
      </c>
      <c r="Q43" s="62">
        <f>VLOOKUP(Table_1[[#This Row],[AÇÕES]],'Dados Status Invest'!A:R,18,0)/100</f>
        <v/>
      </c>
      <c r="R43" s="62">
        <f>VLOOKUP(Table_1[[#This Row],[AÇÕES]],'Dados Status Invest'!A:Y,25,0)/100</f>
        <v/>
      </c>
      <c r="S43" s="62">
        <f>(1-Table_1[[#This Row],[PAYOUT]])*Table_1[[#This Row],[ROE]]</f>
        <v/>
      </c>
      <c r="T43" s="98">
        <f>AVERAGE(Table_1[[#This Row],[CAGR LUCRO 5A]],Table_1[[#This Row],[CRESCIMENTO DAMODARAN]])</f>
        <v/>
      </c>
      <c r="U43" s="64">
        <f>(Table_1[[#This Row],[PREÇO JUSTO BAZIN]]-Table_1[[#This Row],[PREÇO]])/Table_1[[#This Row],[PREÇO JUSTO BAZIN]]</f>
        <v/>
      </c>
      <c r="V43" s="129">
        <f>Table_1[[#This Row],[DPA]]/6%</f>
        <v/>
      </c>
      <c r="W43" s="129">
        <f>Table_1[[#This Row],[PREÇO JUSTO BAZIN]]/(1+Table_1[[#This Row],[MARGEM DE DESCONTO]])</f>
        <v/>
      </c>
      <c r="X43" s="64">
        <f>(Table_1[[#This Row],[PREÇO JUSTO GRAHAM]]-Table_1[[#This Row],[PREÇO]])/Table_1[[#This Row],[PREÇO JUSTO GRAHAM]]</f>
        <v/>
      </c>
      <c r="Y43" s="129">
        <f>(22.5*Table_1[[#This Row],[LPA]]*Table_1[[#This Row],[VPA]])^0.5</f>
        <v/>
      </c>
      <c r="Z43" s="129">
        <f>Table_1[[#This Row],[PREÇO JUSTO GRAHAM]]/(1+Table_1[[#This Row],[MARGEM DE DESCONTO]])</f>
        <v/>
      </c>
      <c r="AA43" s="64">
        <f>(Table_1[[#This Row],[PREÇO JUSTO GORDON]]-Table_1[[#This Row],[PREÇO]])/Table_1[[#This Row],[PREÇO JUSTO GORDON]]</f>
        <v/>
      </c>
      <c r="AB43" s="130">
        <f>Table_1[[#This Row],[DPA]]*(1+Table_1[[#This Row],[MÉDIA DE CRESCIMENTO]])</f>
        <v/>
      </c>
      <c r="AC43" s="130">
        <f>Table_1[[#This Row],[D1]]/(Table_1[[#This Row],[RISCO]]-Table_1[[#This Row],[MÉDIA DE CRESCIMENTO]])</f>
        <v/>
      </c>
      <c r="AD43" s="130">
        <f>Table_1[[#This Row],[PREÇO JUSTO GORDON]]/(1+Table_1[[#This Row],[MARGEM DE DESCONTO]])</f>
        <v/>
      </c>
      <c r="AE43" s="78">
        <f>Table_1[[#This Row],[P/L]]/Table_1[[#This Row],[MÉDIA DE CRESCIMENTO]]</f>
        <v/>
      </c>
    </row>
    <row r="44" ht="15.75" customHeight="1">
      <c r="B44" s="77">
        <f>'Dados Status Invest'!A30</f>
        <v/>
      </c>
      <c r="C44" s="60">
        <f>VLOOKUP(Table_1[[#This Row],[AÇÕES]],'Classificação B3'!A:B,2,0)</f>
        <v/>
      </c>
      <c r="D44" s="60">
        <f>VLOOKUP(Table_1[[#This Row],[AÇÕES]],'Classificação B3'!A:D,4,0)</f>
        <v/>
      </c>
      <c r="E44" s="60">
        <f>VLOOKUP(Table_1[[#This Row],[AÇÕES]],'Classificação B3'!A:F,6,0)</f>
        <v/>
      </c>
      <c r="F44" s="60">
        <f>VLOOKUP(Table_1[[#This Row],[AÇÕES]],'Classificação B3'!A:G,7,0)</f>
        <v/>
      </c>
      <c r="G44" s="61">
        <f>VLOOKUP(Table_1[[#This Row],[AÇÕES]],'Dados Status Invest'!A:B,2,0)</f>
        <v/>
      </c>
      <c r="H44" s="62">
        <f>VLOOKUP(Table_1[[#This Row],[AÇÕES]],'Dados Status Invest'!A:C,3,0)/100</f>
        <v/>
      </c>
      <c r="I44" s="62">
        <f>VLOOKUP(Table_1[[#This Row],[AÇÕES]],'Dados Status Invest'!A:D,4,0)/100</f>
        <v/>
      </c>
      <c r="J44" s="63">
        <f>VLOOKUP(Table_1[[#This Row],[AÇÕES]],'Dados Status Invest'!A:AB,28,0)</f>
        <v/>
      </c>
      <c r="K44" s="63">
        <f>VLOOKUP(Table_1[[#This Row],[AÇÕES]],'Dados Status Invest'!A:AA,27,0)</f>
        <v/>
      </c>
      <c r="L44" s="63">
        <f>Table_1[[#This Row],[PREÇO]]*Table_1[[#This Row],[DY]]</f>
        <v/>
      </c>
      <c r="M44" s="62">
        <f>$E$13</f>
        <v/>
      </c>
      <c r="N44" s="62" t="n">
        <v>0.3</v>
      </c>
      <c r="O44" s="62">
        <f>Table_1[[#This Row],[DPA]]/Table_1[[#This Row],[LPA]]</f>
        <v/>
      </c>
      <c r="P44" s="62">
        <f>IF(Table_1[[#This Row],[PAYOUT]]&lt;=40%,"CRESCIMENTO",IF(Table_1[[#This Row],[PAYOUT]]&lt;=60%,"INDEFINIDO","DIVIDENDOS"))</f>
        <v/>
      </c>
      <c r="Q44" s="62">
        <f>VLOOKUP(Table_1[[#This Row],[AÇÕES]],'Dados Status Invest'!A:R,18,0)/100</f>
        <v/>
      </c>
      <c r="R44" s="62">
        <f>VLOOKUP(Table_1[[#This Row],[AÇÕES]],'Dados Status Invest'!A:Y,25,0)/100</f>
        <v/>
      </c>
      <c r="S44" s="62">
        <f>(1-Table_1[[#This Row],[PAYOUT]])*Table_1[[#This Row],[ROE]]</f>
        <v/>
      </c>
      <c r="T44" s="98">
        <f>AVERAGE(Table_1[[#This Row],[CAGR LUCRO 5A]],Table_1[[#This Row],[CRESCIMENTO DAMODARAN]])</f>
        <v/>
      </c>
      <c r="U44" s="64">
        <f>(Table_1[[#This Row],[PREÇO JUSTO BAZIN]]-Table_1[[#This Row],[PREÇO]])/Table_1[[#This Row],[PREÇO JUSTO BAZIN]]</f>
        <v/>
      </c>
      <c r="V44" s="129">
        <f>Table_1[[#This Row],[DPA]]/6%</f>
        <v/>
      </c>
      <c r="W44" s="129">
        <f>Table_1[[#This Row],[PREÇO JUSTO BAZIN]]/(1+Table_1[[#This Row],[MARGEM DE DESCONTO]])</f>
        <v/>
      </c>
      <c r="X44" s="64">
        <f>(Table_1[[#This Row],[PREÇO JUSTO GRAHAM]]-Table_1[[#This Row],[PREÇO]])/Table_1[[#This Row],[PREÇO JUSTO GRAHAM]]</f>
        <v/>
      </c>
      <c r="Y44" s="129">
        <f>(22.5*Table_1[[#This Row],[LPA]]*Table_1[[#This Row],[VPA]])^0.5</f>
        <v/>
      </c>
      <c r="Z44" s="129">
        <f>Table_1[[#This Row],[PREÇO JUSTO GRAHAM]]/(1+Table_1[[#This Row],[MARGEM DE DESCONTO]])</f>
        <v/>
      </c>
      <c r="AA44" s="64">
        <f>(Table_1[[#This Row],[PREÇO JUSTO GORDON]]-Table_1[[#This Row],[PREÇO]])/Table_1[[#This Row],[PREÇO JUSTO GORDON]]</f>
        <v/>
      </c>
      <c r="AB44" s="130">
        <f>Table_1[[#This Row],[DPA]]*(1+Table_1[[#This Row],[MÉDIA DE CRESCIMENTO]])</f>
        <v/>
      </c>
      <c r="AC44" s="130">
        <f>Table_1[[#This Row],[D1]]/(Table_1[[#This Row],[RISCO]]-Table_1[[#This Row],[MÉDIA DE CRESCIMENTO]])</f>
        <v/>
      </c>
      <c r="AD44" s="130">
        <f>Table_1[[#This Row],[PREÇO JUSTO GORDON]]/(1+Table_1[[#This Row],[MARGEM DE DESCONTO]])</f>
        <v/>
      </c>
      <c r="AE44" s="78">
        <f>Table_1[[#This Row],[P/L]]/Table_1[[#This Row],[MÉDIA DE CRESCIMENTO]]</f>
        <v/>
      </c>
    </row>
    <row r="45" ht="15.75" customHeight="1">
      <c r="B45" s="77">
        <f>'Dados Status Invest'!A31</f>
        <v/>
      </c>
      <c r="C45" s="60">
        <f>VLOOKUP(Table_1[[#This Row],[AÇÕES]],'Classificação B3'!A:B,2,0)</f>
        <v/>
      </c>
      <c r="D45" s="60">
        <f>VLOOKUP(Table_1[[#This Row],[AÇÕES]],'Classificação B3'!A:D,4,0)</f>
        <v/>
      </c>
      <c r="E45" s="60">
        <f>VLOOKUP(Table_1[[#This Row],[AÇÕES]],'Classificação B3'!A:F,6,0)</f>
        <v/>
      </c>
      <c r="F45" s="60">
        <f>VLOOKUP(Table_1[[#This Row],[AÇÕES]],'Classificação B3'!A:G,7,0)</f>
        <v/>
      </c>
      <c r="G45" s="61">
        <f>VLOOKUP(Table_1[[#This Row],[AÇÕES]],'Dados Status Invest'!A:B,2,0)</f>
        <v/>
      </c>
      <c r="H45" s="62">
        <f>VLOOKUP(Table_1[[#This Row],[AÇÕES]],'Dados Status Invest'!A:C,3,0)/100</f>
        <v/>
      </c>
      <c r="I45" s="62">
        <f>VLOOKUP(Table_1[[#This Row],[AÇÕES]],'Dados Status Invest'!A:D,4,0)/100</f>
        <v/>
      </c>
      <c r="J45" s="63">
        <f>VLOOKUP(Table_1[[#This Row],[AÇÕES]],'Dados Status Invest'!A:AB,28,0)</f>
        <v/>
      </c>
      <c r="K45" s="63">
        <f>VLOOKUP(Table_1[[#This Row],[AÇÕES]],'Dados Status Invest'!A:AA,27,0)</f>
        <v/>
      </c>
      <c r="L45" s="63">
        <f>Table_1[[#This Row],[PREÇO]]*Table_1[[#This Row],[DY]]</f>
        <v/>
      </c>
      <c r="M45" s="62">
        <f>$E$13</f>
        <v/>
      </c>
      <c r="N45" s="62" t="n">
        <v>0.3</v>
      </c>
      <c r="O45" s="62">
        <f>Table_1[[#This Row],[DPA]]/Table_1[[#This Row],[LPA]]</f>
        <v/>
      </c>
      <c r="P45" s="62">
        <f>IF(Table_1[[#This Row],[PAYOUT]]&lt;=40%,"CRESCIMENTO",IF(Table_1[[#This Row],[PAYOUT]]&lt;=60%,"INDEFINIDO","DIVIDENDOS"))</f>
        <v/>
      </c>
      <c r="Q45" s="62">
        <f>VLOOKUP(Table_1[[#This Row],[AÇÕES]],'Dados Status Invest'!A:R,18,0)/100</f>
        <v/>
      </c>
      <c r="R45" s="62">
        <f>VLOOKUP(Table_1[[#This Row],[AÇÕES]],'Dados Status Invest'!A:Y,25,0)/100</f>
        <v/>
      </c>
      <c r="S45" s="62">
        <f>(1-Table_1[[#This Row],[PAYOUT]])*Table_1[[#This Row],[ROE]]</f>
        <v/>
      </c>
      <c r="T45" s="98">
        <f>AVERAGE(Table_1[[#This Row],[CAGR LUCRO 5A]],Table_1[[#This Row],[CRESCIMENTO DAMODARAN]])</f>
        <v/>
      </c>
      <c r="U45" s="64">
        <f>(Table_1[[#This Row],[PREÇO JUSTO BAZIN]]-Table_1[[#This Row],[PREÇO]])/Table_1[[#This Row],[PREÇO JUSTO BAZIN]]</f>
        <v/>
      </c>
      <c r="V45" s="129">
        <f>Table_1[[#This Row],[DPA]]/6%</f>
        <v/>
      </c>
      <c r="W45" s="129">
        <f>Table_1[[#This Row],[PREÇO JUSTO BAZIN]]/(1+Table_1[[#This Row],[MARGEM DE DESCONTO]])</f>
        <v/>
      </c>
      <c r="X45" s="64">
        <f>(Table_1[[#This Row],[PREÇO JUSTO GRAHAM]]-Table_1[[#This Row],[PREÇO]])/Table_1[[#This Row],[PREÇO JUSTO GRAHAM]]</f>
        <v/>
      </c>
      <c r="Y45" s="129">
        <f>(22.5*Table_1[[#This Row],[LPA]]*Table_1[[#This Row],[VPA]])^0.5</f>
        <v/>
      </c>
      <c r="Z45" s="129">
        <f>Table_1[[#This Row],[PREÇO JUSTO GRAHAM]]/(1+Table_1[[#This Row],[MARGEM DE DESCONTO]])</f>
        <v/>
      </c>
      <c r="AA45" s="64">
        <f>(Table_1[[#This Row],[PREÇO JUSTO GORDON]]-Table_1[[#This Row],[PREÇO]])/Table_1[[#This Row],[PREÇO JUSTO GORDON]]</f>
        <v/>
      </c>
      <c r="AB45" s="130">
        <f>Table_1[[#This Row],[DPA]]*(1+Table_1[[#This Row],[MÉDIA DE CRESCIMENTO]])</f>
        <v/>
      </c>
      <c r="AC45" s="130">
        <f>Table_1[[#This Row],[D1]]/(Table_1[[#This Row],[RISCO]]-Table_1[[#This Row],[MÉDIA DE CRESCIMENTO]])</f>
        <v/>
      </c>
      <c r="AD45" s="130">
        <f>Table_1[[#This Row],[PREÇO JUSTO GORDON]]/(1+Table_1[[#This Row],[MARGEM DE DESCONTO]])</f>
        <v/>
      </c>
      <c r="AE45" s="78">
        <f>Table_1[[#This Row],[P/L]]/Table_1[[#This Row],[MÉDIA DE CRESCIMENTO]]</f>
        <v/>
      </c>
    </row>
    <row r="46" ht="15.75" customHeight="1">
      <c r="B46" s="77">
        <f>'Dados Status Invest'!A32</f>
        <v/>
      </c>
      <c r="C46" s="60">
        <f>VLOOKUP(Table_1[[#This Row],[AÇÕES]],'Classificação B3'!A:B,2,0)</f>
        <v/>
      </c>
      <c r="D46" s="60">
        <f>VLOOKUP(Table_1[[#This Row],[AÇÕES]],'Classificação B3'!A:D,4,0)</f>
        <v/>
      </c>
      <c r="E46" s="60">
        <f>VLOOKUP(Table_1[[#This Row],[AÇÕES]],'Classificação B3'!A:F,6,0)</f>
        <v/>
      </c>
      <c r="F46" s="60">
        <f>VLOOKUP(Table_1[[#This Row],[AÇÕES]],'Classificação B3'!A:G,7,0)</f>
        <v/>
      </c>
      <c r="G46" s="61">
        <f>VLOOKUP(Table_1[[#This Row],[AÇÕES]],'Dados Status Invest'!A:B,2,0)</f>
        <v/>
      </c>
      <c r="H46" s="62">
        <f>VLOOKUP(Table_1[[#This Row],[AÇÕES]],'Dados Status Invest'!A:C,3,0)/100</f>
        <v/>
      </c>
      <c r="I46" s="62">
        <f>VLOOKUP(Table_1[[#This Row],[AÇÕES]],'Dados Status Invest'!A:D,4,0)/100</f>
        <v/>
      </c>
      <c r="J46" s="63">
        <f>VLOOKUP(Table_1[[#This Row],[AÇÕES]],'Dados Status Invest'!A:AB,28,0)</f>
        <v/>
      </c>
      <c r="K46" s="63">
        <f>VLOOKUP(Table_1[[#This Row],[AÇÕES]],'Dados Status Invest'!A:AA,27,0)</f>
        <v/>
      </c>
      <c r="L46" s="63">
        <f>Table_1[[#This Row],[PREÇO]]*Table_1[[#This Row],[DY]]</f>
        <v/>
      </c>
      <c r="M46" s="62">
        <f>$E$13</f>
        <v/>
      </c>
      <c r="N46" s="62" t="n">
        <v>0.3</v>
      </c>
      <c r="O46" s="62">
        <f>Table_1[[#This Row],[DPA]]/Table_1[[#This Row],[LPA]]</f>
        <v/>
      </c>
      <c r="P46" s="62">
        <f>IF(Table_1[[#This Row],[PAYOUT]]&lt;=40%,"CRESCIMENTO",IF(Table_1[[#This Row],[PAYOUT]]&lt;=60%,"INDEFINIDO","DIVIDENDOS"))</f>
        <v/>
      </c>
      <c r="Q46" s="62">
        <f>VLOOKUP(Table_1[[#This Row],[AÇÕES]],'Dados Status Invest'!A:R,18,0)/100</f>
        <v/>
      </c>
      <c r="R46" s="62">
        <f>VLOOKUP(Table_1[[#This Row],[AÇÕES]],'Dados Status Invest'!A:Y,25,0)/100</f>
        <v/>
      </c>
      <c r="S46" s="62">
        <f>(1-Table_1[[#This Row],[PAYOUT]])*Table_1[[#This Row],[ROE]]</f>
        <v/>
      </c>
      <c r="T46" s="98">
        <f>AVERAGE(Table_1[[#This Row],[CAGR LUCRO 5A]],Table_1[[#This Row],[CRESCIMENTO DAMODARAN]])</f>
        <v/>
      </c>
      <c r="U46" s="64">
        <f>(Table_1[[#This Row],[PREÇO JUSTO BAZIN]]-Table_1[[#This Row],[PREÇO]])/Table_1[[#This Row],[PREÇO JUSTO BAZIN]]</f>
        <v/>
      </c>
      <c r="V46" s="129">
        <f>Table_1[[#This Row],[DPA]]/6%</f>
        <v/>
      </c>
      <c r="W46" s="129">
        <f>Table_1[[#This Row],[PREÇO JUSTO BAZIN]]/(1+Table_1[[#This Row],[MARGEM DE DESCONTO]])</f>
        <v/>
      </c>
      <c r="X46" s="64">
        <f>(Table_1[[#This Row],[PREÇO JUSTO GRAHAM]]-Table_1[[#This Row],[PREÇO]])/Table_1[[#This Row],[PREÇO JUSTO GRAHAM]]</f>
        <v/>
      </c>
      <c r="Y46" s="129">
        <f>(22.5*Table_1[[#This Row],[LPA]]*Table_1[[#This Row],[VPA]])^0.5</f>
        <v/>
      </c>
      <c r="Z46" s="129">
        <f>Table_1[[#This Row],[PREÇO JUSTO GRAHAM]]/(1+Table_1[[#This Row],[MARGEM DE DESCONTO]])</f>
        <v/>
      </c>
      <c r="AA46" s="64">
        <f>(Table_1[[#This Row],[PREÇO JUSTO GORDON]]-Table_1[[#This Row],[PREÇO]])/Table_1[[#This Row],[PREÇO JUSTO GORDON]]</f>
        <v/>
      </c>
      <c r="AB46" s="130">
        <f>Table_1[[#This Row],[DPA]]*(1+Table_1[[#This Row],[MÉDIA DE CRESCIMENTO]])</f>
        <v/>
      </c>
      <c r="AC46" s="130">
        <f>Table_1[[#This Row],[D1]]/(Table_1[[#This Row],[RISCO]]-Table_1[[#This Row],[MÉDIA DE CRESCIMENTO]])</f>
        <v/>
      </c>
      <c r="AD46" s="130">
        <f>Table_1[[#This Row],[PREÇO JUSTO GORDON]]/(1+Table_1[[#This Row],[MARGEM DE DESCONTO]])</f>
        <v/>
      </c>
      <c r="AE46" s="78">
        <f>Table_1[[#This Row],[P/L]]/Table_1[[#This Row],[MÉDIA DE CRESCIMENTO]]</f>
        <v/>
      </c>
    </row>
    <row r="47" ht="15.75" customHeight="1">
      <c r="B47" s="77">
        <f>'Dados Status Invest'!A33</f>
        <v/>
      </c>
      <c r="C47" s="60">
        <f>VLOOKUP(Table_1[[#This Row],[AÇÕES]],'Classificação B3'!A:B,2,0)</f>
        <v/>
      </c>
      <c r="D47" s="60">
        <f>VLOOKUP(Table_1[[#This Row],[AÇÕES]],'Classificação B3'!A:D,4,0)</f>
        <v/>
      </c>
      <c r="E47" s="60">
        <f>VLOOKUP(Table_1[[#This Row],[AÇÕES]],'Classificação B3'!A:F,6,0)</f>
        <v/>
      </c>
      <c r="F47" s="60">
        <f>VLOOKUP(Table_1[[#This Row],[AÇÕES]],'Classificação B3'!A:G,7,0)</f>
        <v/>
      </c>
      <c r="G47" s="61">
        <f>VLOOKUP(Table_1[[#This Row],[AÇÕES]],'Dados Status Invest'!A:B,2,0)</f>
        <v/>
      </c>
      <c r="H47" s="62">
        <f>VLOOKUP(Table_1[[#This Row],[AÇÕES]],'Dados Status Invest'!A:C,3,0)/100</f>
        <v/>
      </c>
      <c r="I47" s="62">
        <f>VLOOKUP(Table_1[[#This Row],[AÇÕES]],'Dados Status Invest'!A:D,4,0)/100</f>
        <v/>
      </c>
      <c r="J47" s="63">
        <f>VLOOKUP(Table_1[[#This Row],[AÇÕES]],'Dados Status Invest'!A:AB,28,0)</f>
        <v/>
      </c>
      <c r="K47" s="63">
        <f>VLOOKUP(Table_1[[#This Row],[AÇÕES]],'Dados Status Invest'!A:AA,27,0)</f>
        <v/>
      </c>
      <c r="L47" s="63">
        <f>Table_1[[#This Row],[PREÇO]]*Table_1[[#This Row],[DY]]</f>
        <v/>
      </c>
      <c r="M47" s="62">
        <f>$E$13</f>
        <v/>
      </c>
      <c r="N47" s="62" t="n">
        <v>0.3</v>
      </c>
      <c r="O47" s="62">
        <f>Table_1[[#This Row],[DPA]]/Table_1[[#This Row],[LPA]]</f>
        <v/>
      </c>
      <c r="P47" s="62">
        <f>IF(Table_1[[#This Row],[PAYOUT]]&lt;=40%,"CRESCIMENTO",IF(Table_1[[#This Row],[PAYOUT]]&lt;=60%,"INDEFINIDO","DIVIDENDOS"))</f>
        <v/>
      </c>
      <c r="Q47" s="62">
        <f>VLOOKUP(Table_1[[#This Row],[AÇÕES]],'Dados Status Invest'!A:R,18,0)/100</f>
        <v/>
      </c>
      <c r="R47" s="62">
        <f>VLOOKUP(Table_1[[#This Row],[AÇÕES]],'Dados Status Invest'!A:Y,25,0)/100</f>
        <v/>
      </c>
      <c r="S47" s="62">
        <f>(1-Table_1[[#This Row],[PAYOUT]])*Table_1[[#This Row],[ROE]]</f>
        <v/>
      </c>
      <c r="T47" s="98">
        <f>AVERAGE(Table_1[[#This Row],[CAGR LUCRO 5A]],Table_1[[#This Row],[CRESCIMENTO DAMODARAN]])</f>
        <v/>
      </c>
      <c r="U47" s="64">
        <f>(Table_1[[#This Row],[PREÇO JUSTO BAZIN]]-Table_1[[#This Row],[PREÇO]])/Table_1[[#This Row],[PREÇO JUSTO BAZIN]]</f>
        <v/>
      </c>
      <c r="V47" s="129">
        <f>Table_1[[#This Row],[DPA]]/6%</f>
        <v/>
      </c>
      <c r="W47" s="129">
        <f>Table_1[[#This Row],[PREÇO JUSTO BAZIN]]/(1+Table_1[[#This Row],[MARGEM DE DESCONTO]])</f>
        <v/>
      </c>
      <c r="X47" s="64">
        <f>(Table_1[[#This Row],[PREÇO JUSTO GRAHAM]]-Table_1[[#This Row],[PREÇO]])/Table_1[[#This Row],[PREÇO JUSTO GRAHAM]]</f>
        <v/>
      </c>
      <c r="Y47" s="129">
        <f>(22.5*Table_1[[#This Row],[LPA]]*Table_1[[#This Row],[VPA]])^0.5</f>
        <v/>
      </c>
      <c r="Z47" s="129">
        <f>Table_1[[#This Row],[PREÇO JUSTO GRAHAM]]/(1+Table_1[[#This Row],[MARGEM DE DESCONTO]])</f>
        <v/>
      </c>
      <c r="AA47" s="64">
        <f>(Table_1[[#This Row],[PREÇO JUSTO GORDON]]-Table_1[[#This Row],[PREÇO]])/Table_1[[#This Row],[PREÇO JUSTO GORDON]]</f>
        <v/>
      </c>
      <c r="AB47" s="130">
        <f>Table_1[[#This Row],[DPA]]*(1+Table_1[[#This Row],[MÉDIA DE CRESCIMENTO]])</f>
        <v/>
      </c>
      <c r="AC47" s="130">
        <f>Table_1[[#This Row],[D1]]/(Table_1[[#This Row],[RISCO]]-Table_1[[#This Row],[MÉDIA DE CRESCIMENTO]])</f>
        <v/>
      </c>
      <c r="AD47" s="130">
        <f>Table_1[[#This Row],[PREÇO JUSTO GORDON]]/(1+Table_1[[#This Row],[MARGEM DE DESCONTO]])</f>
        <v/>
      </c>
      <c r="AE47" s="78">
        <f>Table_1[[#This Row],[P/L]]/Table_1[[#This Row],[MÉDIA DE CRESCIMENTO]]</f>
        <v/>
      </c>
    </row>
    <row r="48" ht="15.75" customHeight="1">
      <c r="B48" s="77">
        <f>'Dados Status Invest'!A34</f>
        <v/>
      </c>
      <c r="C48" s="60">
        <f>VLOOKUP(Table_1[[#This Row],[AÇÕES]],'Classificação B3'!A:B,2,0)</f>
        <v/>
      </c>
      <c r="D48" s="60">
        <f>VLOOKUP(Table_1[[#This Row],[AÇÕES]],'Classificação B3'!A:D,4,0)</f>
        <v/>
      </c>
      <c r="E48" s="60">
        <f>VLOOKUP(Table_1[[#This Row],[AÇÕES]],'Classificação B3'!A:F,6,0)</f>
        <v/>
      </c>
      <c r="F48" s="60">
        <f>VLOOKUP(Table_1[[#This Row],[AÇÕES]],'Classificação B3'!A:G,7,0)</f>
        <v/>
      </c>
      <c r="G48" s="61">
        <f>VLOOKUP(Table_1[[#This Row],[AÇÕES]],'Dados Status Invest'!A:B,2,0)</f>
        <v/>
      </c>
      <c r="H48" s="62">
        <f>VLOOKUP(Table_1[[#This Row],[AÇÕES]],'Dados Status Invest'!A:C,3,0)/100</f>
        <v/>
      </c>
      <c r="I48" s="62">
        <f>VLOOKUP(Table_1[[#This Row],[AÇÕES]],'Dados Status Invest'!A:D,4,0)/100</f>
        <v/>
      </c>
      <c r="J48" s="63">
        <f>VLOOKUP(Table_1[[#This Row],[AÇÕES]],'Dados Status Invest'!A:AB,28,0)</f>
        <v/>
      </c>
      <c r="K48" s="63">
        <f>VLOOKUP(Table_1[[#This Row],[AÇÕES]],'Dados Status Invest'!A:AA,27,0)</f>
        <v/>
      </c>
      <c r="L48" s="63">
        <f>Table_1[[#This Row],[PREÇO]]*Table_1[[#This Row],[DY]]</f>
        <v/>
      </c>
      <c r="M48" s="62">
        <f>$E$13</f>
        <v/>
      </c>
      <c r="N48" s="62" t="n">
        <v>0.3</v>
      </c>
      <c r="O48" s="62">
        <f>Table_1[[#This Row],[DPA]]/Table_1[[#This Row],[LPA]]</f>
        <v/>
      </c>
      <c r="P48" s="62">
        <f>IF(Table_1[[#This Row],[PAYOUT]]&lt;=40%,"CRESCIMENTO",IF(Table_1[[#This Row],[PAYOUT]]&lt;=60%,"INDEFINIDO","DIVIDENDOS"))</f>
        <v/>
      </c>
      <c r="Q48" s="62">
        <f>VLOOKUP(Table_1[[#This Row],[AÇÕES]],'Dados Status Invest'!A:R,18,0)/100</f>
        <v/>
      </c>
      <c r="R48" s="62">
        <f>VLOOKUP(Table_1[[#This Row],[AÇÕES]],'Dados Status Invest'!A:Y,25,0)/100</f>
        <v/>
      </c>
      <c r="S48" s="62">
        <f>(1-Table_1[[#This Row],[PAYOUT]])*Table_1[[#This Row],[ROE]]</f>
        <v/>
      </c>
      <c r="T48" s="98">
        <f>AVERAGE(Table_1[[#This Row],[CAGR LUCRO 5A]],Table_1[[#This Row],[CRESCIMENTO DAMODARAN]])</f>
        <v/>
      </c>
      <c r="U48" s="64">
        <f>(Table_1[[#This Row],[PREÇO JUSTO BAZIN]]-Table_1[[#This Row],[PREÇO]])/Table_1[[#This Row],[PREÇO JUSTO BAZIN]]</f>
        <v/>
      </c>
      <c r="V48" s="129">
        <f>Table_1[[#This Row],[DPA]]/6%</f>
        <v/>
      </c>
      <c r="W48" s="129">
        <f>Table_1[[#This Row],[PREÇO JUSTO BAZIN]]/(1+Table_1[[#This Row],[MARGEM DE DESCONTO]])</f>
        <v/>
      </c>
      <c r="X48" s="64">
        <f>(Table_1[[#This Row],[PREÇO JUSTO GRAHAM]]-Table_1[[#This Row],[PREÇO]])/Table_1[[#This Row],[PREÇO JUSTO GRAHAM]]</f>
        <v/>
      </c>
      <c r="Y48" s="129">
        <f>(22.5*Table_1[[#This Row],[LPA]]*Table_1[[#This Row],[VPA]])^0.5</f>
        <v/>
      </c>
      <c r="Z48" s="129">
        <f>Table_1[[#This Row],[PREÇO JUSTO GRAHAM]]/(1+Table_1[[#This Row],[MARGEM DE DESCONTO]])</f>
        <v/>
      </c>
      <c r="AA48" s="64">
        <f>(Table_1[[#This Row],[PREÇO JUSTO GORDON]]-Table_1[[#This Row],[PREÇO]])/Table_1[[#This Row],[PREÇO JUSTO GORDON]]</f>
        <v/>
      </c>
      <c r="AB48" s="130">
        <f>Table_1[[#This Row],[DPA]]*(1+Table_1[[#This Row],[MÉDIA DE CRESCIMENTO]])</f>
        <v/>
      </c>
      <c r="AC48" s="130">
        <f>Table_1[[#This Row],[D1]]/(Table_1[[#This Row],[RISCO]]-Table_1[[#This Row],[MÉDIA DE CRESCIMENTO]])</f>
        <v/>
      </c>
      <c r="AD48" s="130">
        <f>Table_1[[#This Row],[PREÇO JUSTO GORDON]]/(1+Table_1[[#This Row],[MARGEM DE DESCONTO]])</f>
        <v/>
      </c>
      <c r="AE48" s="78">
        <f>Table_1[[#This Row],[P/L]]/Table_1[[#This Row],[MÉDIA DE CRESCIMENTO]]</f>
        <v/>
      </c>
    </row>
    <row r="49" ht="15.75" customHeight="1">
      <c r="B49" s="77">
        <f>'Dados Status Invest'!A35</f>
        <v/>
      </c>
      <c r="C49" s="60">
        <f>VLOOKUP(Table_1[[#This Row],[AÇÕES]],'Classificação B3'!A:B,2,0)</f>
        <v/>
      </c>
      <c r="D49" s="60">
        <f>VLOOKUP(Table_1[[#This Row],[AÇÕES]],'Classificação B3'!A:D,4,0)</f>
        <v/>
      </c>
      <c r="E49" s="60">
        <f>VLOOKUP(Table_1[[#This Row],[AÇÕES]],'Classificação B3'!A:F,6,0)</f>
        <v/>
      </c>
      <c r="F49" s="60">
        <f>VLOOKUP(Table_1[[#This Row],[AÇÕES]],'Classificação B3'!A:G,7,0)</f>
        <v/>
      </c>
      <c r="G49" s="61">
        <f>VLOOKUP(Table_1[[#This Row],[AÇÕES]],'Dados Status Invest'!A:B,2,0)</f>
        <v/>
      </c>
      <c r="H49" s="62">
        <f>VLOOKUP(Table_1[[#This Row],[AÇÕES]],'Dados Status Invest'!A:C,3,0)/100</f>
        <v/>
      </c>
      <c r="I49" s="62">
        <f>VLOOKUP(Table_1[[#This Row],[AÇÕES]],'Dados Status Invest'!A:D,4,0)/100</f>
        <v/>
      </c>
      <c r="J49" s="63">
        <f>VLOOKUP(Table_1[[#This Row],[AÇÕES]],'Dados Status Invest'!A:AB,28,0)</f>
        <v/>
      </c>
      <c r="K49" s="63">
        <f>VLOOKUP(Table_1[[#This Row],[AÇÕES]],'Dados Status Invest'!A:AA,27,0)</f>
        <v/>
      </c>
      <c r="L49" s="63">
        <f>Table_1[[#This Row],[PREÇO]]*Table_1[[#This Row],[DY]]</f>
        <v/>
      </c>
      <c r="M49" s="62">
        <f>$E$13</f>
        <v/>
      </c>
      <c r="N49" s="62" t="n">
        <v>0.3</v>
      </c>
      <c r="O49" s="62">
        <f>Table_1[[#This Row],[DPA]]/Table_1[[#This Row],[LPA]]</f>
        <v/>
      </c>
      <c r="P49" s="62">
        <f>IF(Table_1[[#This Row],[PAYOUT]]&lt;=40%,"CRESCIMENTO",IF(Table_1[[#This Row],[PAYOUT]]&lt;=60%,"INDEFINIDO","DIVIDENDOS"))</f>
        <v/>
      </c>
      <c r="Q49" s="62">
        <f>VLOOKUP(Table_1[[#This Row],[AÇÕES]],'Dados Status Invest'!A:R,18,0)/100</f>
        <v/>
      </c>
      <c r="R49" s="62">
        <f>VLOOKUP(Table_1[[#This Row],[AÇÕES]],'Dados Status Invest'!A:Y,25,0)/100</f>
        <v/>
      </c>
      <c r="S49" s="62">
        <f>(1-Table_1[[#This Row],[PAYOUT]])*Table_1[[#This Row],[ROE]]</f>
        <v/>
      </c>
      <c r="T49" s="98">
        <f>AVERAGE(Table_1[[#This Row],[CAGR LUCRO 5A]],Table_1[[#This Row],[CRESCIMENTO DAMODARAN]])</f>
        <v/>
      </c>
      <c r="U49" s="64">
        <f>(Table_1[[#This Row],[PREÇO JUSTO BAZIN]]-Table_1[[#This Row],[PREÇO]])/Table_1[[#This Row],[PREÇO JUSTO BAZIN]]</f>
        <v/>
      </c>
      <c r="V49" s="129">
        <f>Table_1[[#This Row],[DPA]]/6%</f>
        <v/>
      </c>
      <c r="W49" s="129">
        <f>Table_1[[#This Row],[PREÇO JUSTO BAZIN]]/(1+Table_1[[#This Row],[MARGEM DE DESCONTO]])</f>
        <v/>
      </c>
      <c r="X49" s="64">
        <f>(Table_1[[#This Row],[PREÇO JUSTO GRAHAM]]-Table_1[[#This Row],[PREÇO]])/Table_1[[#This Row],[PREÇO JUSTO GRAHAM]]</f>
        <v/>
      </c>
      <c r="Y49" s="129">
        <f>(22.5*Table_1[[#This Row],[LPA]]*Table_1[[#This Row],[VPA]])^0.5</f>
        <v/>
      </c>
      <c r="Z49" s="129">
        <f>Table_1[[#This Row],[PREÇO JUSTO GRAHAM]]/(1+Table_1[[#This Row],[MARGEM DE DESCONTO]])</f>
        <v/>
      </c>
      <c r="AA49" s="64">
        <f>(Table_1[[#This Row],[PREÇO JUSTO GORDON]]-Table_1[[#This Row],[PREÇO]])/Table_1[[#This Row],[PREÇO JUSTO GORDON]]</f>
        <v/>
      </c>
      <c r="AB49" s="130">
        <f>Table_1[[#This Row],[DPA]]*(1+Table_1[[#This Row],[MÉDIA DE CRESCIMENTO]])</f>
        <v/>
      </c>
      <c r="AC49" s="130">
        <f>Table_1[[#This Row],[D1]]/(Table_1[[#This Row],[RISCO]]-Table_1[[#This Row],[MÉDIA DE CRESCIMENTO]])</f>
        <v/>
      </c>
      <c r="AD49" s="130">
        <f>Table_1[[#This Row],[PREÇO JUSTO GORDON]]/(1+Table_1[[#This Row],[MARGEM DE DESCONTO]])</f>
        <v/>
      </c>
      <c r="AE49" s="78">
        <f>Table_1[[#This Row],[P/L]]/Table_1[[#This Row],[MÉDIA DE CRESCIMENTO]]</f>
        <v/>
      </c>
    </row>
    <row r="50" ht="15.75" customHeight="1">
      <c r="B50" s="77">
        <f>'Dados Status Invest'!A36</f>
        <v/>
      </c>
      <c r="C50" s="60">
        <f>VLOOKUP(Table_1[[#This Row],[AÇÕES]],'Classificação B3'!A:B,2,0)</f>
        <v/>
      </c>
      <c r="D50" s="60">
        <f>VLOOKUP(Table_1[[#This Row],[AÇÕES]],'Classificação B3'!A:D,4,0)</f>
        <v/>
      </c>
      <c r="E50" s="60">
        <f>VLOOKUP(Table_1[[#This Row],[AÇÕES]],'Classificação B3'!A:F,6,0)</f>
        <v/>
      </c>
      <c r="F50" s="60">
        <f>VLOOKUP(Table_1[[#This Row],[AÇÕES]],'Classificação B3'!A:G,7,0)</f>
        <v/>
      </c>
      <c r="G50" s="61">
        <f>VLOOKUP(Table_1[[#This Row],[AÇÕES]],'Dados Status Invest'!A:B,2,0)</f>
        <v/>
      </c>
      <c r="H50" s="62">
        <f>VLOOKUP(Table_1[[#This Row],[AÇÕES]],'Dados Status Invest'!A:C,3,0)/100</f>
        <v/>
      </c>
      <c r="I50" s="62">
        <f>VLOOKUP(Table_1[[#This Row],[AÇÕES]],'Dados Status Invest'!A:D,4,0)/100</f>
        <v/>
      </c>
      <c r="J50" s="63">
        <f>VLOOKUP(Table_1[[#This Row],[AÇÕES]],'Dados Status Invest'!A:AB,28,0)</f>
        <v/>
      </c>
      <c r="K50" s="63">
        <f>VLOOKUP(Table_1[[#This Row],[AÇÕES]],'Dados Status Invest'!A:AA,27,0)</f>
        <v/>
      </c>
      <c r="L50" s="63">
        <f>Table_1[[#This Row],[PREÇO]]*Table_1[[#This Row],[DY]]</f>
        <v/>
      </c>
      <c r="M50" s="62">
        <f>$E$13</f>
        <v/>
      </c>
      <c r="N50" s="62" t="n">
        <v>0.3</v>
      </c>
      <c r="O50" s="62">
        <f>Table_1[[#This Row],[DPA]]/Table_1[[#This Row],[LPA]]</f>
        <v/>
      </c>
      <c r="P50" s="62">
        <f>IF(Table_1[[#This Row],[PAYOUT]]&lt;=40%,"CRESCIMENTO",IF(Table_1[[#This Row],[PAYOUT]]&lt;=60%,"INDEFINIDO","DIVIDENDOS"))</f>
        <v/>
      </c>
      <c r="Q50" s="62">
        <f>VLOOKUP(Table_1[[#This Row],[AÇÕES]],'Dados Status Invest'!A:R,18,0)/100</f>
        <v/>
      </c>
      <c r="R50" s="62">
        <f>VLOOKUP(Table_1[[#This Row],[AÇÕES]],'Dados Status Invest'!A:Y,25,0)/100</f>
        <v/>
      </c>
      <c r="S50" s="62">
        <f>(1-Table_1[[#This Row],[PAYOUT]])*Table_1[[#This Row],[ROE]]</f>
        <v/>
      </c>
      <c r="T50" s="98">
        <f>AVERAGE(Table_1[[#This Row],[CAGR LUCRO 5A]],Table_1[[#This Row],[CRESCIMENTO DAMODARAN]])</f>
        <v/>
      </c>
      <c r="U50" s="64">
        <f>(Table_1[[#This Row],[PREÇO JUSTO BAZIN]]-Table_1[[#This Row],[PREÇO]])/Table_1[[#This Row],[PREÇO JUSTO BAZIN]]</f>
        <v/>
      </c>
      <c r="V50" s="129">
        <f>Table_1[[#This Row],[DPA]]/6%</f>
        <v/>
      </c>
      <c r="W50" s="129">
        <f>Table_1[[#This Row],[PREÇO JUSTO BAZIN]]/(1+Table_1[[#This Row],[MARGEM DE DESCONTO]])</f>
        <v/>
      </c>
      <c r="X50" s="64">
        <f>(Table_1[[#This Row],[PREÇO JUSTO GRAHAM]]-Table_1[[#This Row],[PREÇO]])/Table_1[[#This Row],[PREÇO JUSTO GRAHAM]]</f>
        <v/>
      </c>
      <c r="Y50" s="129">
        <f>(22.5*Table_1[[#This Row],[LPA]]*Table_1[[#This Row],[VPA]])^0.5</f>
        <v/>
      </c>
      <c r="Z50" s="129">
        <f>Table_1[[#This Row],[PREÇO JUSTO GRAHAM]]/(1+Table_1[[#This Row],[MARGEM DE DESCONTO]])</f>
        <v/>
      </c>
      <c r="AA50" s="64">
        <f>(Table_1[[#This Row],[PREÇO JUSTO GORDON]]-Table_1[[#This Row],[PREÇO]])/Table_1[[#This Row],[PREÇO JUSTO GORDON]]</f>
        <v/>
      </c>
      <c r="AB50" s="130">
        <f>Table_1[[#This Row],[DPA]]*(1+Table_1[[#This Row],[MÉDIA DE CRESCIMENTO]])</f>
        <v/>
      </c>
      <c r="AC50" s="130">
        <f>Table_1[[#This Row],[D1]]/(Table_1[[#This Row],[RISCO]]-Table_1[[#This Row],[MÉDIA DE CRESCIMENTO]])</f>
        <v/>
      </c>
      <c r="AD50" s="130">
        <f>Table_1[[#This Row],[PREÇO JUSTO GORDON]]/(1+Table_1[[#This Row],[MARGEM DE DESCONTO]])</f>
        <v/>
      </c>
      <c r="AE50" s="78">
        <f>Table_1[[#This Row],[P/L]]/Table_1[[#This Row],[MÉDIA DE CRESCIMENTO]]</f>
        <v/>
      </c>
    </row>
    <row r="51" ht="15.75" customHeight="1">
      <c r="B51" s="77">
        <f>'Dados Status Invest'!A37</f>
        <v/>
      </c>
      <c r="C51" s="60">
        <f>VLOOKUP(Table_1[[#This Row],[AÇÕES]],'Classificação B3'!A:B,2,0)</f>
        <v/>
      </c>
      <c r="D51" s="60">
        <f>VLOOKUP(Table_1[[#This Row],[AÇÕES]],'Classificação B3'!A:D,4,0)</f>
        <v/>
      </c>
      <c r="E51" s="60">
        <f>VLOOKUP(Table_1[[#This Row],[AÇÕES]],'Classificação B3'!A:F,6,0)</f>
        <v/>
      </c>
      <c r="F51" s="60">
        <f>VLOOKUP(Table_1[[#This Row],[AÇÕES]],'Classificação B3'!A:G,7,0)</f>
        <v/>
      </c>
      <c r="G51" s="61">
        <f>VLOOKUP(Table_1[[#This Row],[AÇÕES]],'Dados Status Invest'!A:B,2,0)</f>
        <v/>
      </c>
      <c r="H51" s="62">
        <f>VLOOKUP(Table_1[[#This Row],[AÇÕES]],'Dados Status Invest'!A:C,3,0)/100</f>
        <v/>
      </c>
      <c r="I51" s="62">
        <f>VLOOKUP(Table_1[[#This Row],[AÇÕES]],'Dados Status Invest'!A:D,4,0)/100</f>
        <v/>
      </c>
      <c r="J51" s="63">
        <f>VLOOKUP(Table_1[[#This Row],[AÇÕES]],'Dados Status Invest'!A:AB,28,0)</f>
        <v/>
      </c>
      <c r="K51" s="63">
        <f>VLOOKUP(Table_1[[#This Row],[AÇÕES]],'Dados Status Invest'!A:AA,27,0)</f>
        <v/>
      </c>
      <c r="L51" s="63">
        <f>Table_1[[#This Row],[PREÇO]]*Table_1[[#This Row],[DY]]</f>
        <v/>
      </c>
      <c r="M51" s="62">
        <f>$E$13</f>
        <v/>
      </c>
      <c r="N51" s="62" t="n">
        <v>0.3</v>
      </c>
      <c r="O51" s="62">
        <f>Table_1[[#This Row],[DPA]]/Table_1[[#This Row],[LPA]]</f>
        <v/>
      </c>
      <c r="P51" s="62">
        <f>IF(Table_1[[#This Row],[PAYOUT]]&lt;=40%,"CRESCIMENTO",IF(Table_1[[#This Row],[PAYOUT]]&lt;=60%,"INDEFINIDO","DIVIDENDOS"))</f>
        <v/>
      </c>
      <c r="Q51" s="62">
        <f>VLOOKUP(Table_1[[#This Row],[AÇÕES]],'Dados Status Invest'!A:R,18,0)/100</f>
        <v/>
      </c>
      <c r="R51" s="62">
        <f>VLOOKUP(Table_1[[#This Row],[AÇÕES]],'Dados Status Invest'!A:Y,25,0)/100</f>
        <v/>
      </c>
      <c r="S51" s="62">
        <f>(1-Table_1[[#This Row],[PAYOUT]])*Table_1[[#This Row],[ROE]]</f>
        <v/>
      </c>
      <c r="T51" s="98">
        <f>AVERAGE(Table_1[[#This Row],[CAGR LUCRO 5A]],Table_1[[#This Row],[CRESCIMENTO DAMODARAN]])</f>
        <v/>
      </c>
      <c r="U51" s="64">
        <f>(Table_1[[#This Row],[PREÇO JUSTO BAZIN]]-Table_1[[#This Row],[PREÇO]])/Table_1[[#This Row],[PREÇO JUSTO BAZIN]]</f>
        <v/>
      </c>
      <c r="V51" s="129">
        <f>Table_1[[#This Row],[DPA]]/6%</f>
        <v/>
      </c>
      <c r="W51" s="129">
        <f>Table_1[[#This Row],[PREÇO JUSTO BAZIN]]/(1+Table_1[[#This Row],[MARGEM DE DESCONTO]])</f>
        <v/>
      </c>
      <c r="X51" s="64">
        <f>(Table_1[[#This Row],[PREÇO JUSTO GRAHAM]]-Table_1[[#This Row],[PREÇO]])/Table_1[[#This Row],[PREÇO JUSTO GRAHAM]]</f>
        <v/>
      </c>
      <c r="Y51" s="129">
        <f>(22.5*Table_1[[#This Row],[LPA]]*Table_1[[#This Row],[VPA]])^0.5</f>
        <v/>
      </c>
      <c r="Z51" s="129">
        <f>Table_1[[#This Row],[PREÇO JUSTO GRAHAM]]/(1+Table_1[[#This Row],[MARGEM DE DESCONTO]])</f>
        <v/>
      </c>
      <c r="AA51" s="64">
        <f>(Table_1[[#This Row],[PREÇO JUSTO GORDON]]-Table_1[[#This Row],[PREÇO]])/Table_1[[#This Row],[PREÇO JUSTO GORDON]]</f>
        <v/>
      </c>
      <c r="AB51" s="130">
        <f>Table_1[[#This Row],[DPA]]*(1+Table_1[[#This Row],[MÉDIA DE CRESCIMENTO]])</f>
        <v/>
      </c>
      <c r="AC51" s="130">
        <f>Table_1[[#This Row],[D1]]/(Table_1[[#This Row],[RISCO]]-Table_1[[#This Row],[MÉDIA DE CRESCIMENTO]])</f>
        <v/>
      </c>
      <c r="AD51" s="130">
        <f>Table_1[[#This Row],[PREÇO JUSTO GORDON]]/(1+Table_1[[#This Row],[MARGEM DE DESCONTO]])</f>
        <v/>
      </c>
      <c r="AE51" s="78">
        <f>Table_1[[#This Row],[P/L]]/Table_1[[#This Row],[MÉDIA DE CRESCIMENTO]]</f>
        <v/>
      </c>
    </row>
    <row r="52" ht="15.75" customHeight="1">
      <c r="B52" s="77">
        <f>'Dados Status Invest'!A38</f>
        <v/>
      </c>
      <c r="C52" s="60">
        <f>VLOOKUP(Table_1[[#This Row],[AÇÕES]],'Classificação B3'!A:B,2,0)</f>
        <v/>
      </c>
      <c r="D52" s="60">
        <f>VLOOKUP(Table_1[[#This Row],[AÇÕES]],'Classificação B3'!A:D,4,0)</f>
        <v/>
      </c>
      <c r="E52" s="60">
        <f>VLOOKUP(Table_1[[#This Row],[AÇÕES]],'Classificação B3'!A:F,6,0)</f>
        <v/>
      </c>
      <c r="F52" s="60">
        <f>VLOOKUP(Table_1[[#This Row],[AÇÕES]],'Classificação B3'!A:G,7,0)</f>
        <v/>
      </c>
      <c r="G52" s="61">
        <f>VLOOKUP(Table_1[[#This Row],[AÇÕES]],'Dados Status Invest'!A:B,2,0)</f>
        <v/>
      </c>
      <c r="H52" s="62">
        <f>VLOOKUP(Table_1[[#This Row],[AÇÕES]],'Dados Status Invest'!A:C,3,0)/100</f>
        <v/>
      </c>
      <c r="I52" s="62">
        <f>VLOOKUP(Table_1[[#This Row],[AÇÕES]],'Dados Status Invest'!A:D,4,0)/100</f>
        <v/>
      </c>
      <c r="J52" s="63">
        <f>VLOOKUP(Table_1[[#This Row],[AÇÕES]],'Dados Status Invest'!A:AB,28,0)</f>
        <v/>
      </c>
      <c r="K52" s="63">
        <f>VLOOKUP(Table_1[[#This Row],[AÇÕES]],'Dados Status Invest'!A:AA,27,0)</f>
        <v/>
      </c>
      <c r="L52" s="63">
        <f>Table_1[[#This Row],[PREÇO]]*Table_1[[#This Row],[DY]]</f>
        <v/>
      </c>
      <c r="M52" s="62">
        <f>$E$13</f>
        <v/>
      </c>
      <c r="N52" s="62" t="n">
        <v>0.3</v>
      </c>
      <c r="O52" s="62">
        <f>Table_1[[#This Row],[DPA]]/Table_1[[#This Row],[LPA]]</f>
        <v/>
      </c>
      <c r="P52" s="62">
        <f>IF(Table_1[[#This Row],[PAYOUT]]&lt;=40%,"CRESCIMENTO",IF(Table_1[[#This Row],[PAYOUT]]&lt;=60%,"INDEFINIDO","DIVIDENDOS"))</f>
        <v/>
      </c>
      <c r="Q52" s="62">
        <f>VLOOKUP(Table_1[[#This Row],[AÇÕES]],'Dados Status Invest'!A:R,18,0)/100</f>
        <v/>
      </c>
      <c r="R52" s="62">
        <f>VLOOKUP(Table_1[[#This Row],[AÇÕES]],'Dados Status Invest'!A:Y,25,0)/100</f>
        <v/>
      </c>
      <c r="S52" s="62">
        <f>(1-Table_1[[#This Row],[PAYOUT]])*Table_1[[#This Row],[ROE]]</f>
        <v/>
      </c>
      <c r="T52" s="98">
        <f>AVERAGE(Table_1[[#This Row],[CAGR LUCRO 5A]],Table_1[[#This Row],[CRESCIMENTO DAMODARAN]])</f>
        <v/>
      </c>
      <c r="U52" s="64">
        <f>(Table_1[[#This Row],[PREÇO JUSTO BAZIN]]-Table_1[[#This Row],[PREÇO]])/Table_1[[#This Row],[PREÇO JUSTO BAZIN]]</f>
        <v/>
      </c>
      <c r="V52" s="129">
        <f>Table_1[[#This Row],[DPA]]/6%</f>
        <v/>
      </c>
      <c r="W52" s="129">
        <f>Table_1[[#This Row],[PREÇO JUSTO BAZIN]]/(1+Table_1[[#This Row],[MARGEM DE DESCONTO]])</f>
        <v/>
      </c>
      <c r="X52" s="64">
        <f>(Table_1[[#This Row],[PREÇO JUSTO GRAHAM]]-Table_1[[#This Row],[PREÇO]])/Table_1[[#This Row],[PREÇO JUSTO GRAHAM]]</f>
        <v/>
      </c>
      <c r="Y52" s="129">
        <f>(22.5*Table_1[[#This Row],[LPA]]*Table_1[[#This Row],[VPA]])^0.5</f>
        <v/>
      </c>
      <c r="Z52" s="129">
        <f>Table_1[[#This Row],[PREÇO JUSTO GRAHAM]]/(1+Table_1[[#This Row],[MARGEM DE DESCONTO]])</f>
        <v/>
      </c>
      <c r="AA52" s="64">
        <f>(Table_1[[#This Row],[PREÇO JUSTO GORDON]]-Table_1[[#This Row],[PREÇO]])/Table_1[[#This Row],[PREÇO JUSTO GORDON]]</f>
        <v/>
      </c>
      <c r="AB52" s="130">
        <f>Table_1[[#This Row],[DPA]]*(1+Table_1[[#This Row],[MÉDIA DE CRESCIMENTO]])</f>
        <v/>
      </c>
      <c r="AC52" s="130">
        <f>Table_1[[#This Row],[D1]]/(Table_1[[#This Row],[RISCO]]-Table_1[[#This Row],[MÉDIA DE CRESCIMENTO]])</f>
        <v/>
      </c>
      <c r="AD52" s="130">
        <f>Table_1[[#This Row],[PREÇO JUSTO GORDON]]/(1+Table_1[[#This Row],[MARGEM DE DESCONTO]])</f>
        <v/>
      </c>
      <c r="AE52" s="78">
        <f>Table_1[[#This Row],[P/L]]/Table_1[[#This Row],[MÉDIA DE CRESCIMENTO]]</f>
        <v/>
      </c>
    </row>
    <row r="53" ht="15.75" customHeight="1">
      <c r="B53" s="77">
        <f>'Dados Status Invest'!A39</f>
        <v/>
      </c>
      <c r="C53" s="60">
        <f>VLOOKUP(Table_1[[#This Row],[AÇÕES]],'Classificação B3'!A:B,2,0)</f>
        <v/>
      </c>
      <c r="D53" s="60">
        <f>VLOOKUP(Table_1[[#This Row],[AÇÕES]],'Classificação B3'!A:D,4,0)</f>
        <v/>
      </c>
      <c r="E53" s="60">
        <f>VLOOKUP(Table_1[[#This Row],[AÇÕES]],'Classificação B3'!A:F,6,0)</f>
        <v/>
      </c>
      <c r="F53" s="60">
        <f>VLOOKUP(Table_1[[#This Row],[AÇÕES]],'Classificação B3'!A:G,7,0)</f>
        <v/>
      </c>
      <c r="G53" s="61">
        <f>VLOOKUP(Table_1[[#This Row],[AÇÕES]],'Dados Status Invest'!A:B,2,0)</f>
        <v/>
      </c>
      <c r="H53" s="62">
        <f>VLOOKUP(Table_1[[#This Row],[AÇÕES]],'Dados Status Invest'!A:C,3,0)/100</f>
        <v/>
      </c>
      <c r="I53" s="62">
        <f>VLOOKUP(Table_1[[#This Row],[AÇÕES]],'Dados Status Invest'!A:D,4,0)/100</f>
        <v/>
      </c>
      <c r="J53" s="63">
        <f>VLOOKUP(Table_1[[#This Row],[AÇÕES]],'Dados Status Invest'!A:AB,28,0)</f>
        <v/>
      </c>
      <c r="K53" s="63">
        <f>VLOOKUP(Table_1[[#This Row],[AÇÕES]],'Dados Status Invest'!A:AA,27,0)</f>
        <v/>
      </c>
      <c r="L53" s="63">
        <f>Table_1[[#This Row],[PREÇO]]*Table_1[[#This Row],[DY]]</f>
        <v/>
      </c>
      <c r="M53" s="62">
        <f>$E$13</f>
        <v/>
      </c>
      <c r="N53" s="62" t="n">
        <v>0.3</v>
      </c>
      <c r="O53" s="62">
        <f>Table_1[[#This Row],[DPA]]/Table_1[[#This Row],[LPA]]</f>
        <v/>
      </c>
      <c r="P53" s="62">
        <f>IF(Table_1[[#This Row],[PAYOUT]]&lt;=40%,"CRESCIMENTO",IF(Table_1[[#This Row],[PAYOUT]]&lt;=60%,"INDEFINIDO","DIVIDENDOS"))</f>
        <v/>
      </c>
      <c r="Q53" s="62">
        <f>VLOOKUP(Table_1[[#This Row],[AÇÕES]],'Dados Status Invest'!A:R,18,0)/100</f>
        <v/>
      </c>
      <c r="R53" s="62">
        <f>VLOOKUP(Table_1[[#This Row],[AÇÕES]],'Dados Status Invest'!A:Y,25,0)/100</f>
        <v/>
      </c>
      <c r="S53" s="62">
        <f>(1-Table_1[[#This Row],[PAYOUT]])*Table_1[[#This Row],[ROE]]</f>
        <v/>
      </c>
      <c r="T53" s="98">
        <f>AVERAGE(Table_1[[#This Row],[CAGR LUCRO 5A]],Table_1[[#This Row],[CRESCIMENTO DAMODARAN]])</f>
        <v/>
      </c>
      <c r="U53" s="64">
        <f>(Table_1[[#This Row],[PREÇO JUSTO BAZIN]]-Table_1[[#This Row],[PREÇO]])/Table_1[[#This Row],[PREÇO JUSTO BAZIN]]</f>
        <v/>
      </c>
      <c r="V53" s="129">
        <f>Table_1[[#This Row],[DPA]]/6%</f>
        <v/>
      </c>
      <c r="W53" s="129">
        <f>Table_1[[#This Row],[PREÇO JUSTO BAZIN]]/(1+Table_1[[#This Row],[MARGEM DE DESCONTO]])</f>
        <v/>
      </c>
      <c r="X53" s="64">
        <f>(Table_1[[#This Row],[PREÇO JUSTO GRAHAM]]-Table_1[[#This Row],[PREÇO]])/Table_1[[#This Row],[PREÇO JUSTO GRAHAM]]</f>
        <v/>
      </c>
      <c r="Y53" s="129">
        <f>(22.5*Table_1[[#This Row],[LPA]]*Table_1[[#This Row],[VPA]])^0.5</f>
        <v/>
      </c>
      <c r="Z53" s="129">
        <f>Table_1[[#This Row],[PREÇO JUSTO GRAHAM]]/(1+Table_1[[#This Row],[MARGEM DE DESCONTO]])</f>
        <v/>
      </c>
      <c r="AA53" s="64">
        <f>(Table_1[[#This Row],[PREÇO JUSTO GORDON]]-Table_1[[#This Row],[PREÇO]])/Table_1[[#This Row],[PREÇO JUSTO GORDON]]</f>
        <v/>
      </c>
      <c r="AB53" s="130">
        <f>Table_1[[#This Row],[DPA]]*(1+Table_1[[#This Row],[MÉDIA DE CRESCIMENTO]])</f>
        <v/>
      </c>
      <c r="AC53" s="130">
        <f>Table_1[[#This Row],[D1]]/(Table_1[[#This Row],[RISCO]]-Table_1[[#This Row],[MÉDIA DE CRESCIMENTO]])</f>
        <v/>
      </c>
      <c r="AD53" s="130">
        <f>Table_1[[#This Row],[PREÇO JUSTO GORDON]]/(1+Table_1[[#This Row],[MARGEM DE DESCONTO]])</f>
        <v/>
      </c>
      <c r="AE53" s="78">
        <f>Table_1[[#This Row],[P/L]]/Table_1[[#This Row],[MÉDIA DE CRESCIMENTO]]</f>
        <v/>
      </c>
    </row>
    <row r="54" ht="15.75" customHeight="1">
      <c r="B54" s="77">
        <f>'Dados Status Invest'!A40</f>
        <v/>
      </c>
      <c r="C54" s="60">
        <f>VLOOKUP(Table_1[[#This Row],[AÇÕES]],'Classificação B3'!A:B,2,0)</f>
        <v/>
      </c>
      <c r="D54" s="60">
        <f>VLOOKUP(Table_1[[#This Row],[AÇÕES]],'Classificação B3'!A:D,4,0)</f>
        <v/>
      </c>
      <c r="E54" s="60">
        <f>VLOOKUP(Table_1[[#This Row],[AÇÕES]],'Classificação B3'!A:F,6,0)</f>
        <v/>
      </c>
      <c r="F54" s="60">
        <f>VLOOKUP(Table_1[[#This Row],[AÇÕES]],'Classificação B3'!A:G,7,0)</f>
        <v/>
      </c>
      <c r="G54" s="61">
        <f>VLOOKUP(Table_1[[#This Row],[AÇÕES]],'Dados Status Invest'!A:B,2,0)</f>
        <v/>
      </c>
      <c r="H54" s="62">
        <f>VLOOKUP(Table_1[[#This Row],[AÇÕES]],'Dados Status Invest'!A:C,3,0)/100</f>
        <v/>
      </c>
      <c r="I54" s="62">
        <f>VLOOKUP(Table_1[[#This Row],[AÇÕES]],'Dados Status Invest'!A:D,4,0)/100</f>
        <v/>
      </c>
      <c r="J54" s="63">
        <f>VLOOKUP(Table_1[[#This Row],[AÇÕES]],'Dados Status Invest'!A:AB,28,0)</f>
        <v/>
      </c>
      <c r="K54" s="63">
        <f>VLOOKUP(Table_1[[#This Row],[AÇÕES]],'Dados Status Invest'!A:AA,27,0)</f>
        <v/>
      </c>
      <c r="L54" s="63">
        <f>Table_1[[#This Row],[PREÇO]]*Table_1[[#This Row],[DY]]</f>
        <v/>
      </c>
      <c r="M54" s="62">
        <f>$E$13</f>
        <v/>
      </c>
      <c r="N54" s="62" t="n">
        <v>0.3</v>
      </c>
      <c r="O54" s="62">
        <f>Table_1[[#This Row],[DPA]]/Table_1[[#This Row],[LPA]]</f>
        <v/>
      </c>
      <c r="P54" s="62">
        <f>IF(Table_1[[#This Row],[PAYOUT]]&lt;=40%,"CRESCIMENTO",IF(Table_1[[#This Row],[PAYOUT]]&lt;=60%,"INDEFINIDO","DIVIDENDOS"))</f>
        <v/>
      </c>
      <c r="Q54" s="62">
        <f>VLOOKUP(Table_1[[#This Row],[AÇÕES]],'Dados Status Invest'!A:R,18,0)/100</f>
        <v/>
      </c>
      <c r="R54" s="62">
        <f>VLOOKUP(Table_1[[#This Row],[AÇÕES]],'Dados Status Invest'!A:Y,25,0)/100</f>
        <v/>
      </c>
      <c r="S54" s="62">
        <f>(1-Table_1[[#This Row],[PAYOUT]])*Table_1[[#This Row],[ROE]]</f>
        <v/>
      </c>
      <c r="T54" s="98">
        <f>AVERAGE(Table_1[[#This Row],[CAGR LUCRO 5A]],Table_1[[#This Row],[CRESCIMENTO DAMODARAN]])</f>
        <v/>
      </c>
      <c r="U54" s="64">
        <f>(Table_1[[#This Row],[PREÇO JUSTO BAZIN]]-Table_1[[#This Row],[PREÇO]])/Table_1[[#This Row],[PREÇO JUSTO BAZIN]]</f>
        <v/>
      </c>
      <c r="V54" s="129">
        <f>Table_1[[#This Row],[DPA]]/6%</f>
        <v/>
      </c>
      <c r="W54" s="129">
        <f>Table_1[[#This Row],[PREÇO JUSTO BAZIN]]/(1+Table_1[[#This Row],[MARGEM DE DESCONTO]])</f>
        <v/>
      </c>
      <c r="X54" s="64">
        <f>(Table_1[[#This Row],[PREÇO JUSTO GRAHAM]]-Table_1[[#This Row],[PREÇO]])/Table_1[[#This Row],[PREÇO JUSTO GRAHAM]]</f>
        <v/>
      </c>
      <c r="Y54" s="129">
        <f>(22.5*Table_1[[#This Row],[LPA]]*Table_1[[#This Row],[VPA]])^0.5</f>
        <v/>
      </c>
      <c r="Z54" s="129">
        <f>Table_1[[#This Row],[PREÇO JUSTO GRAHAM]]/(1+Table_1[[#This Row],[MARGEM DE DESCONTO]])</f>
        <v/>
      </c>
      <c r="AA54" s="64">
        <f>(Table_1[[#This Row],[PREÇO JUSTO GORDON]]-Table_1[[#This Row],[PREÇO]])/Table_1[[#This Row],[PREÇO JUSTO GORDON]]</f>
        <v/>
      </c>
      <c r="AB54" s="130">
        <f>Table_1[[#This Row],[DPA]]*(1+Table_1[[#This Row],[MÉDIA DE CRESCIMENTO]])</f>
        <v/>
      </c>
      <c r="AC54" s="130">
        <f>Table_1[[#This Row],[D1]]/(Table_1[[#This Row],[RISCO]]-Table_1[[#This Row],[MÉDIA DE CRESCIMENTO]])</f>
        <v/>
      </c>
      <c r="AD54" s="130">
        <f>Table_1[[#This Row],[PREÇO JUSTO GORDON]]/(1+Table_1[[#This Row],[MARGEM DE DESCONTO]])</f>
        <v/>
      </c>
      <c r="AE54" s="78">
        <f>Table_1[[#This Row],[P/L]]/Table_1[[#This Row],[MÉDIA DE CRESCIMENTO]]</f>
        <v/>
      </c>
    </row>
    <row r="55" ht="15.75" customHeight="1">
      <c r="B55" s="77">
        <f>'Dados Status Invest'!A41</f>
        <v/>
      </c>
      <c r="C55" s="60">
        <f>VLOOKUP(Table_1[[#This Row],[AÇÕES]],'Classificação B3'!A:B,2,0)</f>
        <v/>
      </c>
      <c r="D55" s="60">
        <f>VLOOKUP(Table_1[[#This Row],[AÇÕES]],'Classificação B3'!A:D,4,0)</f>
        <v/>
      </c>
      <c r="E55" s="60">
        <f>VLOOKUP(Table_1[[#This Row],[AÇÕES]],'Classificação B3'!A:F,6,0)</f>
        <v/>
      </c>
      <c r="F55" s="60">
        <f>VLOOKUP(Table_1[[#This Row],[AÇÕES]],'Classificação B3'!A:G,7,0)</f>
        <v/>
      </c>
      <c r="G55" s="61">
        <f>VLOOKUP(Table_1[[#This Row],[AÇÕES]],'Dados Status Invest'!A:B,2,0)</f>
        <v/>
      </c>
      <c r="H55" s="62">
        <f>VLOOKUP(Table_1[[#This Row],[AÇÕES]],'Dados Status Invest'!A:C,3,0)/100</f>
        <v/>
      </c>
      <c r="I55" s="62">
        <f>VLOOKUP(Table_1[[#This Row],[AÇÕES]],'Dados Status Invest'!A:D,4,0)/100</f>
        <v/>
      </c>
      <c r="J55" s="63">
        <f>VLOOKUP(Table_1[[#This Row],[AÇÕES]],'Dados Status Invest'!A:AB,28,0)</f>
        <v/>
      </c>
      <c r="K55" s="63">
        <f>VLOOKUP(Table_1[[#This Row],[AÇÕES]],'Dados Status Invest'!A:AA,27,0)</f>
        <v/>
      </c>
      <c r="L55" s="63">
        <f>Table_1[[#This Row],[PREÇO]]*Table_1[[#This Row],[DY]]</f>
        <v/>
      </c>
      <c r="M55" s="62">
        <f>$E$13</f>
        <v/>
      </c>
      <c r="N55" s="62" t="n">
        <v>0.3</v>
      </c>
      <c r="O55" s="62">
        <f>Table_1[[#This Row],[DPA]]/Table_1[[#This Row],[LPA]]</f>
        <v/>
      </c>
      <c r="P55" s="62">
        <f>IF(Table_1[[#This Row],[PAYOUT]]&lt;=40%,"CRESCIMENTO",IF(Table_1[[#This Row],[PAYOUT]]&lt;=60%,"INDEFINIDO","DIVIDENDOS"))</f>
        <v/>
      </c>
      <c r="Q55" s="62">
        <f>VLOOKUP(Table_1[[#This Row],[AÇÕES]],'Dados Status Invest'!A:R,18,0)/100</f>
        <v/>
      </c>
      <c r="R55" s="62">
        <f>VLOOKUP(Table_1[[#This Row],[AÇÕES]],'Dados Status Invest'!A:Y,25,0)/100</f>
        <v/>
      </c>
      <c r="S55" s="62">
        <f>(1-Table_1[[#This Row],[PAYOUT]])*Table_1[[#This Row],[ROE]]</f>
        <v/>
      </c>
      <c r="T55" s="98">
        <f>AVERAGE(Table_1[[#This Row],[CAGR LUCRO 5A]],Table_1[[#This Row],[CRESCIMENTO DAMODARAN]])</f>
        <v/>
      </c>
      <c r="U55" s="64">
        <f>(Table_1[[#This Row],[PREÇO JUSTO BAZIN]]-Table_1[[#This Row],[PREÇO]])/Table_1[[#This Row],[PREÇO JUSTO BAZIN]]</f>
        <v/>
      </c>
      <c r="V55" s="129">
        <f>Table_1[[#This Row],[DPA]]/6%</f>
        <v/>
      </c>
      <c r="W55" s="129">
        <f>Table_1[[#This Row],[PREÇO JUSTO BAZIN]]/(1+Table_1[[#This Row],[MARGEM DE DESCONTO]])</f>
        <v/>
      </c>
      <c r="X55" s="64">
        <f>(Table_1[[#This Row],[PREÇO JUSTO GRAHAM]]-Table_1[[#This Row],[PREÇO]])/Table_1[[#This Row],[PREÇO JUSTO GRAHAM]]</f>
        <v/>
      </c>
      <c r="Y55" s="129">
        <f>(22.5*Table_1[[#This Row],[LPA]]*Table_1[[#This Row],[VPA]])^0.5</f>
        <v/>
      </c>
      <c r="Z55" s="129">
        <f>Table_1[[#This Row],[PREÇO JUSTO GRAHAM]]/(1+Table_1[[#This Row],[MARGEM DE DESCONTO]])</f>
        <v/>
      </c>
      <c r="AA55" s="64">
        <f>(Table_1[[#This Row],[PREÇO JUSTO GORDON]]-Table_1[[#This Row],[PREÇO]])/Table_1[[#This Row],[PREÇO JUSTO GORDON]]</f>
        <v/>
      </c>
      <c r="AB55" s="130">
        <f>Table_1[[#This Row],[DPA]]*(1+Table_1[[#This Row],[MÉDIA DE CRESCIMENTO]])</f>
        <v/>
      </c>
      <c r="AC55" s="130">
        <f>Table_1[[#This Row],[D1]]/(Table_1[[#This Row],[RISCO]]-Table_1[[#This Row],[MÉDIA DE CRESCIMENTO]])</f>
        <v/>
      </c>
      <c r="AD55" s="130">
        <f>Table_1[[#This Row],[PREÇO JUSTO GORDON]]/(1+Table_1[[#This Row],[MARGEM DE DESCONTO]])</f>
        <v/>
      </c>
      <c r="AE55" s="78">
        <f>Table_1[[#This Row],[P/L]]/Table_1[[#This Row],[MÉDIA DE CRESCIMENTO]]</f>
        <v/>
      </c>
    </row>
    <row r="56" ht="15.75" customHeight="1">
      <c r="B56" s="77">
        <f>'Dados Status Invest'!A42</f>
        <v/>
      </c>
      <c r="C56" s="60">
        <f>VLOOKUP(Table_1[[#This Row],[AÇÕES]],'Classificação B3'!A:B,2,0)</f>
        <v/>
      </c>
      <c r="D56" s="60">
        <f>VLOOKUP(Table_1[[#This Row],[AÇÕES]],'Classificação B3'!A:D,4,0)</f>
        <v/>
      </c>
      <c r="E56" s="60">
        <f>VLOOKUP(Table_1[[#This Row],[AÇÕES]],'Classificação B3'!A:F,6,0)</f>
        <v/>
      </c>
      <c r="F56" s="60">
        <f>VLOOKUP(Table_1[[#This Row],[AÇÕES]],'Classificação B3'!A:G,7,0)</f>
        <v/>
      </c>
      <c r="G56" s="61">
        <f>VLOOKUP(Table_1[[#This Row],[AÇÕES]],'Dados Status Invest'!A:B,2,0)</f>
        <v/>
      </c>
      <c r="H56" s="62">
        <f>VLOOKUP(Table_1[[#This Row],[AÇÕES]],'Dados Status Invest'!A:C,3,0)/100</f>
        <v/>
      </c>
      <c r="I56" s="62">
        <f>VLOOKUP(Table_1[[#This Row],[AÇÕES]],'Dados Status Invest'!A:D,4,0)/100</f>
        <v/>
      </c>
      <c r="J56" s="63">
        <f>VLOOKUP(Table_1[[#This Row],[AÇÕES]],'Dados Status Invest'!A:AB,28,0)</f>
        <v/>
      </c>
      <c r="K56" s="63">
        <f>VLOOKUP(Table_1[[#This Row],[AÇÕES]],'Dados Status Invest'!A:AA,27,0)</f>
        <v/>
      </c>
      <c r="L56" s="63">
        <f>Table_1[[#This Row],[PREÇO]]*Table_1[[#This Row],[DY]]</f>
        <v/>
      </c>
      <c r="M56" s="62">
        <f>$E$13</f>
        <v/>
      </c>
      <c r="N56" s="62" t="n">
        <v>0.3</v>
      </c>
      <c r="O56" s="62">
        <f>Table_1[[#This Row],[DPA]]/Table_1[[#This Row],[LPA]]</f>
        <v/>
      </c>
      <c r="P56" s="62">
        <f>IF(Table_1[[#This Row],[PAYOUT]]&lt;=40%,"CRESCIMENTO",IF(Table_1[[#This Row],[PAYOUT]]&lt;=60%,"INDEFINIDO","DIVIDENDOS"))</f>
        <v/>
      </c>
      <c r="Q56" s="62">
        <f>VLOOKUP(Table_1[[#This Row],[AÇÕES]],'Dados Status Invest'!A:R,18,0)/100</f>
        <v/>
      </c>
      <c r="R56" s="62">
        <f>VLOOKUP(Table_1[[#This Row],[AÇÕES]],'Dados Status Invest'!A:Y,25,0)/100</f>
        <v/>
      </c>
      <c r="S56" s="62">
        <f>(1-Table_1[[#This Row],[PAYOUT]])*Table_1[[#This Row],[ROE]]</f>
        <v/>
      </c>
      <c r="T56" s="98">
        <f>AVERAGE(Table_1[[#This Row],[CAGR LUCRO 5A]],Table_1[[#This Row],[CRESCIMENTO DAMODARAN]])</f>
        <v/>
      </c>
      <c r="U56" s="64">
        <f>(Table_1[[#This Row],[PREÇO JUSTO BAZIN]]-Table_1[[#This Row],[PREÇO]])/Table_1[[#This Row],[PREÇO JUSTO BAZIN]]</f>
        <v/>
      </c>
      <c r="V56" s="129">
        <f>Table_1[[#This Row],[DPA]]/6%</f>
        <v/>
      </c>
      <c r="W56" s="129">
        <f>Table_1[[#This Row],[PREÇO JUSTO BAZIN]]/(1+Table_1[[#This Row],[MARGEM DE DESCONTO]])</f>
        <v/>
      </c>
      <c r="X56" s="64">
        <f>(Table_1[[#This Row],[PREÇO JUSTO GRAHAM]]-Table_1[[#This Row],[PREÇO]])/Table_1[[#This Row],[PREÇO JUSTO GRAHAM]]</f>
        <v/>
      </c>
      <c r="Y56" s="129">
        <f>(22.5*Table_1[[#This Row],[LPA]]*Table_1[[#This Row],[VPA]])^0.5</f>
        <v/>
      </c>
      <c r="Z56" s="129">
        <f>Table_1[[#This Row],[PREÇO JUSTO GRAHAM]]/(1+Table_1[[#This Row],[MARGEM DE DESCONTO]])</f>
        <v/>
      </c>
      <c r="AA56" s="64">
        <f>(Table_1[[#This Row],[PREÇO JUSTO GORDON]]-Table_1[[#This Row],[PREÇO]])/Table_1[[#This Row],[PREÇO JUSTO GORDON]]</f>
        <v/>
      </c>
      <c r="AB56" s="130">
        <f>Table_1[[#This Row],[DPA]]*(1+Table_1[[#This Row],[MÉDIA DE CRESCIMENTO]])</f>
        <v/>
      </c>
      <c r="AC56" s="130">
        <f>Table_1[[#This Row],[D1]]/(Table_1[[#This Row],[RISCO]]-Table_1[[#This Row],[MÉDIA DE CRESCIMENTO]])</f>
        <v/>
      </c>
      <c r="AD56" s="130">
        <f>Table_1[[#This Row],[PREÇO JUSTO GORDON]]/(1+Table_1[[#This Row],[MARGEM DE DESCONTO]])</f>
        <v/>
      </c>
      <c r="AE56" s="78">
        <f>Table_1[[#This Row],[P/L]]/Table_1[[#This Row],[MÉDIA DE CRESCIMENTO]]</f>
        <v/>
      </c>
    </row>
    <row r="57" ht="15.75" customHeight="1">
      <c r="B57" s="77">
        <f>'Dados Status Invest'!A43</f>
        <v/>
      </c>
      <c r="C57" s="60">
        <f>VLOOKUP(Table_1[[#This Row],[AÇÕES]],'Classificação B3'!A:B,2,0)</f>
        <v/>
      </c>
      <c r="D57" s="60">
        <f>VLOOKUP(Table_1[[#This Row],[AÇÕES]],'Classificação B3'!A:D,4,0)</f>
        <v/>
      </c>
      <c r="E57" s="60">
        <f>VLOOKUP(Table_1[[#This Row],[AÇÕES]],'Classificação B3'!A:F,6,0)</f>
        <v/>
      </c>
      <c r="F57" s="60">
        <f>VLOOKUP(Table_1[[#This Row],[AÇÕES]],'Classificação B3'!A:G,7,0)</f>
        <v/>
      </c>
      <c r="G57" s="61">
        <f>VLOOKUP(Table_1[[#This Row],[AÇÕES]],'Dados Status Invest'!A:B,2,0)</f>
        <v/>
      </c>
      <c r="H57" s="62">
        <f>VLOOKUP(Table_1[[#This Row],[AÇÕES]],'Dados Status Invest'!A:C,3,0)/100</f>
        <v/>
      </c>
      <c r="I57" s="62">
        <f>VLOOKUP(Table_1[[#This Row],[AÇÕES]],'Dados Status Invest'!A:D,4,0)/100</f>
        <v/>
      </c>
      <c r="J57" s="63">
        <f>VLOOKUP(Table_1[[#This Row],[AÇÕES]],'Dados Status Invest'!A:AB,28,0)</f>
        <v/>
      </c>
      <c r="K57" s="63">
        <f>VLOOKUP(Table_1[[#This Row],[AÇÕES]],'Dados Status Invest'!A:AA,27,0)</f>
        <v/>
      </c>
      <c r="L57" s="63">
        <f>Table_1[[#This Row],[PREÇO]]*Table_1[[#This Row],[DY]]</f>
        <v/>
      </c>
      <c r="M57" s="62">
        <f>$E$13</f>
        <v/>
      </c>
      <c r="N57" s="62" t="n">
        <v>0.3</v>
      </c>
      <c r="O57" s="62">
        <f>Table_1[[#This Row],[DPA]]/Table_1[[#This Row],[LPA]]</f>
        <v/>
      </c>
      <c r="P57" s="62">
        <f>IF(Table_1[[#This Row],[PAYOUT]]&lt;=40%,"CRESCIMENTO",IF(Table_1[[#This Row],[PAYOUT]]&lt;=60%,"INDEFINIDO","DIVIDENDOS"))</f>
        <v/>
      </c>
      <c r="Q57" s="62">
        <f>VLOOKUP(Table_1[[#This Row],[AÇÕES]],'Dados Status Invest'!A:R,18,0)/100</f>
        <v/>
      </c>
      <c r="R57" s="62">
        <f>VLOOKUP(Table_1[[#This Row],[AÇÕES]],'Dados Status Invest'!A:Y,25,0)/100</f>
        <v/>
      </c>
      <c r="S57" s="62">
        <f>(1-Table_1[[#This Row],[PAYOUT]])*Table_1[[#This Row],[ROE]]</f>
        <v/>
      </c>
      <c r="T57" s="98">
        <f>AVERAGE(Table_1[[#This Row],[CAGR LUCRO 5A]],Table_1[[#This Row],[CRESCIMENTO DAMODARAN]])</f>
        <v/>
      </c>
      <c r="U57" s="64">
        <f>(Table_1[[#This Row],[PREÇO JUSTO BAZIN]]-Table_1[[#This Row],[PREÇO]])/Table_1[[#This Row],[PREÇO JUSTO BAZIN]]</f>
        <v/>
      </c>
      <c r="V57" s="129">
        <f>Table_1[[#This Row],[DPA]]/6%</f>
        <v/>
      </c>
      <c r="W57" s="129">
        <f>Table_1[[#This Row],[PREÇO JUSTO BAZIN]]/(1+Table_1[[#This Row],[MARGEM DE DESCONTO]])</f>
        <v/>
      </c>
      <c r="X57" s="64">
        <f>(Table_1[[#This Row],[PREÇO JUSTO GRAHAM]]-Table_1[[#This Row],[PREÇO]])/Table_1[[#This Row],[PREÇO JUSTO GRAHAM]]</f>
        <v/>
      </c>
      <c r="Y57" s="129">
        <f>(22.5*Table_1[[#This Row],[LPA]]*Table_1[[#This Row],[VPA]])^0.5</f>
        <v/>
      </c>
      <c r="Z57" s="129">
        <f>Table_1[[#This Row],[PREÇO JUSTO GRAHAM]]/(1+Table_1[[#This Row],[MARGEM DE DESCONTO]])</f>
        <v/>
      </c>
      <c r="AA57" s="64">
        <f>(Table_1[[#This Row],[PREÇO JUSTO GORDON]]-Table_1[[#This Row],[PREÇO]])/Table_1[[#This Row],[PREÇO JUSTO GORDON]]</f>
        <v/>
      </c>
      <c r="AB57" s="130">
        <f>Table_1[[#This Row],[DPA]]*(1+Table_1[[#This Row],[MÉDIA DE CRESCIMENTO]])</f>
        <v/>
      </c>
      <c r="AC57" s="130">
        <f>Table_1[[#This Row],[D1]]/(Table_1[[#This Row],[RISCO]]-Table_1[[#This Row],[MÉDIA DE CRESCIMENTO]])</f>
        <v/>
      </c>
      <c r="AD57" s="130">
        <f>Table_1[[#This Row],[PREÇO JUSTO GORDON]]/(1+Table_1[[#This Row],[MARGEM DE DESCONTO]])</f>
        <v/>
      </c>
      <c r="AE57" s="78">
        <f>Table_1[[#This Row],[P/L]]/Table_1[[#This Row],[MÉDIA DE CRESCIMENTO]]</f>
        <v/>
      </c>
    </row>
    <row r="58" ht="15.75" customHeight="1">
      <c r="B58" s="77">
        <f>'Dados Status Invest'!A44</f>
        <v/>
      </c>
      <c r="C58" s="60">
        <f>VLOOKUP(Table_1[[#This Row],[AÇÕES]],'Classificação B3'!A:B,2,0)</f>
        <v/>
      </c>
      <c r="D58" s="60">
        <f>VLOOKUP(Table_1[[#This Row],[AÇÕES]],'Classificação B3'!A:D,4,0)</f>
        <v/>
      </c>
      <c r="E58" s="60">
        <f>VLOOKUP(Table_1[[#This Row],[AÇÕES]],'Classificação B3'!A:F,6,0)</f>
        <v/>
      </c>
      <c r="F58" s="60">
        <f>VLOOKUP(Table_1[[#This Row],[AÇÕES]],'Classificação B3'!A:G,7,0)</f>
        <v/>
      </c>
      <c r="G58" s="61">
        <f>VLOOKUP(Table_1[[#This Row],[AÇÕES]],'Dados Status Invest'!A:B,2,0)</f>
        <v/>
      </c>
      <c r="H58" s="62">
        <f>VLOOKUP(Table_1[[#This Row],[AÇÕES]],'Dados Status Invest'!A:C,3,0)/100</f>
        <v/>
      </c>
      <c r="I58" s="62">
        <f>VLOOKUP(Table_1[[#This Row],[AÇÕES]],'Dados Status Invest'!A:D,4,0)/100</f>
        <v/>
      </c>
      <c r="J58" s="63">
        <f>VLOOKUP(Table_1[[#This Row],[AÇÕES]],'Dados Status Invest'!A:AB,28,0)</f>
        <v/>
      </c>
      <c r="K58" s="63">
        <f>VLOOKUP(Table_1[[#This Row],[AÇÕES]],'Dados Status Invest'!A:AA,27,0)</f>
        <v/>
      </c>
      <c r="L58" s="63">
        <f>Table_1[[#This Row],[PREÇO]]*Table_1[[#This Row],[DY]]</f>
        <v/>
      </c>
      <c r="M58" s="62">
        <f>$E$13</f>
        <v/>
      </c>
      <c r="N58" s="62" t="n">
        <v>0.3</v>
      </c>
      <c r="O58" s="62">
        <f>Table_1[[#This Row],[DPA]]/Table_1[[#This Row],[LPA]]</f>
        <v/>
      </c>
      <c r="P58" s="62">
        <f>IF(Table_1[[#This Row],[PAYOUT]]&lt;=40%,"CRESCIMENTO",IF(Table_1[[#This Row],[PAYOUT]]&lt;=60%,"INDEFINIDO","DIVIDENDOS"))</f>
        <v/>
      </c>
      <c r="Q58" s="62">
        <f>VLOOKUP(Table_1[[#This Row],[AÇÕES]],'Dados Status Invest'!A:R,18,0)/100</f>
        <v/>
      </c>
      <c r="R58" s="62">
        <f>VLOOKUP(Table_1[[#This Row],[AÇÕES]],'Dados Status Invest'!A:Y,25,0)/100</f>
        <v/>
      </c>
      <c r="S58" s="62">
        <f>(1-Table_1[[#This Row],[PAYOUT]])*Table_1[[#This Row],[ROE]]</f>
        <v/>
      </c>
      <c r="T58" s="98">
        <f>AVERAGE(Table_1[[#This Row],[CAGR LUCRO 5A]],Table_1[[#This Row],[CRESCIMENTO DAMODARAN]])</f>
        <v/>
      </c>
      <c r="U58" s="64">
        <f>(Table_1[[#This Row],[PREÇO JUSTO BAZIN]]-Table_1[[#This Row],[PREÇO]])/Table_1[[#This Row],[PREÇO JUSTO BAZIN]]</f>
        <v/>
      </c>
      <c r="V58" s="129">
        <f>Table_1[[#This Row],[DPA]]/6%</f>
        <v/>
      </c>
      <c r="W58" s="129">
        <f>Table_1[[#This Row],[PREÇO JUSTO BAZIN]]/(1+Table_1[[#This Row],[MARGEM DE DESCONTO]])</f>
        <v/>
      </c>
      <c r="X58" s="64">
        <f>(Table_1[[#This Row],[PREÇO JUSTO GRAHAM]]-Table_1[[#This Row],[PREÇO]])/Table_1[[#This Row],[PREÇO JUSTO GRAHAM]]</f>
        <v/>
      </c>
      <c r="Y58" s="129">
        <f>(22.5*Table_1[[#This Row],[LPA]]*Table_1[[#This Row],[VPA]])^0.5</f>
        <v/>
      </c>
      <c r="Z58" s="129">
        <f>Table_1[[#This Row],[PREÇO JUSTO GRAHAM]]/(1+Table_1[[#This Row],[MARGEM DE DESCONTO]])</f>
        <v/>
      </c>
      <c r="AA58" s="64">
        <f>(Table_1[[#This Row],[PREÇO JUSTO GORDON]]-Table_1[[#This Row],[PREÇO]])/Table_1[[#This Row],[PREÇO JUSTO GORDON]]</f>
        <v/>
      </c>
      <c r="AB58" s="130">
        <f>Table_1[[#This Row],[DPA]]*(1+Table_1[[#This Row],[MÉDIA DE CRESCIMENTO]])</f>
        <v/>
      </c>
      <c r="AC58" s="130">
        <f>Table_1[[#This Row],[D1]]/(Table_1[[#This Row],[RISCO]]-Table_1[[#This Row],[MÉDIA DE CRESCIMENTO]])</f>
        <v/>
      </c>
      <c r="AD58" s="130">
        <f>Table_1[[#This Row],[PREÇO JUSTO GORDON]]/(1+Table_1[[#This Row],[MARGEM DE DESCONTO]])</f>
        <v/>
      </c>
      <c r="AE58" s="78">
        <f>Table_1[[#This Row],[P/L]]/Table_1[[#This Row],[MÉDIA DE CRESCIMENTO]]</f>
        <v/>
      </c>
    </row>
    <row r="59" ht="15.75" customHeight="1">
      <c r="B59" s="77">
        <f>'Dados Status Invest'!A45</f>
        <v/>
      </c>
      <c r="C59" s="60">
        <f>VLOOKUP(Table_1[[#This Row],[AÇÕES]],'Classificação B3'!A:B,2,0)</f>
        <v/>
      </c>
      <c r="D59" s="60">
        <f>VLOOKUP(Table_1[[#This Row],[AÇÕES]],'Classificação B3'!A:D,4,0)</f>
        <v/>
      </c>
      <c r="E59" s="60">
        <f>VLOOKUP(Table_1[[#This Row],[AÇÕES]],'Classificação B3'!A:F,6,0)</f>
        <v/>
      </c>
      <c r="F59" s="60">
        <f>VLOOKUP(Table_1[[#This Row],[AÇÕES]],'Classificação B3'!A:G,7,0)</f>
        <v/>
      </c>
      <c r="G59" s="61">
        <f>VLOOKUP(Table_1[[#This Row],[AÇÕES]],'Dados Status Invest'!A:B,2,0)</f>
        <v/>
      </c>
      <c r="H59" s="62">
        <f>VLOOKUP(Table_1[[#This Row],[AÇÕES]],'Dados Status Invest'!A:C,3,0)/100</f>
        <v/>
      </c>
      <c r="I59" s="62">
        <f>VLOOKUP(Table_1[[#This Row],[AÇÕES]],'Dados Status Invest'!A:D,4,0)/100</f>
        <v/>
      </c>
      <c r="J59" s="63">
        <f>VLOOKUP(Table_1[[#This Row],[AÇÕES]],'Dados Status Invest'!A:AB,28,0)</f>
        <v/>
      </c>
      <c r="K59" s="63">
        <f>VLOOKUP(Table_1[[#This Row],[AÇÕES]],'Dados Status Invest'!A:AA,27,0)</f>
        <v/>
      </c>
      <c r="L59" s="63">
        <f>Table_1[[#This Row],[PREÇO]]*Table_1[[#This Row],[DY]]</f>
        <v/>
      </c>
      <c r="M59" s="62">
        <f>$E$13</f>
        <v/>
      </c>
      <c r="N59" s="62" t="n">
        <v>0.3</v>
      </c>
      <c r="O59" s="62">
        <f>Table_1[[#This Row],[DPA]]/Table_1[[#This Row],[LPA]]</f>
        <v/>
      </c>
      <c r="P59" s="62">
        <f>IF(Table_1[[#This Row],[PAYOUT]]&lt;=40%,"CRESCIMENTO",IF(Table_1[[#This Row],[PAYOUT]]&lt;=60%,"INDEFINIDO","DIVIDENDOS"))</f>
        <v/>
      </c>
      <c r="Q59" s="62">
        <f>VLOOKUP(Table_1[[#This Row],[AÇÕES]],'Dados Status Invest'!A:R,18,0)/100</f>
        <v/>
      </c>
      <c r="R59" s="62">
        <f>VLOOKUP(Table_1[[#This Row],[AÇÕES]],'Dados Status Invest'!A:Y,25,0)/100</f>
        <v/>
      </c>
      <c r="S59" s="62">
        <f>(1-Table_1[[#This Row],[PAYOUT]])*Table_1[[#This Row],[ROE]]</f>
        <v/>
      </c>
      <c r="T59" s="98">
        <f>AVERAGE(Table_1[[#This Row],[CAGR LUCRO 5A]],Table_1[[#This Row],[CRESCIMENTO DAMODARAN]])</f>
        <v/>
      </c>
      <c r="U59" s="64">
        <f>(Table_1[[#This Row],[PREÇO JUSTO BAZIN]]-Table_1[[#This Row],[PREÇO]])/Table_1[[#This Row],[PREÇO JUSTO BAZIN]]</f>
        <v/>
      </c>
      <c r="V59" s="129">
        <f>Table_1[[#This Row],[DPA]]/6%</f>
        <v/>
      </c>
      <c r="W59" s="129">
        <f>Table_1[[#This Row],[PREÇO JUSTO BAZIN]]/(1+Table_1[[#This Row],[MARGEM DE DESCONTO]])</f>
        <v/>
      </c>
      <c r="X59" s="64">
        <f>(Table_1[[#This Row],[PREÇO JUSTO GRAHAM]]-Table_1[[#This Row],[PREÇO]])/Table_1[[#This Row],[PREÇO JUSTO GRAHAM]]</f>
        <v/>
      </c>
      <c r="Y59" s="129">
        <f>(22.5*Table_1[[#This Row],[LPA]]*Table_1[[#This Row],[VPA]])^0.5</f>
        <v/>
      </c>
      <c r="Z59" s="129">
        <f>Table_1[[#This Row],[PREÇO JUSTO GRAHAM]]/(1+Table_1[[#This Row],[MARGEM DE DESCONTO]])</f>
        <v/>
      </c>
      <c r="AA59" s="64">
        <f>(Table_1[[#This Row],[PREÇO JUSTO GORDON]]-Table_1[[#This Row],[PREÇO]])/Table_1[[#This Row],[PREÇO JUSTO GORDON]]</f>
        <v/>
      </c>
      <c r="AB59" s="130">
        <f>Table_1[[#This Row],[DPA]]*(1+Table_1[[#This Row],[MÉDIA DE CRESCIMENTO]])</f>
        <v/>
      </c>
      <c r="AC59" s="130">
        <f>Table_1[[#This Row],[D1]]/(Table_1[[#This Row],[RISCO]]-Table_1[[#This Row],[MÉDIA DE CRESCIMENTO]])</f>
        <v/>
      </c>
      <c r="AD59" s="130">
        <f>Table_1[[#This Row],[PREÇO JUSTO GORDON]]/(1+Table_1[[#This Row],[MARGEM DE DESCONTO]])</f>
        <v/>
      </c>
      <c r="AE59" s="78">
        <f>Table_1[[#This Row],[P/L]]/Table_1[[#This Row],[MÉDIA DE CRESCIMENTO]]</f>
        <v/>
      </c>
    </row>
    <row r="60" ht="15.75" customHeight="1">
      <c r="B60" s="77">
        <f>'Dados Status Invest'!A46</f>
        <v/>
      </c>
      <c r="C60" s="60">
        <f>VLOOKUP(Table_1[[#This Row],[AÇÕES]],'Classificação B3'!A:B,2,0)</f>
        <v/>
      </c>
      <c r="D60" s="60">
        <f>VLOOKUP(Table_1[[#This Row],[AÇÕES]],'Classificação B3'!A:D,4,0)</f>
        <v/>
      </c>
      <c r="E60" s="60">
        <f>VLOOKUP(Table_1[[#This Row],[AÇÕES]],'Classificação B3'!A:F,6,0)</f>
        <v/>
      </c>
      <c r="F60" s="60">
        <f>VLOOKUP(Table_1[[#This Row],[AÇÕES]],'Classificação B3'!A:G,7,0)</f>
        <v/>
      </c>
      <c r="G60" s="61">
        <f>VLOOKUP(Table_1[[#This Row],[AÇÕES]],'Dados Status Invest'!A:B,2,0)</f>
        <v/>
      </c>
      <c r="H60" s="62">
        <f>VLOOKUP(Table_1[[#This Row],[AÇÕES]],'Dados Status Invest'!A:C,3,0)/100</f>
        <v/>
      </c>
      <c r="I60" s="62">
        <f>VLOOKUP(Table_1[[#This Row],[AÇÕES]],'Dados Status Invest'!A:D,4,0)/100</f>
        <v/>
      </c>
      <c r="J60" s="63">
        <f>VLOOKUP(Table_1[[#This Row],[AÇÕES]],'Dados Status Invest'!A:AB,28,0)</f>
        <v/>
      </c>
      <c r="K60" s="63">
        <f>VLOOKUP(Table_1[[#This Row],[AÇÕES]],'Dados Status Invest'!A:AA,27,0)</f>
        <v/>
      </c>
      <c r="L60" s="63">
        <f>Table_1[[#This Row],[PREÇO]]*Table_1[[#This Row],[DY]]</f>
        <v/>
      </c>
      <c r="M60" s="62">
        <f>$E$13</f>
        <v/>
      </c>
      <c r="N60" s="62" t="n">
        <v>0.3</v>
      </c>
      <c r="O60" s="62">
        <f>Table_1[[#This Row],[DPA]]/Table_1[[#This Row],[LPA]]</f>
        <v/>
      </c>
      <c r="P60" s="62">
        <f>IF(Table_1[[#This Row],[PAYOUT]]&lt;=40%,"CRESCIMENTO",IF(Table_1[[#This Row],[PAYOUT]]&lt;=60%,"INDEFINIDO","DIVIDENDOS"))</f>
        <v/>
      </c>
      <c r="Q60" s="62">
        <f>VLOOKUP(Table_1[[#This Row],[AÇÕES]],'Dados Status Invest'!A:R,18,0)/100</f>
        <v/>
      </c>
      <c r="R60" s="62">
        <f>VLOOKUP(Table_1[[#This Row],[AÇÕES]],'Dados Status Invest'!A:Y,25,0)/100</f>
        <v/>
      </c>
      <c r="S60" s="62">
        <f>(1-Table_1[[#This Row],[PAYOUT]])*Table_1[[#This Row],[ROE]]</f>
        <v/>
      </c>
      <c r="T60" s="98">
        <f>AVERAGE(Table_1[[#This Row],[CAGR LUCRO 5A]],Table_1[[#This Row],[CRESCIMENTO DAMODARAN]])</f>
        <v/>
      </c>
      <c r="U60" s="64">
        <f>(Table_1[[#This Row],[PREÇO JUSTO BAZIN]]-Table_1[[#This Row],[PREÇO]])/Table_1[[#This Row],[PREÇO JUSTO BAZIN]]</f>
        <v/>
      </c>
      <c r="V60" s="129">
        <f>Table_1[[#This Row],[DPA]]/6%</f>
        <v/>
      </c>
      <c r="W60" s="129">
        <f>Table_1[[#This Row],[PREÇO JUSTO BAZIN]]/(1+Table_1[[#This Row],[MARGEM DE DESCONTO]])</f>
        <v/>
      </c>
      <c r="X60" s="64">
        <f>(Table_1[[#This Row],[PREÇO JUSTO GRAHAM]]-Table_1[[#This Row],[PREÇO]])/Table_1[[#This Row],[PREÇO JUSTO GRAHAM]]</f>
        <v/>
      </c>
      <c r="Y60" s="129">
        <f>(22.5*Table_1[[#This Row],[LPA]]*Table_1[[#This Row],[VPA]])^0.5</f>
        <v/>
      </c>
      <c r="Z60" s="129">
        <f>Table_1[[#This Row],[PREÇO JUSTO GRAHAM]]/(1+Table_1[[#This Row],[MARGEM DE DESCONTO]])</f>
        <v/>
      </c>
      <c r="AA60" s="64">
        <f>(Table_1[[#This Row],[PREÇO JUSTO GORDON]]-Table_1[[#This Row],[PREÇO]])/Table_1[[#This Row],[PREÇO JUSTO GORDON]]</f>
        <v/>
      </c>
      <c r="AB60" s="130">
        <f>Table_1[[#This Row],[DPA]]*(1+Table_1[[#This Row],[MÉDIA DE CRESCIMENTO]])</f>
        <v/>
      </c>
      <c r="AC60" s="130">
        <f>Table_1[[#This Row],[D1]]/(Table_1[[#This Row],[RISCO]]-Table_1[[#This Row],[MÉDIA DE CRESCIMENTO]])</f>
        <v/>
      </c>
      <c r="AD60" s="130">
        <f>Table_1[[#This Row],[PREÇO JUSTO GORDON]]/(1+Table_1[[#This Row],[MARGEM DE DESCONTO]])</f>
        <v/>
      </c>
      <c r="AE60" s="78">
        <f>Table_1[[#This Row],[P/L]]/Table_1[[#This Row],[MÉDIA DE CRESCIMENTO]]</f>
        <v/>
      </c>
    </row>
    <row r="61" ht="15.75" customHeight="1">
      <c r="B61" s="77">
        <f>'Dados Status Invest'!A47</f>
        <v/>
      </c>
      <c r="C61" s="60">
        <f>VLOOKUP(Table_1[[#This Row],[AÇÕES]],'Classificação B3'!A:B,2,0)</f>
        <v/>
      </c>
      <c r="D61" s="60">
        <f>VLOOKUP(Table_1[[#This Row],[AÇÕES]],'Classificação B3'!A:D,4,0)</f>
        <v/>
      </c>
      <c r="E61" s="60">
        <f>VLOOKUP(Table_1[[#This Row],[AÇÕES]],'Classificação B3'!A:F,6,0)</f>
        <v/>
      </c>
      <c r="F61" s="60">
        <f>VLOOKUP(Table_1[[#This Row],[AÇÕES]],'Classificação B3'!A:G,7,0)</f>
        <v/>
      </c>
      <c r="G61" s="61">
        <f>VLOOKUP(Table_1[[#This Row],[AÇÕES]],'Dados Status Invest'!A:B,2,0)</f>
        <v/>
      </c>
      <c r="H61" s="62">
        <f>VLOOKUP(Table_1[[#This Row],[AÇÕES]],'Dados Status Invest'!A:C,3,0)/100</f>
        <v/>
      </c>
      <c r="I61" s="62">
        <f>VLOOKUP(Table_1[[#This Row],[AÇÕES]],'Dados Status Invest'!A:D,4,0)/100</f>
        <v/>
      </c>
      <c r="J61" s="63">
        <f>VLOOKUP(Table_1[[#This Row],[AÇÕES]],'Dados Status Invest'!A:AB,28,0)</f>
        <v/>
      </c>
      <c r="K61" s="63">
        <f>VLOOKUP(Table_1[[#This Row],[AÇÕES]],'Dados Status Invest'!A:AA,27,0)</f>
        <v/>
      </c>
      <c r="L61" s="63">
        <f>Table_1[[#This Row],[PREÇO]]*Table_1[[#This Row],[DY]]</f>
        <v/>
      </c>
      <c r="M61" s="62">
        <f>$E$13</f>
        <v/>
      </c>
      <c r="N61" s="62" t="n">
        <v>0.3</v>
      </c>
      <c r="O61" s="62">
        <f>Table_1[[#This Row],[DPA]]/Table_1[[#This Row],[LPA]]</f>
        <v/>
      </c>
      <c r="P61" s="62">
        <f>IF(Table_1[[#This Row],[PAYOUT]]&lt;=40%,"CRESCIMENTO",IF(Table_1[[#This Row],[PAYOUT]]&lt;=60%,"INDEFINIDO","DIVIDENDOS"))</f>
        <v/>
      </c>
      <c r="Q61" s="62">
        <f>VLOOKUP(Table_1[[#This Row],[AÇÕES]],'Dados Status Invest'!A:R,18,0)/100</f>
        <v/>
      </c>
      <c r="R61" s="62">
        <f>VLOOKUP(Table_1[[#This Row],[AÇÕES]],'Dados Status Invest'!A:Y,25,0)/100</f>
        <v/>
      </c>
      <c r="S61" s="62">
        <f>(1-Table_1[[#This Row],[PAYOUT]])*Table_1[[#This Row],[ROE]]</f>
        <v/>
      </c>
      <c r="T61" s="98">
        <f>AVERAGE(Table_1[[#This Row],[CAGR LUCRO 5A]],Table_1[[#This Row],[CRESCIMENTO DAMODARAN]])</f>
        <v/>
      </c>
      <c r="U61" s="64">
        <f>(Table_1[[#This Row],[PREÇO JUSTO BAZIN]]-Table_1[[#This Row],[PREÇO]])/Table_1[[#This Row],[PREÇO JUSTO BAZIN]]</f>
        <v/>
      </c>
      <c r="V61" s="129">
        <f>Table_1[[#This Row],[DPA]]/6%</f>
        <v/>
      </c>
      <c r="W61" s="129">
        <f>Table_1[[#This Row],[PREÇO JUSTO BAZIN]]/(1+Table_1[[#This Row],[MARGEM DE DESCONTO]])</f>
        <v/>
      </c>
      <c r="X61" s="64">
        <f>(Table_1[[#This Row],[PREÇO JUSTO GRAHAM]]-Table_1[[#This Row],[PREÇO]])/Table_1[[#This Row],[PREÇO JUSTO GRAHAM]]</f>
        <v/>
      </c>
      <c r="Y61" s="129">
        <f>(22.5*Table_1[[#This Row],[LPA]]*Table_1[[#This Row],[VPA]])^0.5</f>
        <v/>
      </c>
      <c r="Z61" s="129">
        <f>Table_1[[#This Row],[PREÇO JUSTO GRAHAM]]/(1+Table_1[[#This Row],[MARGEM DE DESCONTO]])</f>
        <v/>
      </c>
      <c r="AA61" s="64">
        <f>(Table_1[[#This Row],[PREÇO JUSTO GORDON]]-Table_1[[#This Row],[PREÇO]])/Table_1[[#This Row],[PREÇO JUSTO GORDON]]</f>
        <v/>
      </c>
      <c r="AB61" s="130">
        <f>Table_1[[#This Row],[DPA]]*(1+Table_1[[#This Row],[MÉDIA DE CRESCIMENTO]])</f>
        <v/>
      </c>
      <c r="AC61" s="130">
        <f>Table_1[[#This Row],[D1]]/(Table_1[[#This Row],[RISCO]]-Table_1[[#This Row],[MÉDIA DE CRESCIMENTO]])</f>
        <v/>
      </c>
      <c r="AD61" s="130">
        <f>Table_1[[#This Row],[PREÇO JUSTO GORDON]]/(1+Table_1[[#This Row],[MARGEM DE DESCONTO]])</f>
        <v/>
      </c>
      <c r="AE61" s="78">
        <f>Table_1[[#This Row],[P/L]]/Table_1[[#This Row],[MÉDIA DE CRESCIMENTO]]</f>
        <v/>
      </c>
    </row>
    <row r="62" ht="15.75" customHeight="1">
      <c r="B62" s="77">
        <f>'Dados Status Invest'!A48</f>
        <v/>
      </c>
      <c r="C62" s="60">
        <f>VLOOKUP(Table_1[[#This Row],[AÇÕES]],'Classificação B3'!A:B,2,0)</f>
        <v/>
      </c>
      <c r="D62" s="60">
        <f>VLOOKUP(Table_1[[#This Row],[AÇÕES]],'Classificação B3'!A:D,4,0)</f>
        <v/>
      </c>
      <c r="E62" s="60">
        <f>VLOOKUP(Table_1[[#This Row],[AÇÕES]],'Classificação B3'!A:F,6,0)</f>
        <v/>
      </c>
      <c r="F62" s="60">
        <f>VLOOKUP(Table_1[[#This Row],[AÇÕES]],'Classificação B3'!A:G,7,0)</f>
        <v/>
      </c>
      <c r="G62" s="61">
        <f>VLOOKUP(Table_1[[#This Row],[AÇÕES]],'Dados Status Invest'!A:B,2,0)</f>
        <v/>
      </c>
      <c r="H62" s="62">
        <f>VLOOKUP(Table_1[[#This Row],[AÇÕES]],'Dados Status Invest'!A:C,3,0)/100</f>
        <v/>
      </c>
      <c r="I62" s="62">
        <f>VLOOKUP(Table_1[[#This Row],[AÇÕES]],'Dados Status Invest'!A:D,4,0)/100</f>
        <v/>
      </c>
      <c r="J62" s="63">
        <f>VLOOKUP(Table_1[[#This Row],[AÇÕES]],'Dados Status Invest'!A:AB,28,0)</f>
        <v/>
      </c>
      <c r="K62" s="63">
        <f>VLOOKUP(Table_1[[#This Row],[AÇÕES]],'Dados Status Invest'!A:AA,27,0)</f>
        <v/>
      </c>
      <c r="L62" s="63">
        <f>Table_1[[#This Row],[PREÇO]]*Table_1[[#This Row],[DY]]</f>
        <v/>
      </c>
      <c r="M62" s="62">
        <f>$E$13</f>
        <v/>
      </c>
      <c r="N62" s="62" t="n">
        <v>0.3</v>
      </c>
      <c r="O62" s="62">
        <f>Table_1[[#This Row],[DPA]]/Table_1[[#This Row],[LPA]]</f>
        <v/>
      </c>
      <c r="P62" s="62">
        <f>IF(Table_1[[#This Row],[PAYOUT]]&lt;=40%,"CRESCIMENTO",IF(Table_1[[#This Row],[PAYOUT]]&lt;=60%,"INDEFINIDO","DIVIDENDOS"))</f>
        <v/>
      </c>
      <c r="Q62" s="62">
        <f>VLOOKUP(Table_1[[#This Row],[AÇÕES]],'Dados Status Invest'!A:R,18,0)/100</f>
        <v/>
      </c>
      <c r="R62" s="62">
        <f>VLOOKUP(Table_1[[#This Row],[AÇÕES]],'Dados Status Invest'!A:Y,25,0)/100</f>
        <v/>
      </c>
      <c r="S62" s="62">
        <f>(1-Table_1[[#This Row],[PAYOUT]])*Table_1[[#This Row],[ROE]]</f>
        <v/>
      </c>
      <c r="T62" s="98">
        <f>AVERAGE(Table_1[[#This Row],[CAGR LUCRO 5A]],Table_1[[#This Row],[CRESCIMENTO DAMODARAN]])</f>
        <v/>
      </c>
      <c r="U62" s="64">
        <f>(Table_1[[#This Row],[PREÇO JUSTO BAZIN]]-Table_1[[#This Row],[PREÇO]])/Table_1[[#This Row],[PREÇO JUSTO BAZIN]]</f>
        <v/>
      </c>
      <c r="V62" s="129">
        <f>Table_1[[#This Row],[DPA]]/6%</f>
        <v/>
      </c>
      <c r="W62" s="129">
        <f>Table_1[[#This Row],[PREÇO JUSTO BAZIN]]/(1+Table_1[[#This Row],[MARGEM DE DESCONTO]])</f>
        <v/>
      </c>
      <c r="X62" s="64">
        <f>(Table_1[[#This Row],[PREÇO JUSTO GRAHAM]]-Table_1[[#This Row],[PREÇO]])/Table_1[[#This Row],[PREÇO JUSTO GRAHAM]]</f>
        <v/>
      </c>
      <c r="Y62" s="129">
        <f>(22.5*Table_1[[#This Row],[LPA]]*Table_1[[#This Row],[VPA]])^0.5</f>
        <v/>
      </c>
      <c r="Z62" s="129">
        <f>Table_1[[#This Row],[PREÇO JUSTO GRAHAM]]/(1+Table_1[[#This Row],[MARGEM DE DESCONTO]])</f>
        <v/>
      </c>
      <c r="AA62" s="64">
        <f>(Table_1[[#This Row],[PREÇO JUSTO GORDON]]-Table_1[[#This Row],[PREÇO]])/Table_1[[#This Row],[PREÇO JUSTO GORDON]]</f>
        <v/>
      </c>
      <c r="AB62" s="130">
        <f>Table_1[[#This Row],[DPA]]*(1+Table_1[[#This Row],[MÉDIA DE CRESCIMENTO]])</f>
        <v/>
      </c>
      <c r="AC62" s="130">
        <f>Table_1[[#This Row],[D1]]/(Table_1[[#This Row],[RISCO]]-Table_1[[#This Row],[MÉDIA DE CRESCIMENTO]])</f>
        <v/>
      </c>
      <c r="AD62" s="130">
        <f>Table_1[[#This Row],[PREÇO JUSTO GORDON]]/(1+Table_1[[#This Row],[MARGEM DE DESCONTO]])</f>
        <v/>
      </c>
      <c r="AE62" s="78">
        <f>Table_1[[#This Row],[P/L]]/Table_1[[#This Row],[MÉDIA DE CRESCIMENTO]]</f>
        <v/>
      </c>
    </row>
    <row r="63" ht="15.75" customHeight="1">
      <c r="B63" s="77">
        <f>'Dados Status Invest'!A49</f>
        <v/>
      </c>
      <c r="C63" s="60">
        <f>VLOOKUP(Table_1[[#This Row],[AÇÕES]],'Classificação B3'!A:B,2,0)</f>
        <v/>
      </c>
      <c r="D63" s="60">
        <f>VLOOKUP(Table_1[[#This Row],[AÇÕES]],'Classificação B3'!A:D,4,0)</f>
        <v/>
      </c>
      <c r="E63" s="60">
        <f>VLOOKUP(Table_1[[#This Row],[AÇÕES]],'Classificação B3'!A:F,6,0)</f>
        <v/>
      </c>
      <c r="F63" s="60">
        <f>VLOOKUP(Table_1[[#This Row],[AÇÕES]],'Classificação B3'!A:G,7,0)</f>
        <v/>
      </c>
      <c r="G63" s="61">
        <f>VLOOKUP(Table_1[[#This Row],[AÇÕES]],'Dados Status Invest'!A:B,2,0)</f>
        <v/>
      </c>
      <c r="H63" s="62">
        <f>VLOOKUP(Table_1[[#This Row],[AÇÕES]],'Dados Status Invest'!A:C,3,0)/100</f>
        <v/>
      </c>
      <c r="I63" s="62">
        <f>VLOOKUP(Table_1[[#This Row],[AÇÕES]],'Dados Status Invest'!A:D,4,0)/100</f>
        <v/>
      </c>
      <c r="J63" s="63">
        <f>VLOOKUP(Table_1[[#This Row],[AÇÕES]],'Dados Status Invest'!A:AB,28,0)</f>
        <v/>
      </c>
      <c r="K63" s="63">
        <f>VLOOKUP(Table_1[[#This Row],[AÇÕES]],'Dados Status Invest'!A:AA,27,0)</f>
        <v/>
      </c>
      <c r="L63" s="63">
        <f>Table_1[[#This Row],[PREÇO]]*Table_1[[#This Row],[DY]]</f>
        <v/>
      </c>
      <c r="M63" s="62">
        <f>$E$13</f>
        <v/>
      </c>
      <c r="N63" s="62" t="n">
        <v>0.3</v>
      </c>
      <c r="O63" s="62">
        <f>Table_1[[#This Row],[DPA]]/Table_1[[#This Row],[LPA]]</f>
        <v/>
      </c>
      <c r="P63" s="62">
        <f>IF(Table_1[[#This Row],[PAYOUT]]&lt;=40%,"CRESCIMENTO",IF(Table_1[[#This Row],[PAYOUT]]&lt;=60%,"INDEFINIDO","DIVIDENDOS"))</f>
        <v/>
      </c>
      <c r="Q63" s="62">
        <f>VLOOKUP(Table_1[[#This Row],[AÇÕES]],'Dados Status Invest'!A:R,18,0)/100</f>
        <v/>
      </c>
      <c r="R63" s="62">
        <f>VLOOKUP(Table_1[[#This Row],[AÇÕES]],'Dados Status Invest'!A:Y,25,0)/100</f>
        <v/>
      </c>
      <c r="S63" s="62">
        <f>(1-Table_1[[#This Row],[PAYOUT]])*Table_1[[#This Row],[ROE]]</f>
        <v/>
      </c>
      <c r="T63" s="98">
        <f>AVERAGE(Table_1[[#This Row],[CAGR LUCRO 5A]],Table_1[[#This Row],[CRESCIMENTO DAMODARAN]])</f>
        <v/>
      </c>
      <c r="U63" s="64">
        <f>(Table_1[[#This Row],[PREÇO JUSTO BAZIN]]-Table_1[[#This Row],[PREÇO]])/Table_1[[#This Row],[PREÇO JUSTO BAZIN]]</f>
        <v/>
      </c>
      <c r="V63" s="129">
        <f>Table_1[[#This Row],[DPA]]/6%</f>
        <v/>
      </c>
      <c r="W63" s="129">
        <f>Table_1[[#This Row],[PREÇO JUSTO BAZIN]]/(1+Table_1[[#This Row],[MARGEM DE DESCONTO]])</f>
        <v/>
      </c>
      <c r="X63" s="64">
        <f>(Table_1[[#This Row],[PREÇO JUSTO GRAHAM]]-Table_1[[#This Row],[PREÇO]])/Table_1[[#This Row],[PREÇO JUSTO GRAHAM]]</f>
        <v/>
      </c>
      <c r="Y63" s="129">
        <f>(22.5*Table_1[[#This Row],[LPA]]*Table_1[[#This Row],[VPA]])^0.5</f>
        <v/>
      </c>
      <c r="Z63" s="129">
        <f>Table_1[[#This Row],[PREÇO JUSTO GRAHAM]]/(1+Table_1[[#This Row],[MARGEM DE DESCONTO]])</f>
        <v/>
      </c>
      <c r="AA63" s="64">
        <f>(Table_1[[#This Row],[PREÇO JUSTO GORDON]]-Table_1[[#This Row],[PREÇO]])/Table_1[[#This Row],[PREÇO JUSTO GORDON]]</f>
        <v/>
      </c>
      <c r="AB63" s="130">
        <f>Table_1[[#This Row],[DPA]]*(1+Table_1[[#This Row],[MÉDIA DE CRESCIMENTO]])</f>
        <v/>
      </c>
      <c r="AC63" s="130">
        <f>Table_1[[#This Row],[D1]]/(Table_1[[#This Row],[RISCO]]-Table_1[[#This Row],[MÉDIA DE CRESCIMENTO]])</f>
        <v/>
      </c>
      <c r="AD63" s="130">
        <f>Table_1[[#This Row],[PREÇO JUSTO GORDON]]/(1+Table_1[[#This Row],[MARGEM DE DESCONTO]])</f>
        <v/>
      </c>
      <c r="AE63" s="78">
        <f>Table_1[[#This Row],[P/L]]/Table_1[[#This Row],[MÉDIA DE CRESCIMENTO]]</f>
        <v/>
      </c>
    </row>
    <row r="64" ht="15.75" customHeight="1">
      <c r="B64" s="77">
        <f>'Dados Status Invest'!A50</f>
        <v/>
      </c>
      <c r="C64" s="60">
        <f>VLOOKUP(Table_1[[#This Row],[AÇÕES]],'Classificação B3'!A:B,2,0)</f>
        <v/>
      </c>
      <c r="D64" s="60">
        <f>VLOOKUP(Table_1[[#This Row],[AÇÕES]],'Classificação B3'!A:D,4,0)</f>
        <v/>
      </c>
      <c r="E64" s="60">
        <f>VLOOKUP(Table_1[[#This Row],[AÇÕES]],'Classificação B3'!A:F,6,0)</f>
        <v/>
      </c>
      <c r="F64" s="60">
        <f>VLOOKUP(Table_1[[#This Row],[AÇÕES]],'Classificação B3'!A:G,7,0)</f>
        <v/>
      </c>
      <c r="G64" s="61">
        <f>VLOOKUP(Table_1[[#This Row],[AÇÕES]],'Dados Status Invest'!A:B,2,0)</f>
        <v/>
      </c>
      <c r="H64" s="62">
        <f>VLOOKUP(Table_1[[#This Row],[AÇÕES]],'Dados Status Invest'!A:C,3,0)/100</f>
        <v/>
      </c>
      <c r="I64" s="62">
        <f>VLOOKUP(Table_1[[#This Row],[AÇÕES]],'Dados Status Invest'!A:D,4,0)/100</f>
        <v/>
      </c>
      <c r="J64" s="63">
        <f>VLOOKUP(Table_1[[#This Row],[AÇÕES]],'Dados Status Invest'!A:AB,28,0)</f>
        <v/>
      </c>
      <c r="K64" s="63">
        <f>VLOOKUP(Table_1[[#This Row],[AÇÕES]],'Dados Status Invest'!A:AA,27,0)</f>
        <v/>
      </c>
      <c r="L64" s="63">
        <f>Table_1[[#This Row],[PREÇO]]*Table_1[[#This Row],[DY]]</f>
        <v/>
      </c>
      <c r="M64" s="62">
        <f>$E$13</f>
        <v/>
      </c>
      <c r="N64" s="62" t="n">
        <v>0.3</v>
      </c>
      <c r="O64" s="62">
        <f>Table_1[[#This Row],[DPA]]/Table_1[[#This Row],[LPA]]</f>
        <v/>
      </c>
      <c r="P64" s="62">
        <f>IF(Table_1[[#This Row],[PAYOUT]]&lt;=40%,"CRESCIMENTO",IF(Table_1[[#This Row],[PAYOUT]]&lt;=60%,"INDEFINIDO","DIVIDENDOS"))</f>
        <v/>
      </c>
      <c r="Q64" s="62">
        <f>VLOOKUP(Table_1[[#This Row],[AÇÕES]],'Dados Status Invest'!A:R,18,0)/100</f>
        <v/>
      </c>
      <c r="R64" s="62">
        <f>VLOOKUP(Table_1[[#This Row],[AÇÕES]],'Dados Status Invest'!A:Y,25,0)/100</f>
        <v/>
      </c>
      <c r="S64" s="62">
        <f>(1-Table_1[[#This Row],[PAYOUT]])*Table_1[[#This Row],[ROE]]</f>
        <v/>
      </c>
      <c r="T64" s="98">
        <f>AVERAGE(Table_1[[#This Row],[CAGR LUCRO 5A]],Table_1[[#This Row],[CRESCIMENTO DAMODARAN]])</f>
        <v/>
      </c>
      <c r="U64" s="64">
        <f>(Table_1[[#This Row],[PREÇO JUSTO BAZIN]]-Table_1[[#This Row],[PREÇO]])/Table_1[[#This Row],[PREÇO JUSTO BAZIN]]</f>
        <v/>
      </c>
      <c r="V64" s="129">
        <f>Table_1[[#This Row],[DPA]]/6%</f>
        <v/>
      </c>
      <c r="W64" s="129">
        <f>Table_1[[#This Row],[PREÇO JUSTO BAZIN]]/(1+Table_1[[#This Row],[MARGEM DE DESCONTO]])</f>
        <v/>
      </c>
      <c r="X64" s="64">
        <f>(Table_1[[#This Row],[PREÇO JUSTO GRAHAM]]-Table_1[[#This Row],[PREÇO]])/Table_1[[#This Row],[PREÇO JUSTO GRAHAM]]</f>
        <v/>
      </c>
      <c r="Y64" s="129">
        <f>(22.5*Table_1[[#This Row],[LPA]]*Table_1[[#This Row],[VPA]])^0.5</f>
        <v/>
      </c>
      <c r="Z64" s="129">
        <f>Table_1[[#This Row],[PREÇO JUSTO GRAHAM]]/(1+Table_1[[#This Row],[MARGEM DE DESCONTO]])</f>
        <v/>
      </c>
      <c r="AA64" s="64">
        <f>(Table_1[[#This Row],[PREÇO JUSTO GORDON]]-Table_1[[#This Row],[PREÇO]])/Table_1[[#This Row],[PREÇO JUSTO GORDON]]</f>
        <v/>
      </c>
      <c r="AB64" s="130">
        <f>Table_1[[#This Row],[DPA]]*(1+Table_1[[#This Row],[MÉDIA DE CRESCIMENTO]])</f>
        <v/>
      </c>
      <c r="AC64" s="130">
        <f>Table_1[[#This Row],[D1]]/(Table_1[[#This Row],[RISCO]]-Table_1[[#This Row],[MÉDIA DE CRESCIMENTO]])</f>
        <v/>
      </c>
      <c r="AD64" s="130">
        <f>Table_1[[#This Row],[PREÇO JUSTO GORDON]]/(1+Table_1[[#This Row],[MARGEM DE DESCONTO]])</f>
        <v/>
      </c>
      <c r="AE64" s="78">
        <f>Table_1[[#This Row],[P/L]]/Table_1[[#This Row],[MÉDIA DE CRESCIMENTO]]</f>
        <v/>
      </c>
    </row>
    <row r="65" ht="15.75" customHeight="1">
      <c r="B65" s="77">
        <f>'Dados Status Invest'!A51</f>
        <v/>
      </c>
      <c r="C65" s="60">
        <f>VLOOKUP(Table_1[[#This Row],[AÇÕES]],'Classificação B3'!A:B,2,0)</f>
        <v/>
      </c>
      <c r="D65" s="60">
        <f>VLOOKUP(Table_1[[#This Row],[AÇÕES]],'Classificação B3'!A:D,4,0)</f>
        <v/>
      </c>
      <c r="E65" s="60">
        <f>VLOOKUP(Table_1[[#This Row],[AÇÕES]],'Classificação B3'!A:F,6,0)</f>
        <v/>
      </c>
      <c r="F65" s="60">
        <f>VLOOKUP(Table_1[[#This Row],[AÇÕES]],'Classificação B3'!A:G,7,0)</f>
        <v/>
      </c>
      <c r="G65" s="61">
        <f>VLOOKUP(Table_1[[#This Row],[AÇÕES]],'Dados Status Invest'!A:B,2,0)</f>
        <v/>
      </c>
      <c r="H65" s="62">
        <f>VLOOKUP(Table_1[[#This Row],[AÇÕES]],'Dados Status Invest'!A:C,3,0)/100</f>
        <v/>
      </c>
      <c r="I65" s="62">
        <f>VLOOKUP(Table_1[[#This Row],[AÇÕES]],'Dados Status Invest'!A:D,4,0)/100</f>
        <v/>
      </c>
      <c r="J65" s="63">
        <f>VLOOKUP(Table_1[[#This Row],[AÇÕES]],'Dados Status Invest'!A:AB,28,0)</f>
        <v/>
      </c>
      <c r="K65" s="63">
        <f>VLOOKUP(Table_1[[#This Row],[AÇÕES]],'Dados Status Invest'!A:AA,27,0)</f>
        <v/>
      </c>
      <c r="L65" s="63">
        <f>Table_1[[#This Row],[PREÇO]]*Table_1[[#This Row],[DY]]</f>
        <v/>
      </c>
      <c r="M65" s="62">
        <f>$E$13</f>
        <v/>
      </c>
      <c r="N65" s="62" t="n">
        <v>0.3</v>
      </c>
      <c r="O65" s="62">
        <f>Table_1[[#This Row],[DPA]]/Table_1[[#This Row],[LPA]]</f>
        <v/>
      </c>
      <c r="P65" s="62">
        <f>IF(Table_1[[#This Row],[PAYOUT]]&lt;=40%,"CRESCIMENTO",IF(Table_1[[#This Row],[PAYOUT]]&lt;=60%,"INDEFINIDO","DIVIDENDOS"))</f>
        <v/>
      </c>
      <c r="Q65" s="62">
        <f>VLOOKUP(Table_1[[#This Row],[AÇÕES]],'Dados Status Invest'!A:R,18,0)/100</f>
        <v/>
      </c>
      <c r="R65" s="62">
        <f>VLOOKUP(Table_1[[#This Row],[AÇÕES]],'Dados Status Invest'!A:Y,25,0)/100</f>
        <v/>
      </c>
      <c r="S65" s="62">
        <f>(1-Table_1[[#This Row],[PAYOUT]])*Table_1[[#This Row],[ROE]]</f>
        <v/>
      </c>
      <c r="T65" s="98">
        <f>AVERAGE(Table_1[[#This Row],[CAGR LUCRO 5A]],Table_1[[#This Row],[CRESCIMENTO DAMODARAN]])</f>
        <v/>
      </c>
      <c r="U65" s="64">
        <f>(Table_1[[#This Row],[PREÇO JUSTO BAZIN]]-Table_1[[#This Row],[PREÇO]])/Table_1[[#This Row],[PREÇO JUSTO BAZIN]]</f>
        <v/>
      </c>
      <c r="V65" s="129">
        <f>Table_1[[#This Row],[DPA]]/6%</f>
        <v/>
      </c>
      <c r="W65" s="129">
        <f>Table_1[[#This Row],[PREÇO JUSTO BAZIN]]/(1+Table_1[[#This Row],[MARGEM DE DESCONTO]])</f>
        <v/>
      </c>
      <c r="X65" s="64">
        <f>(Table_1[[#This Row],[PREÇO JUSTO GRAHAM]]-Table_1[[#This Row],[PREÇO]])/Table_1[[#This Row],[PREÇO JUSTO GRAHAM]]</f>
        <v/>
      </c>
      <c r="Y65" s="129">
        <f>(22.5*Table_1[[#This Row],[LPA]]*Table_1[[#This Row],[VPA]])^0.5</f>
        <v/>
      </c>
      <c r="Z65" s="129">
        <f>Table_1[[#This Row],[PREÇO JUSTO GRAHAM]]/(1+Table_1[[#This Row],[MARGEM DE DESCONTO]])</f>
        <v/>
      </c>
      <c r="AA65" s="64">
        <f>(Table_1[[#This Row],[PREÇO JUSTO GORDON]]-Table_1[[#This Row],[PREÇO]])/Table_1[[#This Row],[PREÇO JUSTO GORDON]]</f>
        <v/>
      </c>
      <c r="AB65" s="130">
        <f>Table_1[[#This Row],[DPA]]*(1+Table_1[[#This Row],[MÉDIA DE CRESCIMENTO]])</f>
        <v/>
      </c>
      <c r="AC65" s="130">
        <f>Table_1[[#This Row],[D1]]/(Table_1[[#This Row],[RISCO]]-Table_1[[#This Row],[MÉDIA DE CRESCIMENTO]])</f>
        <v/>
      </c>
      <c r="AD65" s="130">
        <f>Table_1[[#This Row],[PREÇO JUSTO GORDON]]/(1+Table_1[[#This Row],[MARGEM DE DESCONTO]])</f>
        <v/>
      </c>
      <c r="AE65" s="78">
        <f>Table_1[[#This Row],[P/L]]/Table_1[[#This Row],[MÉDIA DE CRESCIMENTO]]</f>
        <v/>
      </c>
    </row>
    <row r="66" ht="15.75" customHeight="1">
      <c r="B66" s="77">
        <f>'Dados Status Invest'!A52</f>
        <v/>
      </c>
      <c r="C66" s="60">
        <f>VLOOKUP(Table_1[[#This Row],[AÇÕES]],'Classificação B3'!A:B,2,0)</f>
        <v/>
      </c>
      <c r="D66" s="60">
        <f>VLOOKUP(Table_1[[#This Row],[AÇÕES]],'Classificação B3'!A:D,4,0)</f>
        <v/>
      </c>
      <c r="E66" s="60">
        <f>VLOOKUP(Table_1[[#This Row],[AÇÕES]],'Classificação B3'!A:F,6,0)</f>
        <v/>
      </c>
      <c r="F66" s="60">
        <f>VLOOKUP(Table_1[[#This Row],[AÇÕES]],'Classificação B3'!A:G,7,0)</f>
        <v/>
      </c>
      <c r="G66" s="61">
        <f>VLOOKUP(Table_1[[#This Row],[AÇÕES]],'Dados Status Invest'!A:B,2,0)</f>
        <v/>
      </c>
      <c r="H66" s="62">
        <f>VLOOKUP(Table_1[[#This Row],[AÇÕES]],'Dados Status Invest'!A:C,3,0)/100</f>
        <v/>
      </c>
      <c r="I66" s="62">
        <f>VLOOKUP(Table_1[[#This Row],[AÇÕES]],'Dados Status Invest'!A:D,4,0)/100</f>
        <v/>
      </c>
      <c r="J66" s="63">
        <f>VLOOKUP(Table_1[[#This Row],[AÇÕES]],'Dados Status Invest'!A:AB,28,0)</f>
        <v/>
      </c>
      <c r="K66" s="63">
        <f>VLOOKUP(Table_1[[#This Row],[AÇÕES]],'Dados Status Invest'!A:AA,27,0)</f>
        <v/>
      </c>
      <c r="L66" s="63">
        <f>Table_1[[#This Row],[PREÇO]]*Table_1[[#This Row],[DY]]</f>
        <v/>
      </c>
      <c r="M66" s="62">
        <f>$E$13</f>
        <v/>
      </c>
      <c r="N66" s="62" t="n">
        <v>0.3</v>
      </c>
      <c r="O66" s="62">
        <f>Table_1[[#This Row],[DPA]]/Table_1[[#This Row],[LPA]]</f>
        <v/>
      </c>
      <c r="P66" s="62">
        <f>IF(Table_1[[#This Row],[PAYOUT]]&lt;=40%,"CRESCIMENTO",IF(Table_1[[#This Row],[PAYOUT]]&lt;=60%,"INDEFINIDO","DIVIDENDOS"))</f>
        <v/>
      </c>
      <c r="Q66" s="62">
        <f>VLOOKUP(Table_1[[#This Row],[AÇÕES]],'Dados Status Invest'!A:R,18,0)/100</f>
        <v/>
      </c>
      <c r="R66" s="62">
        <f>VLOOKUP(Table_1[[#This Row],[AÇÕES]],'Dados Status Invest'!A:Y,25,0)/100</f>
        <v/>
      </c>
      <c r="S66" s="62">
        <f>(1-Table_1[[#This Row],[PAYOUT]])*Table_1[[#This Row],[ROE]]</f>
        <v/>
      </c>
      <c r="T66" s="98">
        <f>AVERAGE(Table_1[[#This Row],[CAGR LUCRO 5A]],Table_1[[#This Row],[CRESCIMENTO DAMODARAN]])</f>
        <v/>
      </c>
      <c r="U66" s="64">
        <f>(Table_1[[#This Row],[PREÇO JUSTO BAZIN]]-Table_1[[#This Row],[PREÇO]])/Table_1[[#This Row],[PREÇO JUSTO BAZIN]]</f>
        <v/>
      </c>
      <c r="V66" s="129">
        <f>Table_1[[#This Row],[DPA]]/6%</f>
        <v/>
      </c>
      <c r="W66" s="129">
        <f>Table_1[[#This Row],[PREÇO JUSTO BAZIN]]/(1+Table_1[[#This Row],[MARGEM DE DESCONTO]])</f>
        <v/>
      </c>
      <c r="X66" s="64">
        <f>(Table_1[[#This Row],[PREÇO JUSTO GRAHAM]]-Table_1[[#This Row],[PREÇO]])/Table_1[[#This Row],[PREÇO JUSTO GRAHAM]]</f>
        <v/>
      </c>
      <c r="Y66" s="129">
        <f>(22.5*Table_1[[#This Row],[LPA]]*Table_1[[#This Row],[VPA]])^0.5</f>
        <v/>
      </c>
      <c r="Z66" s="129">
        <f>Table_1[[#This Row],[PREÇO JUSTO GRAHAM]]/(1+Table_1[[#This Row],[MARGEM DE DESCONTO]])</f>
        <v/>
      </c>
      <c r="AA66" s="64">
        <f>(Table_1[[#This Row],[PREÇO JUSTO GORDON]]-Table_1[[#This Row],[PREÇO]])/Table_1[[#This Row],[PREÇO JUSTO GORDON]]</f>
        <v/>
      </c>
      <c r="AB66" s="130">
        <f>Table_1[[#This Row],[DPA]]*(1+Table_1[[#This Row],[MÉDIA DE CRESCIMENTO]])</f>
        <v/>
      </c>
      <c r="AC66" s="130">
        <f>Table_1[[#This Row],[D1]]/(Table_1[[#This Row],[RISCO]]-Table_1[[#This Row],[MÉDIA DE CRESCIMENTO]])</f>
        <v/>
      </c>
      <c r="AD66" s="130">
        <f>Table_1[[#This Row],[PREÇO JUSTO GORDON]]/(1+Table_1[[#This Row],[MARGEM DE DESCONTO]])</f>
        <v/>
      </c>
      <c r="AE66" s="78">
        <f>Table_1[[#This Row],[P/L]]/Table_1[[#This Row],[MÉDIA DE CRESCIMENTO]]</f>
        <v/>
      </c>
    </row>
    <row r="67" ht="15.75" customHeight="1">
      <c r="B67" s="77">
        <f>'Dados Status Invest'!A53</f>
        <v/>
      </c>
      <c r="C67" s="60">
        <f>VLOOKUP(Table_1[[#This Row],[AÇÕES]],'Classificação B3'!A:B,2,0)</f>
        <v/>
      </c>
      <c r="D67" s="60">
        <f>VLOOKUP(Table_1[[#This Row],[AÇÕES]],'Classificação B3'!A:D,4,0)</f>
        <v/>
      </c>
      <c r="E67" s="60">
        <f>VLOOKUP(Table_1[[#This Row],[AÇÕES]],'Classificação B3'!A:F,6,0)</f>
        <v/>
      </c>
      <c r="F67" s="60">
        <f>VLOOKUP(Table_1[[#This Row],[AÇÕES]],'Classificação B3'!A:G,7,0)</f>
        <v/>
      </c>
      <c r="G67" s="61">
        <f>VLOOKUP(Table_1[[#This Row],[AÇÕES]],'Dados Status Invest'!A:B,2,0)</f>
        <v/>
      </c>
      <c r="H67" s="62">
        <f>VLOOKUP(Table_1[[#This Row],[AÇÕES]],'Dados Status Invest'!A:C,3,0)/100</f>
        <v/>
      </c>
      <c r="I67" s="62">
        <f>VLOOKUP(Table_1[[#This Row],[AÇÕES]],'Dados Status Invest'!A:D,4,0)/100</f>
        <v/>
      </c>
      <c r="J67" s="63">
        <f>VLOOKUP(Table_1[[#This Row],[AÇÕES]],'Dados Status Invest'!A:AB,28,0)</f>
        <v/>
      </c>
      <c r="K67" s="63">
        <f>VLOOKUP(Table_1[[#This Row],[AÇÕES]],'Dados Status Invest'!A:AA,27,0)</f>
        <v/>
      </c>
      <c r="L67" s="63">
        <f>Table_1[[#This Row],[PREÇO]]*Table_1[[#This Row],[DY]]</f>
        <v/>
      </c>
      <c r="M67" s="62">
        <f>$E$13</f>
        <v/>
      </c>
      <c r="N67" s="62" t="n">
        <v>0.3</v>
      </c>
      <c r="O67" s="62">
        <f>Table_1[[#This Row],[DPA]]/Table_1[[#This Row],[LPA]]</f>
        <v/>
      </c>
      <c r="P67" s="62">
        <f>IF(Table_1[[#This Row],[PAYOUT]]&lt;=40%,"CRESCIMENTO",IF(Table_1[[#This Row],[PAYOUT]]&lt;=60%,"INDEFINIDO","DIVIDENDOS"))</f>
        <v/>
      </c>
      <c r="Q67" s="62">
        <f>VLOOKUP(Table_1[[#This Row],[AÇÕES]],'Dados Status Invest'!A:R,18,0)/100</f>
        <v/>
      </c>
      <c r="R67" s="62">
        <f>VLOOKUP(Table_1[[#This Row],[AÇÕES]],'Dados Status Invest'!A:Y,25,0)/100</f>
        <v/>
      </c>
      <c r="S67" s="62">
        <f>(1-Table_1[[#This Row],[PAYOUT]])*Table_1[[#This Row],[ROE]]</f>
        <v/>
      </c>
      <c r="T67" s="98">
        <f>AVERAGE(Table_1[[#This Row],[CAGR LUCRO 5A]],Table_1[[#This Row],[CRESCIMENTO DAMODARAN]])</f>
        <v/>
      </c>
      <c r="U67" s="64">
        <f>(Table_1[[#This Row],[PREÇO JUSTO BAZIN]]-Table_1[[#This Row],[PREÇO]])/Table_1[[#This Row],[PREÇO JUSTO BAZIN]]</f>
        <v/>
      </c>
      <c r="V67" s="129">
        <f>Table_1[[#This Row],[DPA]]/6%</f>
        <v/>
      </c>
      <c r="W67" s="129">
        <f>Table_1[[#This Row],[PREÇO JUSTO BAZIN]]/(1+Table_1[[#This Row],[MARGEM DE DESCONTO]])</f>
        <v/>
      </c>
      <c r="X67" s="64">
        <f>(Table_1[[#This Row],[PREÇO JUSTO GRAHAM]]-Table_1[[#This Row],[PREÇO]])/Table_1[[#This Row],[PREÇO JUSTO GRAHAM]]</f>
        <v/>
      </c>
      <c r="Y67" s="129">
        <f>(22.5*Table_1[[#This Row],[LPA]]*Table_1[[#This Row],[VPA]])^0.5</f>
        <v/>
      </c>
      <c r="Z67" s="129">
        <f>Table_1[[#This Row],[PREÇO JUSTO GRAHAM]]/(1+Table_1[[#This Row],[MARGEM DE DESCONTO]])</f>
        <v/>
      </c>
      <c r="AA67" s="64">
        <f>(Table_1[[#This Row],[PREÇO JUSTO GORDON]]-Table_1[[#This Row],[PREÇO]])/Table_1[[#This Row],[PREÇO JUSTO GORDON]]</f>
        <v/>
      </c>
      <c r="AB67" s="130">
        <f>Table_1[[#This Row],[DPA]]*(1+Table_1[[#This Row],[MÉDIA DE CRESCIMENTO]])</f>
        <v/>
      </c>
      <c r="AC67" s="130">
        <f>Table_1[[#This Row],[D1]]/(Table_1[[#This Row],[RISCO]]-Table_1[[#This Row],[MÉDIA DE CRESCIMENTO]])</f>
        <v/>
      </c>
      <c r="AD67" s="130">
        <f>Table_1[[#This Row],[PREÇO JUSTO GORDON]]/(1+Table_1[[#This Row],[MARGEM DE DESCONTO]])</f>
        <v/>
      </c>
      <c r="AE67" s="78">
        <f>Table_1[[#This Row],[P/L]]/Table_1[[#This Row],[MÉDIA DE CRESCIMENTO]]</f>
        <v/>
      </c>
    </row>
    <row r="68" ht="15.75" customHeight="1">
      <c r="B68" s="77">
        <f>'Dados Status Invest'!A54</f>
        <v/>
      </c>
      <c r="C68" s="60">
        <f>VLOOKUP(Table_1[[#This Row],[AÇÕES]],'Classificação B3'!A:B,2,0)</f>
        <v/>
      </c>
      <c r="D68" s="60">
        <f>VLOOKUP(Table_1[[#This Row],[AÇÕES]],'Classificação B3'!A:D,4,0)</f>
        <v/>
      </c>
      <c r="E68" s="60">
        <f>VLOOKUP(Table_1[[#This Row],[AÇÕES]],'Classificação B3'!A:F,6,0)</f>
        <v/>
      </c>
      <c r="F68" s="60">
        <f>VLOOKUP(Table_1[[#This Row],[AÇÕES]],'Classificação B3'!A:G,7,0)</f>
        <v/>
      </c>
      <c r="G68" s="61">
        <f>VLOOKUP(Table_1[[#This Row],[AÇÕES]],'Dados Status Invest'!A:B,2,0)</f>
        <v/>
      </c>
      <c r="H68" s="62">
        <f>VLOOKUP(Table_1[[#This Row],[AÇÕES]],'Dados Status Invest'!A:C,3,0)/100</f>
        <v/>
      </c>
      <c r="I68" s="62">
        <f>VLOOKUP(Table_1[[#This Row],[AÇÕES]],'Dados Status Invest'!A:D,4,0)/100</f>
        <v/>
      </c>
      <c r="J68" s="63">
        <f>VLOOKUP(Table_1[[#This Row],[AÇÕES]],'Dados Status Invest'!A:AB,28,0)</f>
        <v/>
      </c>
      <c r="K68" s="63">
        <f>VLOOKUP(Table_1[[#This Row],[AÇÕES]],'Dados Status Invest'!A:AA,27,0)</f>
        <v/>
      </c>
      <c r="L68" s="63">
        <f>Table_1[[#This Row],[PREÇO]]*Table_1[[#This Row],[DY]]</f>
        <v/>
      </c>
      <c r="M68" s="62">
        <f>$E$13</f>
        <v/>
      </c>
      <c r="N68" s="62" t="n">
        <v>0.3</v>
      </c>
      <c r="O68" s="62">
        <f>Table_1[[#This Row],[DPA]]/Table_1[[#This Row],[LPA]]</f>
        <v/>
      </c>
      <c r="P68" s="62">
        <f>IF(Table_1[[#This Row],[PAYOUT]]&lt;=40%,"CRESCIMENTO",IF(Table_1[[#This Row],[PAYOUT]]&lt;=60%,"INDEFINIDO","DIVIDENDOS"))</f>
        <v/>
      </c>
      <c r="Q68" s="62">
        <f>VLOOKUP(Table_1[[#This Row],[AÇÕES]],'Dados Status Invest'!A:R,18,0)/100</f>
        <v/>
      </c>
      <c r="R68" s="62">
        <f>VLOOKUP(Table_1[[#This Row],[AÇÕES]],'Dados Status Invest'!A:Y,25,0)/100</f>
        <v/>
      </c>
      <c r="S68" s="62">
        <f>(1-Table_1[[#This Row],[PAYOUT]])*Table_1[[#This Row],[ROE]]</f>
        <v/>
      </c>
      <c r="T68" s="98">
        <f>AVERAGE(Table_1[[#This Row],[CAGR LUCRO 5A]],Table_1[[#This Row],[CRESCIMENTO DAMODARAN]])</f>
        <v/>
      </c>
      <c r="U68" s="64">
        <f>(Table_1[[#This Row],[PREÇO JUSTO BAZIN]]-Table_1[[#This Row],[PREÇO]])/Table_1[[#This Row],[PREÇO JUSTO BAZIN]]</f>
        <v/>
      </c>
      <c r="V68" s="129">
        <f>Table_1[[#This Row],[DPA]]/6%</f>
        <v/>
      </c>
      <c r="W68" s="129">
        <f>Table_1[[#This Row],[PREÇO JUSTO BAZIN]]/(1+Table_1[[#This Row],[MARGEM DE DESCONTO]])</f>
        <v/>
      </c>
      <c r="X68" s="64">
        <f>(Table_1[[#This Row],[PREÇO JUSTO GRAHAM]]-Table_1[[#This Row],[PREÇO]])/Table_1[[#This Row],[PREÇO JUSTO GRAHAM]]</f>
        <v/>
      </c>
      <c r="Y68" s="129">
        <f>(22.5*Table_1[[#This Row],[LPA]]*Table_1[[#This Row],[VPA]])^0.5</f>
        <v/>
      </c>
      <c r="Z68" s="129">
        <f>Table_1[[#This Row],[PREÇO JUSTO GRAHAM]]/(1+Table_1[[#This Row],[MARGEM DE DESCONTO]])</f>
        <v/>
      </c>
      <c r="AA68" s="64">
        <f>(Table_1[[#This Row],[PREÇO JUSTO GORDON]]-Table_1[[#This Row],[PREÇO]])/Table_1[[#This Row],[PREÇO JUSTO GORDON]]</f>
        <v/>
      </c>
      <c r="AB68" s="130">
        <f>Table_1[[#This Row],[DPA]]*(1+Table_1[[#This Row],[MÉDIA DE CRESCIMENTO]])</f>
        <v/>
      </c>
      <c r="AC68" s="130">
        <f>Table_1[[#This Row],[D1]]/(Table_1[[#This Row],[RISCO]]-Table_1[[#This Row],[MÉDIA DE CRESCIMENTO]])</f>
        <v/>
      </c>
      <c r="AD68" s="130">
        <f>Table_1[[#This Row],[PREÇO JUSTO GORDON]]/(1+Table_1[[#This Row],[MARGEM DE DESCONTO]])</f>
        <v/>
      </c>
      <c r="AE68" s="78">
        <f>Table_1[[#This Row],[P/L]]/Table_1[[#This Row],[MÉDIA DE CRESCIMENTO]]</f>
        <v/>
      </c>
    </row>
    <row r="69" ht="15.75" customHeight="1">
      <c r="B69" s="77">
        <f>'Dados Status Invest'!A55</f>
        <v/>
      </c>
      <c r="C69" s="60">
        <f>VLOOKUP(Table_1[[#This Row],[AÇÕES]],'Classificação B3'!A:B,2,0)</f>
        <v/>
      </c>
      <c r="D69" s="60">
        <f>VLOOKUP(Table_1[[#This Row],[AÇÕES]],'Classificação B3'!A:D,4,0)</f>
        <v/>
      </c>
      <c r="E69" s="60">
        <f>VLOOKUP(Table_1[[#This Row],[AÇÕES]],'Classificação B3'!A:F,6,0)</f>
        <v/>
      </c>
      <c r="F69" s="60">
        <f>VLOOKUP(Table_1[[#This Row],[AÇÕES]],'Classificação B3'!A:G,7,0)</f>
        <v/>
      </c>
      <c r="G69" s="61">
        <f>VLOOKUP(Table_1[[#This Row],[AÇÕES]],'Dados Status Invest'!A:B,2,0)</f>
        <v/>
      </c>
      <c r="H69" s="62">
        <f>VLOOKUP(Table_1[[#This Row],[AÇÕES]],'Dados Status Invest'!A:C,3,0)/100</f>
        <v/>
      </c>
      <c r="I69" s="62">
        <f>VLOOKUP(Table_1[[#This Row],[AÇÕES]],'Dados Status Invest'!A:D,4,0)/100</f>
        <v/>
      </c>
      <c r="J69" s="63">
        <f>VLOOKUP(Table_1[[#This Row],[AÇÕES]],'Dados Status Invest'!A:AB,28,0)</f>
        <v/>
      </c>
      <c r="K69" s="63">
        <f>VLOOKUP(Table_1[[#This Row],[AÇÕES]],'Dados Status Invest'!A:AA,27,0)</f>
        <v/>
      </c>
      <c r="L69" s="63">
        <f>Table_1[[#This Row],[PREÇO]]*Table_1[[#This Row],[DY]]</f>
        <v/>
      </c>
      <c r="M69" s="62">
        <f>$E$13</f>
        <v/>
      </c>
      <c r="N69" s="62" t="n">
        <v>0.3</v>
      </c>
      <c r="O69" s="62">
        <f>Table_1[[#This Row],[DPA]]/Table_1[[#This Row],[LPA]]</f>
        <v/>
      </c>
      <c r="P69" s="62">
        <f>IF(Table_1[[#This Row],[PAYOUT]]&lt;=40%,"CRESCIMENTO",IF(Table_1[[#This Row],[PAYOUT]]&lt;=60%,"INDEFINIDO","DIVIDENDOS"))</f>
        <v/>
      </c>
      <c r="Q69" s="62">
        <f>VLOOKUP(Table_1[[#This Row],[AÇÕES]],'Dados Status Invest'!A:R,18,0)/100</f>
        <v/>
      </c>
      <c r="R69" s="62">
        <f>VLOOKUP(Table_1[[#This Row],[AÇÕES]],'Dados Status Invest'!A:Y,25,0)/100</f>
        <v/>
      </c>
      <c r="S69" s="62">
        <f>(1-Table_1[[#This Row],[PAYOUT]])*Table_1[[#This Row],[ROE]]</f>
        <v/>
      </c>
      <c r="T69" s="98">
        <f>AVERAGE(Table_1[[#This Row],[CAGR LUCRO 5A]],Table_1[[#This Row],[CRESCIMENTO DAMODARAN]])</f>
        <v/>
      </c>
      <c r="U69" s="64">
        <f>(Table_1[[#This Row],[PREÇO JUSTO BAZIN]]-Table_1[[#This Row],[PREÇO]])/Table_1[[#This Row],[PREÇO JUSTO BAZIN]]</f>
        <v/>
      </c>
      <c r="V69" s="129">
        <f>Table_1[[#This Row],[DPA]]/6%</f>
        <v/>
      </c>
      <c r="W69" s="129">
        <f>Table_1[[#This Row],[PREÇO JUSTO BAZIN]]/(1+Table_1[[#This Row],[MARGEM DE DESCONTO]])</f>
        <v/>
      </c>
      <c r="X69" s="64">
        <f>(Table_1[[#This Row],[PREÇO JUSTO GRAHAM]]-Table_1[[#This Row],[PREÇO]])/Table_1[[#This Row],[PREÇO JUSTO GRAHAM]]</f>
        <v/>
      </c>
      <c r="Y69" s="129">
        <f>(22.5*Table_1[[#This Row],[LPA]]*Table_1[[#This Row],[VPA]])^0.5</f>
        <v/>
      </c>
      <c r="Z69" s="129">
        <f>Table_1[[#This Row],[PREÇO JUSTO GRAHAM]]/(1+Table_1[[#This Row],[MARGEM DE DESCONTO]])</f>
        <v/>
      </c>
      <c r="AA69" s="64">
        <f>(Table_1[[#This Row],[PREÇO JUSTO GORDON]]-Table_1[[#This Row],[PREÇO]])/Table_1[[#This Row],[PREÇO JUSTO GORDON]]</f>
        <v/>
      </c>
      <c r="AB69" s="130">
        <f>Table_1[[#This Row],[DPA]]*(1+Table_1[[#This Row],[MÉDIA DE CRESCIMENTO]])</f>
        <v/>
      </c>
      <c r="AC69" s="130">
        <f>Table_1[[#This Row],[D1]]/(Table_1[[#This Row],[RISCO]]-Table_1[[#This Row],[MÉDIA DE CRESCIMENTO]])</f>
        <v/>
      </c>
      <c r="AD69" s="130">
        <f>Table_1[[#This Row],[PREÇO JUSTO GORDON]]/(1+Table_1[[#This Row],[MARGEM DE DESCONTO]])</f>
        <v/>
      </c>
      <c r="AE69" s="78">
        <f>Table_1[[#This Row],[P/L]]/Table_1[[#This Row],[MÉDIA DE CRESCIMENTO]]</f>
        <v/>
      </c>
    </row>
    <row r="70" ht="15.75" customHeight="1">
      <c r="B70" s="77">
        <f>'Dados Status Invest'!A56</f>
        <v/>
      </c>
      <c r="C70" s="60">
        <f>VLOOKUP(Table_1[[#This Row],[AÇÕES]],'Classificação B3'!A:B,2,0)</f>
        <v/>
      </c>
      <c r="D70" s="60">
        <f>VLOOKUP(Table_1[[#This Row],[AÇÕES]],'Classificação B3'!A:D,4,0)</f>
        <v/>
      </c>
      <c r="E70" s="60">
        <f>VLOOKUP(Table_1[[#This Row],[AÇÕES]],'Classificação B3'!A:F,6,0)</f>
        <v/>
      </c>
      <c r="F70" s="60">
        <f>VLOOKUP(Table_1[[#This Row],[AÇÕES]],'Classificação B3'!A:G,7,0)</f>
        <v/>
      </c>
      <c r="G70" s="61">
        <f>VLOOKUP(Table_1[[#This Row],[AÇÕES]],'Dados Status Invest'!A:B,2,0)</f>
        <v/>
      </c>
      <c r="H70" s="62">
        <f>VLOOKUP(Table_1[[#This Row],[AÇÕES]],'Dados Status Invest'!A:C,3,0)/100</f>
        <v/>
      </c>
      <c r="I70" s="62">
        <f>VLOOKUP(Table_1[[#This Row],[AÇÕES]],'Dados Status Invest'!A:D,4,0)/100</f>
        <v/>
      </c>
      <c r="J70" s="63">
        <f>VLOOKUP(Table_1[[#This Row],[AÇÕES]],'Dados Status Invest'!A:AB,28,0)</f>
        <v/>
      </c>
      <c r="K70" s="63">
        <f>VLOOKUP(Table_1[[#This Row],[AÇÕES]],'Dados Status Invest'!A:AA,27,0)</f>
        <v/>
      </c>
      <c r="L70" s="63">
        <f>Table_1[[#This Row],[PREÇO]]*Table_1[[#This Row],[DY]]</f>
        <v/>
      </c>
      <c r="M70" s="62">
        <f>$E$13</f>
        <v/>
      </c>
      <c r="N70" s="62" t="n">
        <v>0.3</v>
      </c>
      <c r="O70" s="62">
        <f>Table_1[[#This Row],[DPA]]/Table_1[[#This Row],[LPA]]</f>
        <v/>
      </c>
      <c r="P70" s="62">
        <f>IF(Table_1[[#This Row],[PAYOUT]]&lt;=40%,"CRESCIMENTO",IF(Table_1[[#This Row],[PAYOUT]]&lt;=60%,"INDEFINIDO","DIVIDENDOS"))</f>
        <v/>
      </c>
      <c r="Q70" s="62">
        <f>VLOOKUP(Table_1[[#This Row],[AÇÕES]],'Dados Status Invest'!A:R,18,0)/100</f>
        <v/>
      </c>
      <c r="R70" s="62">
        <f>VLOOKUP(Table_1[[#This Row],[AÇÕES]],'Dados Status Invest'!A:Y,25,0)/100</f>
        <v/>
      </c>
      <c r="S70" s="62">
        <f>(1-Table_1[[#This Row],[PAYOUT]])*Table_1[[#This Row],[ROE]]</f>
        <v/>
      </c>
      <c r="T70" s="98">
        <f>AVERAGE(Table_1[[#This Row],[CAGR LUCRO 5A]],Table_1[[#This Row],[CRESCIMENTO DAMODARAN]])</f>
        <v/>
      </c>
      <c r="U70" s="64">
        <f>(Table_1[[#This Row],[PREÇO JUSTO BAZIN]]-Table_1[[#This Row],[PREÇO]])/Table_1[[#This Row],[PREÇO JUSTO BAZIN]]</f>
        <v/>
      </c>
      <c r="V70" s="129">
        <f>Table_1[[#This Row],[DPA]]/6%</f>
        <v/>
      </c>
      <c r="W70" s="129">
        <f>Table_1[[#This Row],[PREÇO JUSTO BAZIN]]/(1+Table_1[[#This Row],[MARGEM DE DESCONTO]])</f>
        <v/>
      </c>
      <c r="X70" s="64">
        <f>(Table_1[[#This Row],[PREÇO JUSTO GRAHAM]]-Table_1[[#This Row],[PREÇO]])/Table_1[[#This Row],[PREÇO JUSTO GRAHAM]]</f>
        <v/>
      </c>
      <c r="Y70" s="129">
        <f>(22.5*Table_1[[#This Row],[LPA]]*Table_1[[#This Row],[VPA]])^0.5</f>
        <v/>
      </c>
      <c r="Z70" s="129">
        <f>Table_1[[#This Row],[PREÇO JUSTO GRAHAM]]/(1+Table_1[[#This Row],[MARGEM DE DESCONTO]])</f>
        <v/>
      </c>
      <c r="AA70" s="64">
        <f>(Table_1[[#This Row],[PREÇO JUSTO GORDON]]-Table_1[[#This Row],[PREÇO]])/Table_1[[#This Row],[PREÇO JUSTO GORDON]]</f>
        <v/>
      </c>
      <c r="AB70" s="130">
        <f>Table_1[[#This Row],[DPA]]*(1+Table_1[[#This Row],[MÉDIA DE CRESCIMENTO]])</f>
        <v/>
      </c>
      <c r="AC70" s="130">
        <f>Table_1[[#This Row],[D1]]/(Table_1[[#This Row],[RISCO]]-Table_1[[#This Row],[MÉDIA DE CRESCIMENTO]])</f>
        <v/>
      </c>
      <c r="AD70" s="130">
        <f>Table_1[[#This Row],[PREÇO JUSTO GORDON]]/(1+Table_1[[#This Row],[MARGEM DE DESCONTO]])</f>
        <v/>
      </c>
      <c r="AE70" s="78">
        <f>Table_1[[#This Row],[P/L]]/Table_1[[#This Row],[MÉDIA DE CRESCIMENTO]]</f>
        <v/>
      </c>
    </row>
    <row r="71" ht="15.75" customHeight="1">
      <c r="B71" s="77">
        <f>'Dados Status Invest'!A57</f>
        <v/>
      </c>
      <c r="C71" s="60">
        <f>VLOOKUP(Table_1[[#This Row],[AÇÕES]],'Classificação B3'!A:B,2,0)</f>
        <v/>
      </c>
      <c r="D71" s="60">
        <f>VLOOKUP(Table_1[[#This Row],[AÇÕES]],'Classificação B3'!A:D,4,0)</f>
        <v/>
      </c>
      <c r="E71" s="60">
        <f>VLOOKUP(Table_1[[#This Row],[AÇÕES]],'Classificação B3'!A:F,6,0)</f>
        <v/>
      </c>
      <c r="F71" s="60">
        <f>VLOOKUP(Table_1[[#This Row],[AÇÕES]],'Classificação B3'!A:G,7,0)</f>
        <v/>
      </c>
      <c r="G71" s="61">
        <f>VLOOKUP(Table_1[[#This Row],[AÇÕES]],'Dados Status Invest'!A:B,2,0)</f>
        <v/>
      </c>
      <c r="H71" s="62">
        <f>VLOOKUP(Table_1[[#This Row],[AÇÕES]],'Dados Status Invest'!A:C,3,0)/100</f>
        <v/>
      </c>
      <c r="I71" s="62">
        <f>VLOOKUP(Table_1[[#This Row],[AÇÕES]],'Dados Status Invest'!A:D,4,0)/100</f>
        <v/>
      </c>
      <c r="J71" s="63">
        <f>VLOOKUP(Table_1[[#This Row],[AÇÕES]],'Dados Status Invest'!A:AB,28,0)</f>
        <v/>
      </c>
      <c r="K71" s="63">
        <f>VLOOKUP(Table_1[[#This Row],[AÇÕES]],'Dados Status Invest'!A:AA,27,0)</f>
        <v/>
      </c>
      <c r="L71" s="63">
        <f>Table_1[[#This Row],[PREÇO]]*Table_1[[#This Row],[DY]]</f>
        <v/>
      </c>
      <c r="M71" s="62">
        <f>$E$13</f>
        <v/>
      </c>
      <c r="N71" s="62" t="n">
        <v>0.3</v>
      </c>
      <c r="O71" s="62">
        <f>Table_1[[#This Row],[DPA]]/Table_1[[#This Row],[LPA]]</f>
        <v/>
      </c>
      <c r="P71" s="62">
        <f>IF(Table_1[[#This Row],[PAYOUT]]&lt;=40%,"CRESCIMENTO",IF(Table_1[[#This Row],[PAYOUT]]&lt;=60%,"INDEFINIDO","DIVIDENDOS"))</f>
        <v/>
      </c>
      <c r="Q71" s="62">
        <f>VLOOKUP(Table_1[[#This Row],[AÇÕES]],'Dados Status Invest'!A:R,18,0)/100</f>
        <v/>
      </c>
      <c r="R71" s="62">
        <f>VLOOKUP(Table_1[[#This Row],[AÇÕES]],'Dados Status Invest'!A:Y,25,0)/100</f>
        <v/>
      </c>
      <c r="S71" s="62">
        <f>(1-Table_1[[#This Row],[PAYOUT]])*Table_1[[#This Row],[ROE]]</f>
        <v/>
      </c>
      <c r="T71" s="98">
        <f>AVERAGE(Table_1[[#This Row],[CAGR LUCRO 5A]],Table_1[[#This Row],[CRESCIMENTO DAMODARAN]])</f>
        <v/>
      </c>
      <c r="U71" s="64">
        <f>(Table_1[[#This Row],[PREÇO JUSTO BAZIN]]-Table_1[[#This Row],[PREÇO]])/Table_1[[#This Row],[PREÇO JUSTO BAZIN]]</f>
        <v/>
      </c>
      <c r="V71" s="129">
        <f>Table_1[[#This Row],[DPA]]/6%</f>
        <v/>
      </c>
      <c r="W71" s="129">
        <f>Table_1[[#This Row],[PREÇO JUSTO BAZIN]]/(1+Table_1[[#This Row],[MARGEM DE DESCONTO]])</f>
        <v/>
      </c>
      <c r="X71" s="64">
        <f>(Table_1[[#This Row],[PREÇO JUSTO GRAHAM]]-Table_1[[#This Row],[PREÇO]])/Table_1[[#This Row],[PREÇO JUSTO GRAHAM]]</f>
        <v/>
      </c>
      <c r="Y71" s="129">
        <f>(22.5*Table_1[[#This Row],[LPA]]*Table_1[[#This Row],[VPA]])^0.5</f>
        <v/>
      </c>
      <c r="Z71" s="129">
        <f>Table_1[[#This Row],[PREÇO JUSTO GRAHAM]]/(1+Table_1[[#This Row],[MARGEM DE DESCONTO]])</f>
        <v/>
      </c>
      <c r="AA71" s="64">
        <f>(Table_1[[#This Row],[PREÇO JUSTO GORDON]]-Table_1[[#This Row],[PREÇO]])/Table_1[[#This Row],[PREÇO JUSTO GORDON]]</f>
        <v/>
      </c>
      <c r="AB71" s="130">
        <f>Table_1[[#This Row],[DPA]]*(1+Table_1[[#This Row],[MÉDIA DE CRESCIMENTO]])</f>
        <v/>
      </c>
      <c r="AC71" s="130">
        <f>Table_1[[#This Row],[D1]]/(Table_1[[#This Row],[RISCO]]-Table_1[[#This Row],[MÉDIA DE CRESCIMENTO]])</f>
        <v/>
      </c>
      <c r="AD71" s="130">
        <f>Table_1[[#This Row],[PREÇO JUSTO GORDON]]/(1+Table_1[[#This Row],[MARGEM DE DESCONTO]])</f>
        <v/>
      </c>
      <c r="AE71" s="78">
        <f>Table_1[[#This Row],[P/L]]/Table_1[[#This Row],[MÉDIA DE CRESCIMENTO]]</f>
        <v/>
      </c>
    </row>
    <row r="72" ht="15.75" customHeight="1">
      <c r="B72" s="77">
        <f>'Dados Status Invest'!A58</f>
        <v/>
      </c>
      <c r="C72" s="60">
        <f>VLOOKUP(Table_1[[#This Row],[AÇÕES]],'Classificação B3'!A:B,2,0)</f>
        <v/>
      </c>
      <c r="D72" s="60">
        <f>VLOOKUP(Table_1[[#This Row],[AÇÕES]],'Classificação B3'!A:D,4,0)</f>
        <v/>
      </c>
      <c r="E72" s="60">
        <f>VLOOKUP(Table_1[[#This Row],[AÇÕES]],'Classificação B3'!A:F,6,0)</f>
        <v/>
      </c>
      <c r="F72" s="60">
        <f>VLOOKUP(Table_1[[#This Row],[AÇÕES]],'Classificação B3'!A:G,7,0)</f>
        <v/>
      </c>
      <c r="G72" s="61">
        <f>VLOOKUP(Table_1[[#This Row],[AÇÕES]],'Dados Status Invest'!A:B,2,0)</f>
        <v/>
      </c>
      <c r="H72" s="62">
        <f>VLOOKUP(Table_1[[#This Row],[AÇÕES]],'Dados Status Invest'!A:C,3,0)/100</f>
        <v/>
      </c>
      <c r="I72" s="62">
        <f>VLOOKUP(Table_1[[#This Row],[AÇÕES]],'Dados Status Invest'!A:D,4,0)/100</f>
        <v/>
      </c>
      <c r="J72" s="63">
        <f>VLOOKUP(Table_1[[#This Row],[AÇÕES]],'Dados Status Invest'!A:AB,28,0)</f>
        <v/>
      </c>
      <c r="K72" s="63">
        <f>VLOOKUP(Table_1[[#This Row],[AÇÕES]],'Dados Status Invest'!A:AA,27,0)</f>
        <v/>
      </c>
      <c r="L72" s="63">
        <f>Table_1[[#This Row],[PREÇO]]*Table_1[[#This Row],[DY]]</f>
        <v/>
      </c>
      <c r="M72" s="62">
        <f>$E$13</f>
        <v/>
      </c>
      <c r="N72" s="62" t="n">
        <v>0.3</v>
      </c>
      <c r="O72" s="62">
        <f>Table_1[[#This Row],[DPA]]/Table_1[[#This Row],[LPA]]</f>
        <v/>
      </c>
      <c r="P72" s="62">
        <f>IF(Table_1[[#This Row],[PAYOUT]]&lt;=40%,"CRESCIMENTO",IF(Table_1[[#This Row],[PAYOUT]]&lt;=60%,"INDEFINIDO","DIVIDENDOS"))</f>
        <v/>
      </c>
      <c r="Q72" s="62">
        <f>VLOOKUP(Table_1[[#This Row],[AÇÕES]],'Dados Status Invest'!A:R,18,0)/100</f>
        <v/>
      </c>
      <c r="R72" s="62">
        <f>VLOOKUP(Table_1[[#This Row],[AÇÕES]],'Dados Status Invest'!A:Y,25,0)/100</f>
        <v/>
      </c>
      <c r="S72" s="62">
        <f>(1-Table_1[[#This Row],[PAYOUT]])*Table_1[[#This Row],[ROE]]</f>
        <v/>
      </c>
      <c r="T72" s="98">
        <f>AVERAGE(Table_1[[#This Row],[CAGR LUCRO 5A]],Table_1[[#This Row],[CRESCIMENTO DAMODARAN]])</f>
        <v/>
      </c>
      <c r="U72" s="64">
        <f>(Table_1[[#This Row],[PREÇO JUSTO BAZIN]]-Table_1[[#This Row],[PREÇO]])/Table_1[[#This Row],[PREÇO JUSTO BAZIN]]</f>
        <v/>
      </c>
      <c r="V72" s="129">
        <f>Table_1[[#This Row],[DPA]]/6%</f>
        <v/>
      </c>
      <c r="W72" s="129">
        <f>Table_1[[#This Row],[PREÇO JUSTO BAZIN]]/(1+Table_1[[#This Row],[MARGEM DE DESCONTO]])</f>
        <v/>
      </c>
      <c r="X72" s="64">
        <f>(Table_1[[#This Row],[PREÇO JUSTO GRAHAM]]-Table_1[[#This Row],[PREÇO]])/Table_1[[#This Row],[PREÇO JUSTO GRAHAM]]</f>
        <v/>
      </c>
      <c r="Y72" s="129">
        <f>(22.5*Table_1[[#This Row],[LPA]]*Table_1[[#This Row],[VPA]])^0.5</f>
        <v/>
      </c>
      <c r="Z72" s="129">
        <f>Table_1[[#This Row],[PREÇO JUSTO GRAHAM]]/(1+Table_1[[#This Row],[MARGEM DE DESCONTO]])</f>
        <v/>
      </c>
      <c r="AA72" s="64">
        <f>(Table_1[[#This Row],[PREÇO JUSTO GORDON]]-Table_1[[#This Row],[PREÇO]])/Table_1[[#This Row],[PREÇO JUSTO GORDON]]</f>
        <v/>
      </c>
      <c r="AB72" s="130">
        <f>Table_1[[#This Row],[DPA]]*(1+Table_1[[#This Row],[MÉDIA DE CRESCIMENTO]])</f>
        <v/>
      </c>
      <c r="AC72" s="130">
        <f>Table_1[[#This Row],[D1]]/(Table_1[[#This Row],[RISCO]]-Table_1[[#This Row],[MÉDIA DE CRESCIMENTO]])</f>
        <v/>
      </c>
      <c r="AD72" s="130">
        <f>Table_1[[#This Row],[PREÇO JUSTO GORDON]]/(1+Table_1[[#This Row],[MARGEM DE DESCONTO]])</f>
        <v/>
      </c>
      <c r="AE72" s="78">
        <f>Table_1[[#This Row],[P/L]]/Table_1[[#This Row],[MÉDIA DE CRESCIMENTO]]</f>
        <v/>
      </c>
    </row>
    <row r="73" ht="15.75" customHeight="1">
      <c r="B73" s="77">
        <f>'Dados Status Invest'!A59</f>
        <v/>
      </c>
      <c r="C73" s="60">
        <f>VLOOKUP(Table_1[[#This Row],[AÇÕES]],'Classificação B3'!A:B,2,0)</f>
        <v/>
      </c>
      <c r="D73" s="60">
        <f>VLOOKUP(Table_1[[#This Row],[AÇÕES]],'Classificação B3'!A:D,4,0)</f>
        <v/>
      </c>
      <c r="E73" s="60">
        <f>VLOOKUP(Table_1[[#This Row],[AÇÕES]],'Classificação B3'!A:F,6,0)</f>
        <v/>
      </c>
      <c r="F73" s="60">
        <f>VLOOKUP(Table_1[[#This Row],[AÇÕES]],'Classificação B3'!A:G,7,0)</f>
        <v/>
      </c>
      <c r="G73" s="61">
        <f>VLOOKUP(Table_1[[#This Row],[AÇÕES]],'Dados Status Invest'!A:B,2,0)</f>
        <v/>
      </c>
      <c r="H73" s="62">
        <f>VLOOKUP(Table_1[[#This Row],[AÇÕES]],'Dados Status Invest'!A:C,3,0)/100</f>
        <v/>
      </c>
      <c r="I73" s="62">
        <f>VLOOKUP(Table_1[[#This Row],[AÇÕES]],'Dados Status Invest'!A:D,4,0)/100</f>
        <v/>
      </c>
      <c r="J73" s="63">
        <f>VLOOKUP(Table_1[[#This Row],[AÇÕES]],'Dados Status Invest'!A:AB,28,0)</f>
        <v/>
      </c>
      <c r="K73" s="63">
        <f>VLOOKUP(Table_1[[#This Row],[AÇÕES]],'Dados Status Invest'!A:AA,27,0)</f>
        <v/>
      </c>
      <c r="L73" s="63">
        <f>Table_1[[#This Row],[PREÇO]]*Table_1[[#This Row],[DY]]</f>
        <v/>
      </c>
      <c r="M73" s="62">
        <f>$E$13</f>
        <v/>
      </c>
      <c r="N73" s="62" t="n">
        <v>0.3</v>
      </c>
      <c r="O73" s="62">
        <f>Table_1[[#This Row],[DPA]]/Table_1[[#This Row],[LPA]]</f>
        <v/>
      </c>
      <c r="P73" s="62">
        <f>IF(Table_1[[#This Row],[PAYOUT]]&lt;=40%,"CRESCIMENTO",IF(Table_1[[#This Row],[PAYOUT]]&lt;=60%,"INDEFINIDO","DIVIDENDOS"))</f>
        <v/>
      </c>
      <c r="Q73" s="62">
        <f>VLOOKUP(Table_1[[#This Row],[AÇÕES]],'Dados Status Invest'!A:R,18,0)/100</f>
        <v/>
      </c>
      <c r="R73" s="62">
        <f>VLOOKUP(Table_1[[#This Row],[AÇÕES]],'Dados Status Invest'!A:Y,25,0)/100</f>
        <v/>
      </c>
      <c r="S73" s="62">
        <f>(1-Table_1[[#This Row],[PAYOUT]])*Table_1[[#This Row],[ROE]]</f>
        <v/>
      </c>
      <c r="T73" s="98">
        <f>AVERAGE(Table_1[[#This Row],[CAGR LUCRO 5A]],Table_1[[#This Row],[CRESCIMENTO DAMODARAN]])</f>
        <v/>
      </c>
      <c r="U73" s="64">
        <f>(Table_1[[#This Row],[PREÇO JUSTO BAZIN]]-Table_1[[#This Row],[PREÇO]])/Table_1[[#This Row],[PREÇO JUSTO BAZIN]]</f>
        <v/>
      </c>
      <c r="V73" s="129">
        <f>Table_1[[#This Row],[DPA]]/6%</f>
        <v/>
      </c>
      <c r="W73" s="129">
        <f>Table_1[[#This Row],[PREÇO JUSTO BAZIN]]/(1+Table_1[[#This Row],[MARGEM DE DESCONTO]])</f>
        <v/>
      </c>
      <c r="X73" s="64">
        <f>(Table_1[[#This Row],[PREÇO JUSTO GRAHAM]]-Table_1[[#This Row],[PREÇO]])/Table_1[[#This Row],[PREÇO JUSTO GRAHAM]]</f>
        <v/>
      </c>
      <c r="Y73" s="129">
        <f>(22.5*Table_1[[#This Row],[LPA]]*Table_1[[#This Row],[VPA]])^0.5</f>
        <v/>
      </c>
      <c r="Z73" s="129">
        <f>Table_1[[#This Row],[PREÇO JUSTO GRAHAM]]/(1+Table_1[[#This Row],[MARGEM DE DESCONTO]])</f>
        <v/>
      </c>
      <c r="AA73" s="64">
        <f>(Table_1[[#This Row],[PREÇO JUSTO GORDON]]-Table_1[[#This Row],[PREÇO]])/Table_1[[#This Row],[PREÇO JUSTO GORDON]]</f>
        <v/>
      </c>
      <c r="AB73" s="130">
        <f>Table_1[[#This Row],[DPA]]*(1+Table_1[[#This Row],[MÉDIA DE CRESCIMENTO]])</f>
        <v/>
      </c>
      <c r="AC73" s="130">
        <f>Table_1[[#This Row],[D1]]/(Table_1[[#This Row],[RISCO]]-Table_1[[#This Row],[MÉDIA DE CRESCIMENTO]])</f>
        <v/>
      </c>
      <c r="AD73" s="130">
        <f>Table_1[[#This Row],[PREÇO JUSTO GORDON]]/(1+Table_1[[#This Row],[MARGEM DE DESCONTO]])</f>
        <v/>
      </c>
      <c r="AE73" s="78">
        <f>Table_1[[#This Row],[P/L]]/Table_1[[#This Row],[MÉDIA DE CRESCIMENTO]]</f>
        <v/>
      </c>
    </row>
    <row r="74" ht="15.75" customHeight="1">
      <c r="B74" s="77">
        <f>'Dados Status Invest'!A60</f>
        <v/>
      </c>
      <c r="C74" s="60">
        <f>VLOOKUP(Table_1[[#This Row],[AÇÕES]],'Classificação B3'!A:B,2,0)</f>
        <v/>
      </c>
      <c r="D74" s="60">
        <f>VLOOKUP(Table_1[[#This Row],[AÇÕES]],'Classificação B3'!A:D,4,0)</f>
        <v/>
      </c>
      <c r="E74" s="60">
        <f>VLOOKUP(Table_1[[#This Row],[AÇÕES]],'Classificação B3'!A:F,6,0)</f>
        <v/>
      </c>
      <c r="F74" s="60">
        <f>VLOOKUP(Table_1[[#This Row],[AÇÕES]],'Classificação B3'!A:G,7,0)</f>
        <v/>
      </c>
      <c r="G74" s="61">
        <f>VLOOKUP(Table_1[[#This Row],[AÇÕES]],'Dados Status Invest'!A:B,2,0)</f>
        <v/>
      </c>
      <c r="H74" s="62">
        <f>VLOOKUP(Table_1[[#This Row],[AÇÕES]],'Dados Status Invest'!A:C,3,0)/100</f>
        <v/>
      </c>
      <c r="I74" s="62">
        <f>VLOOKUP(Table_1[[#This Row],[AÇÕES]],'Dados Status Invest'!A:D,4,0)/100</f>
        <v/>
      </c>
      <c r="J74" s="63">
        <f>VLOOKUP(Table_1[[#This Row],[AÇÕES]],'Dados Status Invest'!A:AB,28,0)</f>
        <v/>
      </c>
      <c r="K74" s="63">
        <f>VLOOKUP(Table_1[[#This Row],[AÇÕES]],'Dados Status Invest'!A:AA,27,0)</f>
        <v/>
      </c>
      <c r="L74" s="63">
        <f>Table_1[[#This Row],[PREÇO]]*Table_1[[#This Row],[DY]]</f>
        <v/>
      </c>
      <c r="M74" s="62">
        <f>$E$13</f>
        <v/>
      </c>
      <c r="N74" s="62" t="n">
        <v>0.3</v>
      </c>
      <c r="O74" s="62">
        <f>Table_1[[#This Row],[DPA]]/Table_1[[#This Row],[LPA]]</f>
        <v/>
      </c>
      <c r="P74" s="62">
        <f>IF(Table_1[[#This Row],[PAYOUT]]&lt;=40%,"CRESCIMENTO",IF(Table_1[[#This Row],[PAYOUT]]&lt;=60%,"INDEFINIDO","DIVIDENDOS"))</f>
        <v/>
      </c>
      <c r="Q74" s="62">
        <f>VLOOKUP(Table_1[[#This Row],[AÇÕES]],'Dados Status Invest'!A:R,18,0)/100</f>
        <v/>
      </c>
      <c r="R74" s="62">
        <f>VLOOKUP(Table_1[[#This Row],[AÇÕES]],'Dados Status Invest'!A:Y,25,0)/100</f>
        <v/>
      </c>
      <c r="S74" s="62">
        <f>(1-Table_1[[#This Row],[PAYOUT]])*Table_1[[#This Row],[ROE]]</f>
        <v/>
      </c>
      <c r="T74" s="98">
        <f>AVERAGE(Table_1[[#This Row],[CAGR LUCRO 5A]],Table_1[[#This Row],[CRESCIMENTO DAMODARAN]])</f>
        <v/>
      </c>
      <c r="U74" s="64">
        <f>(Table_1[[#This Row],[PREÇO JUSTO BAZIN]]-Table_1[[#This Row],[PREÇO]])/Table_1[[#This Row],[PREÇO JUSTO BAZIN]]</f>
        <v/>
      </c>
      <c r="V74" s="129">
        <f>Table_1[[#This Row],[DPA]]/6%</f>
        <v/>
      </c>
      <c r="W74" s="129">
        <f>Table_1[[#This Row],[PREÇO JUSTO BAZIN]]/(1+Table_1[[#This Row],[MARGEM DE DESCONTO]])</f>
        <v/>
      </c>
      <c r="X74" s="64">
        <f>(Table_1[[#This Row],[PREÇO JUSTO GRAHAM]]-Table_1[[#This Row],[PREÇO]])/Table_1[[#This Row],[PREÇO JUSTO GRAHAM]]</f>
        <v/>
      </c>
      <c r="Y74" s="129">
        <f>(22.5*Table_1[[#This Row],[LPA]]*Table_1[[#This Row],[VPA]])^0.5</f>
        <v/>
      </c>
      <c r="Z74" s="129">
        <f>Table_1[[#This Row],[PREÇO JUSTO GRAHAM]]/(1+Table_1[[#This Row],[MARGEM DE DESCONTO]])</f>
        <v/>
      </c>
      <c r="AA74" s="64">
        <f>(Table_1[[#This Row],[PREÇO JUSTO GORDON]]-Table_1[[#This Row],[PREÇO]])/Table_1[[#This Row],[PREÇO JUSTO GORDON]]</f>
        <v/>
      </c>
      <c r="AB74" s="130">
        <f>Table_1[[#This Row],[DPA]]*(1+Table_1[[#This Row],[MÉDIA DE CRESCIMENTO]])</f>
        <v/>
      </c>
      <c r="AC74" s="130">
        <f>Table_1[[#This Row],[D1]]/(Table_1[[#This Row],[RISCO]]-Table_1[[#This Row],[MÉDIA DE CRESCIMENTO]])</f>
        <v/>
      </c>
      <c r="AD74" s="130">
        <f>Table_1[[#This Row],[PREÇO JUSTO GORDON]]/(1+Table_1[[#This Row],[MARGEM DE DESCONTO]])</f>
        <v/>
      </c>
      <c r="AE74" s="78">
        <f>Table_1[[#This Row],[P/L]]/Table_1[[#This Row],[MÉDIA DE CRESCIMENTO]]</f>
        <v/>
      </c>
    </row>
    <row r="75" ht="15.75" customHeight="1">
      <c r="B75" s="77">
        <f>'Dados Status Invest'!A61</f>
        <v/>
      </c>
      <c r="C75" s="60">
        <f>VLOOKUP(Table_1[[#This Row],[AÇÕES]],'Classificação B3'!A:B,2,0)</f>
        <v/>
      </c>
      <c r="D75" s="60">
        <f>VLOOKUP(Table_1[[#This Row],[AÇÕES]],'Classificação B3'!A:D,4,0)</f>
        <v/>
      </c>
      <c r="E75" s="60">
        <f>VLOOKUP(Table_1[[#This Row],[AÇÕES]],'Classificação B3'!A:F,6,0)</f>
        <v/>
      </c>
      <c r="F75" s="60">
        <f>VLOOKUP(Table_1[[#This Row],[AÇÕES]],'Classificação B3'!A:G,7,0)</f>
        <v/>
      </c>
      <c r="G75" s="61">
        <f>VLOOKUP(Table_1[[#This Row],[AÇÕES]],'Dados Status Invest'!A:B,2,0)</f>
        <v/>
      </c>
      <c r="H75" s="62">
        <f>VLOOKUP(Table_1[[#This Row],[AÇÕES]],'Dados Status Invest'!A:C,3,0)/100</f>
        <v/>
      </c>
      <c r="I75" s="62">
        <f>VLOOKUP(Table_1[[#This Row],[AÇÕES]],'Dados Status Invest'!A:D,4,0)/100</f>
        <v/>
      </c>
      <c r="J75" s="63">
        <f>VLOOKUP(Table_1[[#This Row],[AÇÕES]],'Dados Status Invest'!A:AB,28,0)</f>
        <v/>
      </c>
      <c r="K75" s="63">
        <f>VLOOKUP(Table_1[[#This Row],[AÇÕES]],'Dados Status Invest'!A:AA,27,0)</f>
        <v/>
      </c>
      <c r="L75" s="63">
        <f>Table_1[[#This Row],[PREÇO]]*Table_1[[#This Row],[DY]]</f>
        <v/>
      </c>
      <c r="M75" s="62">
        <f>$E$13</f>
        <v/>
      </c>
      <c r="N75" s="62" t="n">
        <v>0.3</v>
      </c>
      <c r="O75" s="62">
        <f>Table_1[[#This Row],[DPA]]/Table_1[[#This Row],[LPA]]</f>
        <v/>
      </c>
      <c r="P75" s="62">
        <f>IF(Table_1[[#This Row],[PAYOUT]]&lt;=40%,"CRESCIMENTO",IF(Table_1[[#This Row],[PAYOUT]]&lt;=60%,"INDEFINIDO","DIVIDENDOS"))</f>
        <v/>
      </c>
      <c r="Q75" s="62">
        <f>VLOOKUP(Table_1[[#This Row],[AÇÕES]],'Dados Status Invest'!A:R,18,0)/100</f>
        <v/>
      </c>
      <c r="R75" s="62">
        <f>VLOOKUP(Table_1[[#This Row],[AÇÕES]],'Dados Status Invest'!A:Y,25,0)/100</f>
        <v/>
      </c>
      <c r="S75" s="62">
        <f>(1-Table_1[[#This Row],[PAYOUT]])*Table_1[[#This Row],[ROE]]</f>
        <v/>
      </c>
      <c r="T75" s="98">
        <f>AVERAGE(Table_1[[#This Row],[CAGR LUCRO 5A]],Table_1[[#This Row],[CRESCIMENTO DAMODARAN]])</f>
        <v/>
      </c>
      <c r="U75" s="64">
        <f>(Table_1[[#This Row],[PREÇO JUSTO BAZIN]]-Table_1[[#This Row],[PREÇO]])/Table_1[[#This Row],[PREÇO JUSTO BAZIN]]</f>
        <v/>
      </c>
      <c r="V75" s="129">
        <f>Table_1[[#This Row],[DPA]]/6%</f>
        <v/>
      </c>
      <c r="W75" s="129">
        <f>Table_1[[#This Row],[PREÇO JUSTO BAZIN]]/(1+Table_1[[#This Row],[MARGEM DE DESCONTO]])</f>
        <v/>
      </c>
      <c r="X75" s="64">
        <f>(Table_1[[#This Row],[PREÇO JUSTO GRAHAM]]-Table_1[[#This Row],[PREÇO]])/Table_1[[#This Row],[PREÇO JUSTO GRAHAM]]</f>
        <v/>
      </c>
      <c r="Y75" s="129">
        <f>(22.5*Table_1[[#This Row],[LPA]]*Table_1[[#This Row],[VPA]])^0.5</f>
        <v/>
      </c>
      <c r="Z75" s="129">
        <f>Table_1[[#This Row],[PREÇO JUSTO GRAHAM]]/(1+Table_1[[#This Row],[MARGEM DE DESCONTO]])</f>
        <v/>
      </c>
      <c r="AA75" s="64">
        <f>(Table_1[[#This Row],[PREÇO JUSTO GORDON]]-Table_1[[#This Row],[PREÇO]])/Table_1[[#This Row],[PREÇO JUSTO GORDON]]</f>
        <v/>
      </c>
      <c r="AB75" s="130">
        <f>Table_1[[#This Row],[DPA]]*(1+Table_1[[#This Row],[MÉDIA DE CRESCIMENTO]])</f>
        <v/>
      </c>
      <c r="AC75" s="130">
        <f>Table_1[[#This Row],[D1]]/(Table_1[[#This Row],[RISCO]]-Table_1[[#This Row],[MÉDIA DE CRESCIMENTO]])</f>
        <v/>
      </c>
      <c r="AD75" s="130">
        <f>Table_1[[#This Row],[PREÇO JUSTO GORDON]]/(1+Table_1[[#This Row],[MARGEM DE DESCONTO]])</f>
        <v/>
      </c>
      <c r="AE75" s="78">
        <f>Table_1[[#This Row],[P/L]]/Table_1[[#This Row],[MÉDIA DE CRESCIMENTO]]</f>
        <v/>
      </c>
    </row>
    <row r="76" ht="15.75" customHeight="1">
      <c r="B76" s="77">
        <f>'Dados Status Invest'!A62</f>
        <v/>
      </c>
      <c r="C76" s="60">
        <f>VLOOKUP(Table_1[[#This Row],[AÇÕES]],'Classificação B3'!A:B,2,0)</f>
        <v/>
      </c>
      <c r="D76" s="60">
        <f>VLOOKUP(Table_1[[#This Row],[AÇÕES]],'Classificação B3'!A:D,4,0)</f>
        <v/>
      </c>
      <c r="E76" s="60">
        <f>VLOOKUP(Table_1[[#This Row],[AÇÕES]],'Classificação B3'!A:F,6,0)</f>
        <v/>
      </c>
      <c r="F76" s="60">
        <f>VLOOKUP(Table_1[[#This Row],[AÇÕES]],'Classificação B3'!A:G,7,0)</f>
        <v/>
      </c>
      <c r="G76" s="61">
        <f>VLOOKUP(Table_1[[#This Row],[AÇÕES]],'Dados Status Invest'!A:B,2,0)</f>
        <v/>
      </c>
      <c r="H76" s="62">
        <f>VLOOKUP(Table_1[[#This Row],[AÇÕES]],'Dados Status Invest'!A:C,3,0)/100</f>
        <v/>
      </c>
      <c r="I76" s="62">
        <f>VLOOKUP(Table_1[[#This Row],[AÇÕES]],'Dados Status Invest'!A:D,4,0)/100</f>
        <v/>
      </c>
      <c r="J76" s="63">
        <f>VLOOKUP(Table_1[[#This Row],[AÇÕES]],'Dados Status Invest'!A:AB,28,0)</f>
        <v/>
      </c>
      <c r="K76" s="63">
        <f>VLOOKUP(Table_1[[#This Row],[AÇÕES]],'Dados Status Invest'!A:AA,27,0)</f>
        <v/>
      </c>
      <c r="L76" s="63">
        <f>Table_1[[#This Row],[PREÇO]]*Table_1[[#This Row],[DY]]</f>
        <v/>
      </c>
      <c r="M76" s="62">
        <f>$E$13</f>
        <v/>
      </c>
      <c r="N76" s="62" t="n">
        <v>0.3</v>
      </c>
      <c r="O76" s="62">
        <f>Table_1[[#This Row],[DPA]]/Table_1[[#This Row],[LPA]]</f>
        <v/>
      </c>
      <c r="P76" s="62">
        <f>IF(Table_1[[#This Row],[PAYOUT]]&lt;=40%,"CRESCIMENTO",IF(Table_1[[#This Row],[PAYOUT]]&lt;=60%,"INDEFINIDO","DIVIDENDOS"))</f>
        <v/>
      </c>
      <c r="Q76" s="62">
        <f>VLOOKUP(Table_1[[#This Row],[AÇÕES]],'Dados Status Invest'!A:R,18,0)/100</f>
        <v/>
      </c>
      <c r="R76" s="62">
        <f>VLOOKUP(Table_1[[#This Row],[AÇÕES]],'Dados Status Invest'!A:Y,25,0)/100</f>
        <v/>
      </c>
      <c r="S76" s="62">
        <f>(1-Table_1[[#This Row],[PAYOUT]])*Table_1[[#This Row],[ROE]]</f>
        <v/>
      </c>
      <c r="T76" s="98">
        <f>AVERAGE(Table_1[[#This Row],[CAGR LUCRO 5A]],Table_1[[#This Row],[CRESCIMENTO DAMODARAN]])</f>
        <v/>
      </c>
      <c r="U76" s="64">
        <f>(Table_1[[#This Row],[PREÇO JUSTO BAZIN]]-Table_1[[#This Row],[PREÇO]])/Table_1[[#This Row],[PREÇO JUSTO BAZIN]]</f>
        <v/>
      </c>
      <c r="V76" s="129">
        <f>Table_1[[#This Row],[DPA]]/6%</f>
        <v/>
      </c>
      <c r="W76" s="129">
        <f>Table_1[[#This Row],[PREÇO JUSTO BAZIN]]/(1+Table_1[[#This Row],[MARGEM DE DESCONTO]])</f>
        <v/>
      </c>
      <c r="X76" s="64">
        <f>(Table_1[[#This Row],[PREÇO JUSTO GRAHAM]]-Table_1[[#This Row],[PREÇO]])/Table_1[[#This Row],[PREÇO JUSTO GRAHAM]]</f>
        <v/>
      </c>
      <c r="Y76" s="129">
        <f>(22.5*Table_1[[#This Row],[LPA]]*Table_1[[#This Row],[VPA]])^0.5</f>
        <v/>
      </c>
      <c r="Z76" s="129">
        <f>Table_1[[#This Row],[PREÇO JUSTO GRAHAM]]/(1+Table_1[[#This Row],[MARGEM DE DESCONTO]])</f>
        <v/>
      </c>
      <c r="AA76" s="64">
        <f>(Table_1[[#This Row],[PREÇO JUSTO GORDON]]-Table_1[[#This Row],[PREÇO]])/Table_1[[#This Row],[PREÇO JUSTO GORDON]]</f>
        <v/>
      </c>
      <c r="AB76" s="130">
        <f>Table_1[[#This Row],[DPA]]*(1+Table_1[[#This Row],[MÉDIA DE CRESCIMENTO]])</f>
        <v/>
      </c>
      <c r="AC76" s="130">
        <f>Table_1[[#This Row],[D1]]/(Table_1[[#This Row],[RISCO]]-Table_1[[#This Row],[MÉDIA DE CRESCIMENTO]])</f>
        <v/>
      </c>
      <c r="AD76" s="130">
        <f>Table_1[[#This Row],[PREÇO JUSTO GORDON]]/(1+Table_1[[#This Row],[MARGEM DE DESCONTO]])</f>
        <v/>
      </c>
      <c r="AE76" s="78">
        <f>Table_1[[#This Row],[P/L]]/Table_1[[#This Row],[MÉDIA DE CRESCIMENTO]]</f>
        <v/>
      </c>
    </row>
    <row r="77" ht="15.75" customHeight="1">
      <c r="B77" s="77">
        <f>'Dados Status Invest'!A63</f>
        <v/>
      </c>
      <c r="C77" s="60">
        <f>VLOOKUP(Table_1[[#This Row],[AÇÕES]],'Classificação B3'!A:B,2,0)</f>
        <v/>
      </c>
      <c r="D77" s="60">
        <f>VLOOKUP(Table_1[[#This Row],[AÇÕES]],'Classificação B3'!A:D,4,0)</f>
        <v/>
      </c>
      <c r="E77" s="60">
        <f>VLOOKUP(Table_1[[#This Row],[AÇÕES]],'Classificação B3'!A:F,6,0)</f>
        <v/>
      </c>
      <c r="F77" s="60">
        <f>VLOOKUP(Table_1[[#This Row],[AÇÕES]],'Classificação B3'!A:G,7,0)</f>
        <v/>
      </c>
      <c r="G77" s="61">
        <f>VLOOKUP(Table_1[[#This Row],[AÇÕES]],'Dados Status Invest'!A:B,2,0)</f>
        <v/>
      </c>
      <c r="H77" s="62">
        <f>VLOOKUP(Table_1[[#This Row],[AÇÕES]],'Dados Status Invest'!A:C,3,0)/100</f>
        <v/>
      </c>
      <c r="I77" s="62">
        <f>VLOOKUP(Table_1[[#This Row],[AÇÕES]],'Dados Status Invest'!A:D,4,0)/100</f>
        <v/>
      </c>
      <c r="J77" s="63">
        <f>VLOOKUP(Table_1[[#This Row],[AÇÕES]],'Dados Status Invest'!A:AB,28,0)</f>
        <v/>
      </c>
      <c r="K77" s="63">
        <f>VLOOKUP(Table_1[[#This Row],[AÇÕES]],'Dados Status Invest'!A:AA,27,0)</f>
        <v/>
      </c>
      <c r="L77" s="63">
        <f>Table_1[[#This Row],[PREÇO]]*Table_1[[#This Row],[DY]]</f>
        <v/>
      </c>
      <c r="M77" s="62">
        <f>$E$13</f>
        <v/>
      </c>
      <c r="N77" s="62" t="n">
        <v>0.3</v>
      </c>
      <c r="O77" s="62">
        <f>Table_1[[#This Row],[DPA]]/Table_1[[#This Row],[LPA]]</f>
        <v/>
      </c>
      <c r="P77" s="62">
        <f>IF(Table_1[[#This Row],[PAYOUT]]&lt;=40%,"CRESCIMENTO",IF(Table_1[[#This Row],[PAYOUT]]&lt;=60%,"INDEFINIDO","DIVIDENDOS"))</f>
        <v/>
      </c>
      <c r="Q77" s="62">
        <f>VLOOKUP(Table_1[[#This Row],[AÇÕES]],'Dados Status Invest'!A:R,18,0)/100</f>
        <v/>
      </c>
      <c r="R77" s="62">
        <f>VLOOKUP(Table_1[[#This Row],[AÇÕES]],'Dados Status Invest'!A:Y,25,0)/100</f>
        <v/>
      </c>
      <c r="S77" s="62">
        <f>(1-Table_1[[#This Row],[PAYOUT]])*Table_1[[#This Row],[ROE]]</f>
        <v/>
      </c>
      <c r="T77" s="98">
        <f>AVERAGE(Table_1[[#This Row],[CAGR LUCRO 5A]],Table_1[[#This Row],[CRESCIMENTO DAMODARAN]])</f>
        <v/>
      </c>
      <c r="U77" s="64">
        <f>(Table_1[[#This Row],[PREÇO JUSTO BAZIN]]-Table_1[[#This Row],[PREÇO]])/Table_1[[#This Row],[PREÇO JUSTO BAZIN]]</f>
        <v/>
      </c>
      <c r="V77" s="129">
        <f>Table_1[[#This Row],[DPA]]/6%</f>
        <v/>
      </c>
      <c r="W77" s="129">
        <f>Table_1[[#This Row],[PREÇO JUSTO BAZIN]]/(1+Table_1[[#This Row],[MARGEM DE DESCONTO]])</f>
        <v/>
      </c>
      <c r="X77" s="64">
        <f>(Table_1[[#This Row],[PREÇO JUSTO GRAHAM]]-Table_1[[#This Row],[PREÇO]])/Table_1[[#This Row],[PREÇO JUSTO GRAHAM]]</f>
        <v/>
      </c>
      <c r="Y77" s="129">
        <f>(22.5*Table_1[[#This Row],[LPA]]*Table_1[[#This Row],[VPA]])^0.5</f>
        <v/>
      </c>
      <c r="Z77" s="129">
        <f>Table_1[[#This Row],[PREÇO JUSTO GRAHAM]]/(1+Table_1[[#This Row],[MARGEM DE DESCONTO]])</f>
        <v/>
      </c>
      <c r="AA77" s="64">
        <f>(Table_1[[#This Row],[PREÇO JUSTO GORDON]]-Table_1[[#This Row],[PREÇO]])/Table_1[[#This Row],[PREÇO JUSTO GORDON]]</f>
        <v/>
      </c>
      <c r="AB77" s="130">
        <f>Table_1[[#This Row],[DPA]]*(1+Table_1[[#This Row],[MÉDIA DE CRESCIMENTO]])</f>
        <v/>
      </c>
      <c r="AC77" s="130">
        <f>Table_1[[#This Row],[D1]]/(Table_1[[#This Row],[RISCO]]-Table_1[[#This Row],[MÉDIA DE CRESCIMENTO]])</f>
        <v/>
      </c>
      <c r="AD77" s="130">
        <f>Table_1[[#This Row],[PREÇO JUSTO GORDON]]/(1+Table_1[[#This Row],[MARGEM DE DESCONTO]])</f>
        <v/>
      </c>
      <c r="AE77" s="78">
        <f>Table_1[[#This Row],[P/L]]/Table_1[[#This Row],[MÉDIA DE CRESCIMENTO]]</f>
        <v/>
      </c>
    </row>
    <row r="78" ht="15.75" customHeight="1">
      <c r="B78" s="77">
        <f>'Dados Status Invest'!A64</f>
        <v/>
      </c>
      <c r="C78" s="60">
        <f>VLOOKUP(Table_1[[#This Row],[AÇÕES]],'Classificação B3'!A:B,2,0)</f>
        <v/>
      </c>
      <c r="D78" s="60">
        <f>VLOOKUP(Table_1[[#This Row],[AÇÕES]],'Classificação B3'!A:D,4,0)</f>
        <v/>
      </c>
      <c r="E78" s="60">
        <f>VLOOKUP(Table_1[[#This Row],[AÇÕES]],'Classificação B3'!A:F,6,0)</f>
        <v/>
      </c>
      <c r="F78" s="60">
        <f>VLOOKUP(Table_1[[#This Row],[AÇÕES]],'Classificação B3'!A:G,7,0)</f>
        <v/>
      </c>
      <c r="G78" s="61">
        <f>VLOOKUP(Table_1[[#This Row],[AÇÕES]],'Dados Status Invest'!A:B,2,0)</f>
        <v/>
      </c>
      <c r="H78" s="62">
        <f>VLOOKUP(Table_1[[#This Row],[AÇÕES]],'Dados Status Invest'!A:C,3,0)/100</f>
        <v/>
      </c>
      <c r="I78" s="62">
        <f>VLOOKUP(Table_1[[#This Row],[AÇÕES]],'Dados Status Invest'!A:D,4,0)/100</f>
        <v/>
      </c>
      <c r="J78" s="63">
        <f>VLOOKUP(Table_1[[#This Row],[AÇÕES]],'Dados Status Invest'!A:AB,28,0)</f>
        <v/>
      </c>
      <c r="K78" s="63">
        <f>VLOOKUP(Table_1[[#This Row],[AÇÕES]],'Dados Status Invest'!A:AA,27,0)</f>
        <v/>
      </c>
      <c r="L78" s="63">
        <f>Table_1[[#This Row],[PREÇO]]*Table_1[[#This Row],[DY]]</f>
        <v/>
      </c>
      <c r="M78" s="62">
        <f>$E$13</f>
        <v/>
      </c>
      <c r="N78" s="62" t="n">
        <v>0.3</v>
      </c>
      <c r="O78" s="62">
        <f>Table_1[[#This Row],[DPA]]/Table_1[[#This Row],[LPA]]</f>
        <v/>
      </c>
      <c r="P78" s="62">
        <f>IF(Table_1[[#This Row],[PAYOUT]]&lt;=40%,"CRESCIMENTO",IF(Table_1[[#This Row],[PAYOUT]]&lt;=60%,"INDEFINIDO","DIVIDENDOS"))</f>
        <v/>
      </c>
      <c r="Q78" s="62">
        <f>VLOOKUP(Table_1[[#This Row],[AÇÕES]],'Dados Status Invest'!A:R,18,0)/100</f>
        <v/>
      </c>
      <c r="R78" s="62">
        <f>VLOOKUP(Table_1[[#This Row],[AÇÕES]],'Dados Status Invest'!A:Y,25,0)/100</f>
        <v/>
      </c>
      <c r="S78" s="62">
        <f>(1-Table_1[[#This Row],[PAYOUT]])*Table_1[[#This Row],[ROE]]</f>
        <v/>
      </c>
      <c r="T78" s="98">
        <f>AVERAGE(Table_1[[#This Row],[CAGR LUCRO 5A]],Table_1[[#This Row],[CRESCIMENTO DAMODARAN]])</f>
        <v/>
      </c>
      <c r="U78" s="64">
        <f>(Table_1[[#This Row],[PREÇO JUSTO BAZIN]]-Table_1[[#This Row],[PREÇO]])/Table_1[[#This Row],[PREÇO JUSTO BAZIN]]</f>
        <v/>
      </c>
      <c r="V78" s="129">
        <f>Table_1[[#This Row],[DPA]]/6%</f>
        <v/>
      </c>
      <c r="W78" s="129">
        <f>Table_1[[#This Row],[PREÇO JUSTO BAZIN]]/(1+Table_1[[#This Row],[MARGEM DE DESCONTO]])</f>
        <v/>
      </c>
      <c r="X78" s="64">
        <f>(Table_1[[#This Row],[PREÇO JUSTO GRAHAM]]-Table_1[[#This Row],[PREÇO]])/Table_1[[#This Row],[PREÇO JUSTO GRAHAM]]</f>
        <v/>
      </c>
      <c r="Y78" s="129">
        <f>(22.5*Table_1[[#This Row],[LPA]]*Table_1[[#This Row],[VPA]])^0.5</f>
        <v/>
      </c>
      <c r="Z78" s="129">
        <f>Table_1[[#This Row],[PREÇO JUSTO GRAHAM]]/(1+Table_1[[#This Row],[MARGEM DE DESCONTO]])</f>
        <v/>
      </c>
      <c r="AA78" s="64">
        <f>(Table_1[[#This Row],[PREÇO JUSTO GORDON]]-Table_1[[#This Row],[PREÇO]])/Table_1[[#This Row],[PREÇO JUSTO GORDON]]</f>
        <v/>
      </c>
      <c r="AB78" s="130">
        <f>Table_1[[#This Row],[DPA]]*(1+Table_1[[#This Row],[MÉDIA DE CRESCIMENTO]])</f>
        <v/>
      </c>
      <c r="AC78" s="130">
        <f>Table_1[[#This Row],[D1]]/(Table_1[[#This Row],[RISCO]]-Table_1[[#This Row],[MÉDIA DE CRESCIMENTO]])</f>
        <v/>
      </c>
      <c r="AD78" s="130">
        <f>Table_1[[#This Row],[PREÇO JUSTO GORDON]]/(1+Table_1[[#This Row],[MARGEM DE DESCONTO]])</f>
        <v/>
      </c>
      <c r="AE78" s="78">
        <f>Table_1[[#This Row],[P/L]]/Table_1[[#This Row],[MÉDIA DE CRESCIMENTO]]</f>
        <v/>
      </c>
    </row>
    <row r="79" ht="15.75" customHeight="1">
      <c r="B79" s="77">
        <f>'Dados Status Invest'!A65</f>
        <v/>
      </c>
      <c r="C79" s="60">
        <f>VLOOKUP(Table_1[[#This Row],[AÇÕES]],'Classificação B3'!A:B,2,0)</f>
        <v/>
      </c>
      <c r="D79" s="60">
        <f>VLOOKUP(Table_1[[#This Row],[AÇÕES]],'Classificação B3'!A:D,4,0)</f>
        <v/>
      </c>
      <c r="E79" s="60">
        <f>VLOOKUP(Table_1[[#This Row],[AÇÕES]],'Classificação B3'!A:F,6,0)</f>
        <v/>
      </c>
      <c r="F79" s="60">
        <f>VLOOKUP(Table_1[[#This Row],[AÇÕES]],'Classificação B3'!A:G,7,0)</f>
        <v/>
      </c>
      <c r="G79" s="61">
        <f>VLOOKUP(Table_1[[#This Row],[AÇÕES]],'Dados Status Invest'!A:B,2,0)</f>
        <v/>
      </c>
      <c r="H79" s="62">
        <f>VLOOKUP(Table_1[[#This Row],[AÇÕES]],'Dados Status Invest'!A:C,3,0)/100</f>
        <v/>
      </c>
      <c r="I79" s="62">
        <f>VLOOKUP(Table_1[[#This Row],[AÇÕES]],'Dados Status Invest'!A:D,4,0)/100</f>
        <v/>
      </c>
      <c r="J79" s="63">
        <f>VLOOKUP(Table_1[[#This Row],[AÇÕES]],'Dados Status Invest'!A:AB,28,0)</f>
        <v/>
      </c>
      <c r="K79" s="63">
        <f>VLOOKUP(Table_1[[#This Row],[AÇÕES]],'Dados Status Invest'!A:AA,27,0)</f>
        <v/>
      </c>
      <c r="L79" s="63">
        <f>Table_1[[#This Row],[PREÇO]]*Table_1[[#This Row],[DY]]</f>
        <v/>
      </c>
      <c r="M79" s="62">
        <f>$E$13</f>
        <v/>
      </c>
      <c r="N79" s="62" t="n">
        <v>0.3</v>
      </c>
      <c r="O79" s="62">
        <f>Table_1[[#This Row],[DPA]]/Table_1[[#This Row],[LPA]]</f>
        <v/>
      </c>
      <c r="P79" s="62">
        <f>IF(Table_1[[#This Row],[PAYOUT]]&lt;=40%,"CRESCIMENTO",IF(Table_1[[#This Row],[PAYOUT]]&lt;=60%,"INDEFINIDO","DIVIDENDOS"))</f>
        <v/>
      </c>
      <c r="Q79" s="62">
        <f>VLOOKUP(Table_1[[#This Row],[AÇÕES]],'Dados Status Invest'!A:R,18,0)/100</f>
        <v/>
      </c>
      <c r="R79" s="62">
        <f>VLOOKUP(Table_1[[#This Row],[AÇÕES]],'Dados Status Invest'!A:Y,25,0)/100</f>
        <v/>
      </c>
      <c r="S79" s="62">
        <f>(1-Table_1[[#This Row],[PAYOUT]])*Table_1[[#This Row],[ROE]]</f>
        <v/>
      </c>
      <c r="T79" s="98">
        <f>AVERAGE(Table_1[[#This Row],[CAGR LUCRO 5A]],Table_1[[#This Row],[CRESCIMENTO DAMODARAN]])</f>
        <v/>
      </c>
      <c r="U79" s="64">
        <f>(Table_1[[#This Row],[PREÇO JUSTO BAZIN]]-Table_1[[#This Row],[PREÇO]])/Table_1[[#This Row],[PREÇO JUSTO BAZIN]]</f>
        <v/>
      </c>
      <c r="V79" s="129">
        <f>Table_1[[#This Row],[DPA]]/6%</f>
        <v/>
      </c>
      <c r="W79" s="129">
        <f>Table_1[[#This Row],[PREÇO JUSTO BAZIN]]/(1+Table_1[[#This Row],[MARGEM DE DESCONTO]])</f>
        <v/>
      </c>
      <c r="X79" s="64">
        <f>(Table_1[[#This Row],[PREÇO JUSTO GRAHAM]]-Table_1[[#This Row],[PREÇO]])/Table_1[[#This Row],[PREÇO JUSTO GRAHAM]]</f>
        <v/>
      </c>
      <c r="Y79" s="129">
        <f>(22.5*Table_1[[#This Row],[LPA]]*Table_1[[#This Row],[VPA]])^0.5</f>
        <v/>
      </c>
      <c r="Z79" s="129">
        <f>Table_1[[#This Row],[PREÇO JUSTO GRAHAM]]/(1+Table_1[[#This Row],[MARGEM DE DESCONTO]])</f>
        <v/>
      </c>
      <c r="AA79" s="64">
        <f>(Table_1[[#This Row],[PREÇO JUSTO GORDON]]-Table_1[[#This Row],[PREÇO]])/Table_1[[#This Row],[PREÇO JUSTO GORDON]]</f>
        <v/>
      </c>
      <c r="AB79" s="130">
        <f>Table_1[[#This Row],[DPA]]*(1+Table_1[[#This Row],[MÉDIA DE CRESCIMENTO]])</f>
        <v/>
      </c>
      <c r="AC79" s="130">
        <f>Table_1[[#This Row],[D1]]/(Table_1[[#This Row],[RISCO]]-Table_1[[#This Row],[MÉDIA DE CRESCIMENTO]])</f>
        <v/>
      </c>
      <c r="AD79" s="130">
        <f>Table_1[[#This Row],[PREÇO JUSTO GORDON]]/(1+Table_1[[#This Row],[MARGEM DE DESCONTO]])</f>
        <v/>
      </c>
      <c r="AE79" s="78">
        <f>Table_1[[#This Row],[P/L]]/Table_1[[#This Row],[MÉDIA DE CRESCIMENTO]]</f>
        <v/>
      </c>
    </row>
    <row r="80" ht="15.75" customHeight="1">
      <c r="B80" s="77">
        <f>'Dados Status Invest'!A66</f>
        <v/>
      </c>
      <c r="C80" s="60">
        <f>VLOOKUP(Table_1[[#This Row],[AÇÕES]],'Classificação B3'!A:B,2,0)</f>
        <v/>
      </c>
      <c r="D80" s="60">
        <f>VLOOKUP(Table_1[[#This Row],[AÇÕES]],'Classificação B3'!A:D,4,0)</f>
        <v/>
      </c>
      <c r="E80" s="60">
        <f>VLOOKUP(Table_1[[#This Row],[AÇÕES]],'Classificação B3'!A:F,6,0)</f>
        <v/>
      </c>
      <c r="F80" s="60">
        <f>VLOOKUP(Table_1[[#This Row],[AÇÕES]],'Classificação B3'!A:G,7,0)</f>
        <v/>
      </c>
      <c r="G80" s="61">
        <f>VLOOKUP(Table_1[[#This Row],[AÇÕES]],'Dados Status Invest'!A:B,2,0)</f>
        <v/>
      </c>
      <c r="H80" s="62">
        <f>VLOOKUP(Table_1[[#This Row],[AÇÕES]],'Dados Status Invest'!A:C,3,0)/100</f>
        <v/>
      </c>
      <c r="I80" s="62">
        <f>VLOOKUP(Table_1[[#This Row],[AÇÕES]],'Dados Status Invest'!A:D,4,0)/100</f>
        <v/>
      </c>
      <c r="J80" s="63">
        <f>VLOOKUP(Table_1[[#This Row],[AÇÕES]],'Dados Status Invest'!A:AB,28,0)</f>
        <v/>
      </c>
      <c r="K80" s="63">
        <f>VLOOKUP(Table_1[[#This Row],[AÇÕES]],'Dados Status Invest'!A:AA,27,0)</f>
        <v/>
      </c>
      <c r="L80" s="63">
        <f>Table_1[[#This Row],[PREÇO]]*Table_1[[#This Row],[DY]]</f>
        <v/>
      </c>
      <c r="M80" s="62">
        <f>$E$13</f>
        <v/>
      </c>
      <c r="N80" s="62" t="n">
        <v>0.3</v>
      </c>
      <c r="O80" s="62">
        <f>Table_1[[#This Row],[DPA]]/Table_1[[#This Row],[LPA]]</f>
        <v/>
      </c>
      <c r="P80" s="62">
        <f>IF(Table_1[[#This Row],[PAYOUT]]&lt;=40%,"CRESCIMENTO",IF(Table_1[[#This Row],[PAYOUT]]&lt;=60%,"INDEFINIDO","DIVIDENDOS"))</f>
        <v/>
      </c>
      <c r="Q80" s="62">
        <f>VLOOKUP(Table_1[[#This Row],[AÇÕES]],'Dados Status Invest'!A:R,18,0)/100</f>
        <v/>
      </c>
      <c r="R80" s="62">
        <f>VLOOKUP(Table_1[[#This Row],[AÇÕES]],'Dados Status Invest'!A:Y,25,0)/100</f>
        <v/>
      </c>
      <c r="S80" s="62">
        <f>(1-Table_1[[#This Row],[PAYOUT]])*Table_1[[#This Row],[ROE]]</f>
        <v/>
      </c>
      <c r="T80" s="98">
        <f>AVERAGE(Table_1[[#This Row],[CAGR LUCRO 5A]],Table_1[[#This Row],[CRESCIMENTO DAMODARAN]])</f>
        <v/>
      </c>
      <c r="U80" s="64">
        <f>(Table_1[[#This Row],[PREÇO JUSTO BAZIN]]-Table_1[[#This Row],[PREÇO]])/Table_1[[#This Row],[PREÇO JUSTO BAZIN]]</f>
        <v/>
      </c>
      <c r="V80" s="129">
        <f>Table_1[[#This Row],[DPA]]/6%</f>
        <v/>
      </c>
      <c r="W80" s="129">
        <f>Table_1[[#This Row],[PREÇO JUSTO BAZIN]]/(1+Table_1[[#This Row],[MARGEM DE DESCONTO]])</f>
        <v/>
      </c>
      <c r="X80" s="64">
        <f>(Table_1[[#This Row],[PREÇO JUSTO GRAHAM]]-Table_1[[#This Row],[PREÇO]])/Table_1[[#This Row],[PREÇO JUSTO GRAHAM]]</f>
        <v/>
      </c>
      <c r="Y80" s="129">
        <f>(22.5*Table_1[[#This Row],[LPA]]*Table_1[[#This Row],[VPA]])^0.5</f>
        <v/>
      </c>
      <c r="Z80" s="129">
        <f>Table_1[[#This Row],[PREÇO JUSTO GRAHAM]]/(1+Table_1[[#This Row],[MARGEM DE DESCONTO]])</f>
        <v/>
      </c>
      <c r="AA80" s="64">
        <f>(Table_1[[#This Row],[PREÇO JUSTO GORDON]]-Table_1[[#This Row],[PREÇO]])/Table_1[[#This Row],[PREÇO JUSTO GORDON]]</f>
        <v/>
      </c>
      <c r="AB80" s="130">
        <f>Table_1[[#This Row],[DPA]]*(1+Table_1[[#This Row],[MÉDIA DE CRESCIMENTO]])</f>
        <v/>
      </c>
      <c r="AC80" s="130">
        <f>Table_1[[#This Row],[D1]]/(Table_1[[#This Row],[RISCO]]-Table_1[[#This Row],[MÉDIA DE CRESCIMENTO]])</f>
        <v/>
      </c>
      <c r="AD80" s="130">
        <f>Table_1[[#This Row],[PREÇO JUSTO GORDON]]/(1+Table_1[[#This Row],[MARGEM DE DESCONTO]])</f>
        <v/>
      </c>
      <c r="AE80" s="78">
        <f>Table_1[[#This Row],[P/L]]/Table_1[[#This Row],[MÉDIA DE CRESCIMENTO]]</f>
        <v/>
      </c>
    </row>
    <row r="81" ht="15.75" customHeight="1">
      <c r="B81" s="77">
        <f>'Dados Status Invest'!A67</f>
        <v/>
      </c>
      <c r="C81" s="60">
        <f>VLOOKUP(Table_1[[#This Row],[AÇÕES]],'Classificação B3'!A:B,2,0)</f>
        <v/>
      </c>
      <c r="D81" s="60">
        <f>VLOOKUP(Table_1[[#This Row],[AÇÕES]],'Classificação B3'!A:D,4,0)</f>
        <v/>
      </c>
      <c r="E81" s="60">
        <f>VLOOKUP(Table_1[[#This Row],[AÇÕES]],'Classificação B3'!A:F,6,0)</f>
        <v/>
      </c>
      <c r="F81" s="60">
        <f>VLOOKUP(Table_1[[#This Row],[AÇÕES]],'Classificação B3'!A:G,7,0)</f>
        <v/>
      </c>
      <c r="G81" s="61">
        <f>VLOOKUP(Table_1[[#This Row],[AÇÕES]],'Dados Status Invest'!A:B,2,0)</f>
        <v/>
      </c>
      <c r="H81" s="62">
        <f>VLOOKUP(Table_1[[#This Row],[AÇÕES]],'Dados Status Invest'!A:C,3,0)/100</f>
        <v/>
      </c>
      <c r="I81" s="62">
        <f>VLOOKUP(Table_1[[#This Row],[AÇÕES]],'Dados Status Invest'!A:D,4,0)/100</f>
        <v/>
      </c>
      <c r="J81" s="63">
        <f>VLOOKUP(Table_1[[#This Row],[AÇÕES]],'Dados Status Invest'!A:AB,28,0)</f>
        <v/>
      </c>
      <c r="K81" s="63">
        <f>VLOOKUP(Table_1[[#This Row],[AÇÕES]],'Dados Status Invest'!A:AA,27,0)</f>
        <v/>
      </c>
      <c r="L81" s="63">
        <f>Table_1[[#This Row],[PREÇO]]*Table_1[[#This Row],[DY]]</f>
        <v/>
      </c>
      <c r="M81" s="62">
        <f>$E$13</f>
        <v/>
      </c>
      <c r="N81" s="62" t="n">
        <v>0.3</v>
      </c>
      <c r="O81" s="62">
        <f>Table_1[[#This Row],[DPA]]/Table_1[[#This Row],[LPA]]</f>
        <v/>
      </c>
      <c r="P81" s="62">
        <f>IF(Table_1[[#This Row],[PAYOUT]]&lt;=40%,"CRESCIMENTO",IF(Table_1[[#This Row],[PAYOUT]]&lt;=60%,"INDEFINIDO","DIVIDENDOS"))</f>
        <v/>
      </c>
      <c r="Q81" s="62">
        <f>VLOOKUP(Table_1[[#This Row],[AÇÕES]],'Dados Status Invest'!A:R,18,0)/100</f>
        <v/>
      </c>
      <c r="R81" s="62">
        <f>VLOOKUP(Table_1[[#This Row],[AÇÕES]],'Dados Status Invest'!A:Y,25,0)/100</f>
        <v/>
      </c>
      <c r="S81" s="62">
        <f>(1-Table_1[[#This Row],[PAYOUT]])*Table_1[[#This Row],[ROE]]</f>
        <v/>
      </c>
      <c r="T81" s="98">
        <f>AVERAGE(Table_1[[#This Row],[CAGR LUCRO 5A]],Table_1[[#This Row],[CRESCIMENTO DAMODARAN]])</f>
        <v/>
      </c>
      <c r="U81" s="64">
        <f>(Table_1[[#This Row],[PREÇO JUSTO BAZIN]]-Table_1[[#This Row],[PREÇO]])/Table_1[[#This Row],[PREÇO JUSTO BAZIN]]</f>
        <v/>
      </c>
      <c r="V81" s="129">
        <f>Table_1[[#This Row],[DPA]]/6%</f>
        <v/>
      </c>
      <c r="W81" s="129">
        <f>Table_1[[#This Row],[PREÇO JUSTO BAZIN]]/(1+Table_1[[#This Row],[MARGEM DE DESCONTO]])</f>
        <v/>
      </c>
      <c r="X81" s="64">
        <f>(Table_1[[#This Row],[PREÇO JUSTO GRAHAM]]-Table_1[[#This Row],[PREÇO]])/Table_1[[#This Row],[PREÇO JUSTO GRAHAM]]</f>
        <v/>
      </c>
      <c r="Y81" s="129">
        <f>(22.5*Table_1[[#This Row],[LPA]]*Table_1[[#This Row],[VPA]])^0.5</f>
        <v/>
      </c>
      <c r="Z81" s="129">
        <f>Table_1[[#This Row],[PREÇO JUSTO GRAHAM]]/(1+Table_1[[#This Row],[MARGEM DE DESCONTO]])</f>
        <v/>
      </c>
      <c r="AA81" s="64">
        <f>(Table_1[[#This Row],[PREÇO JUSTO GORDON]]-Table_1[[#This Row],[PREÇO]])/Table_1[[#This Row],[PREÇO JUSTO GORDON]]</f>
        <v/>
      </c>
      <c r="AB81" s="130">
        <f>Table_1[[#This Row],[DPA]]*(1+Table_1[[#This Row],[MÉDIA DE CRESCIMENTO]])</f>
        <v/>
      </c>
      <c r="AC81" s="130">
        <f>Table_1[[#This Row],[D1]]/(Table_1[[#This Row],[RISCO]]-Table_1[[#This Row],[MÉDIA DE CRESCIMENTO]])</f>
        <v/>
      </c>
      <c r="AD81" s="130">
        <f>Table_1[[#This Row],[PREÇO JUSTO GORDON]]/(1+Table_1[[#This Row],[MARGEM DE DESCONTO]])</f>
        <v/>
      </c>
      <c r="AE81" s="78">
        <f>Table_1[[#This Row],[P/L]]/Table_1[[#This Row],[MÉDIA DE CRESCIMENTO]]</f>
        <v/>
      </c>
    </row>
    <row r="82" ht="15.75" customHeight="1">
      <c r="B82" s="77">
        <f>'Dados Status Invest'!A68</f>
        <v/>
      </c>
      <c r="C82" s="60">
        <f>VLOOKUP(Table_1[[#This Row],[AÇÕES]],'Classificação B3'!A:B,2,0)</f>
        <v/>
      </c>
      <c r="D82" s="60">
        <f>VLOOKUP(Table_1[[#This Row],[AÇÕES]],'Classificação B3'!A:D,4,0)</f>
        <v/>
      </c>
      <c r="E82" s="60">
        <f>VLOOKUP(Table_1[[#This Row],[AÇÕES]],'Classificação B3'!A:F,6,0)</f>
        <v/>
      </c>
      <c r="F82" s="60">
        <f>VLOOKUP(Table_1[[#This Row],[AÇÕES]],'Classificação B3'!A:G,7,0)</f>
        <v/>
      </c>
      <c r="G82" s="61">
        <f>VLOOKUP(Table_1[[#This Row],[AÇÕES]],'Dados Status Invest'!A:B,2,0)</f>
        <v/>
      </c>
      <c r="H82" s="62">
        <f>VLOOKUP(Table_1[[#This Row],[AÇÕES]],'Dados Status Invest'!A:C,3,0)/100</f>
        <v/>
      </c>
      <c r="I82" s="62">
        <f>VLOOKUP(Table_1[[#This Row],[AÇÕES]],'Dados Status Invest'!A:D,4,0)/100</f>
        <v/>
      </c>
      <c r="J82" s="63">
        <f>VLOOKUP(Table_1[[#This Row],[AÇÕES]],'Dados Status Invest'!A:AB,28,0)</f>
        <v/>
      </c>
      <c r="K82" s="63">
        <f>VLOOKUP(Table_1[[#This Row],[AÇÕES]],'Dados Status Invest'!A:AA,27,0)</f>
        <v/>
      </c>
      <c r="L82" s="63">
        <f>Table_1[[#This Row],[PREÇO]]*Table_1[[#This Row],[DY]]</f>
        <v/>
      </c>
      <c r="M82" s="62">
        <f>$E$13</f>
        <v/>
      </c>
      <c r="N82" s="62" t="n">
        <v>0.3</v>
      </c>
      <c r="O82" s="62">
        <f>Table_1[[#This Row],[DPA]]/Table_1[[#This Row],[LPA]]</f>
        <v/>
      </c>
      <c r="P82" s="62">
        <f>IF(Table_1[[#This Row],[PAYOUT]]&lt;=40%,"CRESCIMENTO",IF(Table_1[[#This Row],[PAYOUT]]&lt;=60%,"INDEFINIDO","DIVIDENDOS"))</f>
        <v/>
      </c>
      <c r="Q82" s="62">
        <f>VLOOKUP(Table_1[[#This Row],[AÇÕES]],'Dados Status Invest'!A:R,18,0)/100</f>
        <v/>
      </c>
      <c r="R82" s="62">
        <f>VLOOKUP(Table_1[[#This Row],[AÇÕES]],'Dados Status Invest'!A:Y,25,0)/100</f>
        <v/>
      </c>
      <c r="S82" s="62">
        <f>(1-Table_1[[#This Row],[PAYOUT]])*Table_1[[#This Row],[ROE]]</f>
        <v/>
      </c>
      <c r="T82" s="98">
        <f>AVERAGE(Table_1[[#This Row],[CAGR LUCRO 5A]],Table_1[[#This Row],[CRESCIMENTO DAMODARAN]])</f>
        <v/>
      </c>
      <c r="U82" s="64">
        <f>(Table_1[[#This Row],[PREÇO JUSTO BAZIN]]-Table_1[[#This Row],[PREÇO]])/Table_1[[#This Row],[PREÇO JUSTO BAZIN]]</f>
        <v/>
      </c>
      <c r="V82" s="129">
        <f>Table_1[[#This Row],[DPA]]/6%</f>
        <v/>
      </c>
      <c r="W82" s="129">
        <f>Table_1[[#This Row],[PREÇO JUSTO BAZIN]]/(1+Table_1[[#This Row],[MARGEM DE DESCONTO]])</f>
        <v/>
      </c>
      <c r="X82" s="64">
        <f>(Table_1[[#This Row],[PREÇO JUSTO GRAHAM]]-Table_1[[#This Row],[PREÇO]])/Table_1[[#This Row],[PREÇO JUSTO GRAHAM]]</f>
        <v/>
      </c>
      <c r="Y82" s="129">
        <f>(22.5*Table_1[[#This Row],[LPA]]*Table_1[[#This Row],[VPA]])^0.5</f>
        <v/>
      </c>
      <c r="Z82" s="129">
        <f>Table_1[[#This Row],[PREÇO JUSTO GRAHAM]]/(1+Table_1[[#This Row],[MARGEM DE DESCONTO]])</f>
        <v/>
      </c>
      <c r="AA82" s="64">
        <f>(Table_1[[#This Row],[PREÇO JUSTO GORDON]]-Table_1[[#This Row],[PREÇO]])/Table_1[[#This Row],[PREÇO JUSTO GORDON]]</f>
        <v/>
      </c>
      <c r="AB82" s="130">
        <f>Table_1[[#This Row],[DPA]]*(1+Table_1[[#This Row],[MÉDIA DE CRESCIMENTO]])</f>
        <v/>
      </c>
      <c r="AC82" s="130">
        <f>Table_1[[#This Row],[D1]]/(Table_1[[#This Row],[RISCO]]-Table_1[[#This Row],[MÉDIA DE CRESCIMENTO]])</f>
        <v/>
      </c>
      <c r="AD82" s="130">
        <f>Table_1[[#This Row],[PREÇO JUSTO GORDON]]/(1+Table_1[[#This Row],[MARGEM DE DESCONTO]])</f>
        <v/>
      </c>
      <c r="AE82" s="78">
        <f>Table_1[[#This Row],[P/L]]/Table_1[[#This Row],[MÉDIA DE CRESCIMENTO]]</f>
        <v/>
      </c>
    </row>
    <row r="83" ht="15.75" customHeight="1">
      <c r="B83" s="77">
        <f>'Dados Status Invest'!A69</f>
        <v/>
      </c>
      <c r="C83" s="60">
        <f>VLOOKUP(Table_1[[#This Row],[AÇÕES]],'Classificação B3'!A:B,2,0)</f>
        <v/>
      </c>
      <c r="D83" s="60">
        <f>VLOOKUP(Table_1[[#This Row],[AÇÕES]],'Classificação B3'!A:D,4,0)</f>
        <v/>
      </c>
      <c r="E83" s="60">
        <f>VLOOKUP(Table_1[[#This Row],[AÇÕES]],'Classificação B3'!A:F,6,0)</f>
        <v/>
      </c>
      <c r="F83" s="60">
        <f>VLOOKUP(Table_1[[#This Row],[AÇÕES]],'Classificação B3'!A:G,7,0)</f>
        <v/>
      </c>
      <c r="G83" s="61">
        <f>VLOOKUP(Table_1[[#This Row],[AÇÕES]],'Dados Status Invest'!A:B,2,0)</f>
        <v/>
      </c>
      <c r="H83" s="62">
        <f>VLOOKUP(Table_1[[#This Row],[AÇÕES]],'Dados Status Invest'!A:C,3,0)/100</f>
        <v/>
      </c>
      <c r="I83" s="62">
        <f>VLOOKUP(Table_1[[#This Row],[AÇÕES]],'Dados Status Invest'!A:D,4,0)/100</f>
        <v/>
      </c>
      <c r="J83" s="63">
        <f>VLOOKUP(Table_1[[#This Row],[AÇÕES]],'Dados Status Invest'!A:AB,28,0)</f>
        <v/>
      </c>
      <c r="K83" s="63">
        <f>VLOOKUP(Table_1[[#This Row],[AÇÕES]],'Dados Status Invest'!A:AA,27,0)</f>
        <v/>
      </c>
      <c r="L83" s="63">
        <f>Table_1[[#This Row],[PREÇO]]*Table_1[[#This Row],[DY]]</f>
        <v/>
      </c>
      <c r="M83" s="62">
        <f>$E$13</f>
        <v/>
      </c>
      <c r="N83" s="62" t="n">
        <v>0.3</v>
      </c>
      <c r="O83" s="62">
        <f>Table_1[[#This Row],[DPA]]/Table_1[[#This Row],[LPA]]</f>
        <v/>
      </c>
      <c r="P83" s="62">
        <f>IF(Table_1[[#This Row],[PAYOUT]]&lt;=40%,"CRESCIMENTO",IF(Table_1[[#This Row],[PAYOUT]]&lt;=60%,"INDEFINIDO","DIVIDENDOS"))</f>
        <v/>
      </c>
      <c r="Q83" s="62">
        <f>VLOOKUP(Table_1[[#This Row],[AÇÕES]],'Dados Status Invest'!A:R,18,0)/100</f>
        <v/>
      </c>
      <c r="R83" s="62">
        <f>VLOOKUP(Table_1[[#This Row],[AÇÕES]],'Dados Status Invest'!A:Y,25,0)/100</f>
        <v/>
      </c>
      <c r="S83" s="62">
        <f>(1-Table_1[[#This Row],[PAYOUT]])*Table_1[[#This Row],[ROE]]</f>
        <v/>
      </c>
      <c r="T83" s="98">
        <f>AVERAGE(Table_1[[#This Row],[CAGR LUCRO 5A]],Table_1[[#This Row],[CRESCIMENTO DAMODARAN]])</f>
        <v/>
      </c>
      <c r="U83" s="64">
        <f>(Table_1[[#This Row],[PREÇO JUSTO BAZIN]]-Table_1[[#This Row],[PREÇO]])/Table_1[[#This Row],[PREÇO JUSTO BAZIN]]</f>
        <v/>
      </c>
      <c r="V83" s="129">
        <f>Table_1[[#This Row],[DPA]]/6%</f>
        <v/>
      </c>
      <c r="W83" s="129">
        <f>Table_1[[#This Row],[PREÇO JUSTO BAZIN]]/(1+Table_1[[#This Row],[MARGEM DE DESCONTO]])</f>
        <v/>
      </c>
      <c r="X83" s="64">
        <f>(Table_1[[#This Row],[PREÇO JUSTO GRAHAM]]-Table_1[[#This Row],[PREÇO]])/Table_1[[#This Row],[PREÇO JUSTO GRAHAM]]</f>
        <v/>
      </c>
      <c r="Y83" s="129">
        <f>(22.5*Table_1[[#This Row],[LPA]]*Table_1[[#This Row],[VPA]])^0.5</f>
        <v/>
      </c>
      <c r="Z83" s="129">
        <f>Table_1[[#This Row],[PREÇO JUSTO GRAHAM]]/(1+Table_1[[#This Row],[MARGEM DE DESCONTO]])</f>
        <v/>
      </c>
      <c r="AA83" s="64">
        <f>(Table_1[[#This Row],[PREÇO JUSTO GORDON]]-Table_1[[#This Row],[PREÇO]])/Table_1[[#This Row],[PREÇO JUSTO GORDON]]</f>
        <v/>
      </c>
      <c r="AB83" s="130">
        <f>Table_1[[#This Row],[DPA]]*(1+Table_1[[#This Row],[MÉDIA DE CRESCIMENTO]])</f>
        <v/>
      </c>
      <c r="AC83" s="130">
        <f>Table_1[[#This Row],[D1]]/(Table_1[[#This Row],[RISCO]]-Table_1[[#This Row],[MÉDIA DE CRESCIMENTO]])</f>
        <v/>
      </c>
      <c r="AD83" s="130">
        <f>Table_1[[#This Row],[PREÇO JUSTO GORDON]]/(1+Table_1[[#This Row],[MARGEM DE DESCONTO]])</f>
        <v/>
      </c>
      <c r="AE83" s="78">
        <f>Table_1[[#This Row],[P/L]]/Table_1[[#This Row],[MÉDIA DE CRESCIMENTO]]</f>
        <v/>
      </c>
    </row>
    <row r="84" ht="15.75" customHeight="1">
      <c r="B84" s="77">
        <f>'Dados Status Invest'!A70</f>
        <v/>
      </c>
      <c r="C84" s="60">
        <f>VLOOKUP(Table_1[[#This Row],[AÇÕES]],'Classificação B3'!A:B,2,0)</f>
        <v/>
      </c>
      <c r="D84" s="60">
        <f>VLOOKUP(Table_1[[#This Row],[AÇÕES]],'Classificação B3'!A:D,4,0)</f>
        <v/>
      </c>
      <c r="E84" s="60">
        <f>VLOOKUP(Table_1[[#This Row],[AÇÕES]],'Classificação B3'!A:F,6,0)</f>
        <v/>
      </c>
      <c r="F84" s="60">
        <f>VLOOKUP(Table_1[[#This Row],[AÇÕES]],'Classificação B3'!A:G,7,0)</f>
        <v/>
      </c>
      <c r="G84" s="61">
        <f>VLOOKUP(Table_1[[#This Row],[AÇÕES]],'Dados Status Invest'!A:B,2,0)</f>
        <v/>
      </c>
      <c r="H84" s="62">
        <f>VLOOKUP(Table_1[[#This Row],[AÇÕES]],'Dados Status Invest'!A:C,3,0)/100</f>
        <v/>
      </c>
      <c r="I84" s="62">
        <f>VLOOKUP(Table_1[[#This Row],[AÇÕES]],'Dados Status Invest'!A:D,4,0)/100</f>
        <v/>
      </c>
      <c r="J84" s="63">
        <f>VLOOKUP(Table_1[[#This Row],[AÇÕES]],'Dados Status Invest'!A:AB,28,0)</f>
        <v/>
      </c>
      <c r="K84" s="63">
        <f>VLOOKUP(Table_1[[#This Row],[AÇÕES]],'Dados Status Invest'!A:AA,27,0)</f>
        <v/>
      </c>
      <c r="L84" s="63">
        <f>Table_1[[#This Row],[PREÇO]]*Table_1[[#This Row],[DY]]</f>
        <v/>
      </c>
      <c r="M84" s="62">
        <f>$E$13</f>
        <v/>
      </c>
      <c r="N84" s="62" t="n">
        <v>0.3</v>
      </c>
      <c r="O84" s="62">
        <f>Table_1[[#This Row],[DPA]]/Table_1[[#This Row],[LPA]]</f>
        <v/>
      </c>
      <c r="P84" s="62">
        <f>IF(Table_1[[#This Row],[PAYOUT]]&lt;=40%,"CRESCIMENTO",IF(Table_1[[#This Row],[PAYOUT]]&lt;=60%,"INDEFINIDO","DIVIDENDOS"))</f>
        <v/>
      </c>
      <c r="Q84" s="62">
        <f>VLOOKUP(Table_1[[#This Row],[AÇÕES]],'Dados Status Invest'!A:R,18,0)/100</f>
        <v/>
      </c>
      <c r="R84" s="62">
        <f>VLOOKUP(Table_1[[#This Row],[AÇÕES]],'Dados Status Invest'!A:Y,25,0)/100</f>
        <v/>
      </c>
      <c r="S84" s="62">
        <f>(1-Table_1[[#This Row],[PAYOUT]])*Table_1[[#This Row],[ROE]]</f>
        <v/>
      </c>
      <c r="T84" s="98">
        <f>AVERAGE(Table_1[[#This Row],[CAGR LUCRO 5A]],Table_1[[#This Row],[CRESCIMENTO DAMODARAN]])</f>
        <v/>
      </c>
      <c r="U84" s="64">
        <f>(Table_1[[#This Row],[PREÇO JUSTO BAZIN]]-Table_1[[#This Row],[PREÇO]])/Table_1[[#This Row],[PREÇO JUSTO BAZIN]]</f>
        <v/>
      </c>
      <c r="V84" s="129">
        <f>Table_1[[#This Row],[DPA]]/6%</f>
        <v/>
      </c>
      <c r="W84" s="129">
        <f>Table_1[[#This Row],[PREÇO JUSTO BAZIN]]/(1+Table_1[[#This Row],[MARGEM DE DESCONTO]])</f>
        <v/>
      </c>
      <c r="X84" s="64">
        <f>(Table_1[[#This Row],[PREÇO JUSTO GRAHAM]]-Table_1[[#This Row],[PREÇO]])/Table_1[[#This Row],[PREÇO JUSTO GRAHAM]]</f>
        <v/>
      </c>
      <c r="Y84" s="129">
        <f>(22.5*Table_1[[#This Row],[LPA]]*Table_1[[#This Row],[VPA]])^0.5</f>
        <v/>
      </c>
      <c r="Z84" s="129">
        <f>Table_1[[#This Row],[PREÇO JUSTO GRAHAM]]/(1+Table_1[[#This Row],[MARGEM DE DESCONTO]])</f>
        <v/>
      </c>
      <c r="AA84" s="64">
        <f>(Table_1[[#This Row],[PREÇO JUSTO GORDON]]-Table_1[[#This Row],[PREÇO]])/Table_1[[#This Row],[PREÇO JUSTO GORDON]]</f>
        <v/>
      </c>
      <c r="AB84" s="130">
        <f>Table_1[[#This Row],[DPA]]*(1+Table_1[[#This Row],[MÉDIA DE CRESCIMENTO]])</f>
        <v/>
      </c>
      <c r="AC84" s="130">
        <f>Table_1[[#This Row],[D1]]/(Table_1[[#This Row],[RISCO]]-Table_1[[#This Row],[MÉDIA DE CRESCIMENTO]])</f>
        <v/>
      </c>
      <c r="AD84" s="130">
        <f>Table_1[[#This Row],[PREÇO JUSTO GORDON]]/(1+Table_1[[#This Row],[MARGEM DE DESCONTO]])</f>
        <v/>
      </c>
      <c r="AE84" s="78">
        <f>Table_1[[#This Row],[P/L]]/Table_1[[#This Row],[MÉDIA DE CRESCIMENTO]]</f>
        <v/>
      </c>
    </row>
    <row r="85" ht="15.75" customHeight="1">
      <c r="B85" s="77">
        <f>'Dados Status Invest'!A71</f>
        <v/>
      </c>
      <c r="C85" s="60">
        <f>VLOOKUP(Table_1[[#This Row],[AÇÕES]],'Classificação B3'!A:B,2,0)</f>
        <v/>
      </c>
      <c r="D85" s="60">
        <f>VLOOKUP(Table_1[[#This Row],[AÇÕES]],'Classificação B3'!A:D,4,0)</f>
        <v/>
      </c>
      <c r="E85" s="60">
        <f>VLOOKUP(Table_1[[#This Row],[AÇÕES]],'Classificação B3'!A:F,6,0)</f>
        <v/>
      </c>
      <c r="F85" s="60">
        <f>VLOOKUP(Table_1[[#This Row],[AÇÕES]],'Classificação B3'!A:G,7,0)</f>
        <v/>
      </c>
      <c r="G85" s="61">
        <f>VLOOKUP(Table_1[[#This Row],[AÇÕES]],'Dados Status Invest'!A:B,2,0)</f>
        <v/>
      </c>
      <c r="H85" s="62">
        <f>VLOOKUP(Table_1[[#This Row],[AÇÕES]],'Dados Status Invest'!A:C,3,0)/100</f>
        <v/>
      </c>
      <c r="I85" s="62">
        <f>VLOOKUP(Table_1[[#This Row],[AÇÕES]],'Dados Status Invest'!A:D,4,0)/100</f>
        <v/>
      </c>
      <c r="J85" s="63">
        <f>VLOOKUP(Table_1[[#This Row],[AÇÕES]],'Dados Status Invest'!A:AB,28,0)</f>
        <v/>
      </c>
      <c r="K85" s="63">
        <f>VLOOKUP(Table_1[[#This Row],[AÇÕES]],'Dados Status Invest'!A:AA,27,0)</f>
        <v/>
      </c>
      <c r="L85" s="63">
        <f>Table_1[[#This Row],[PREÇO]]*Table_1[[#This Row],[DY]]</f>
        <v/>
      </c>
      <c r="M85" s="62">
        <f>$E$13</f>
        <v/>
      </c>
      <c r="N85" s="62" t="n">
        <v>0.3</v>
      </c>
      <c r="O85" s="62">
        <f>Table_1[[#This Row],[DPA]]/Table_1[[#This Row],[LPA]]</f>
        <v/>
      </c>
      <c r="P85" s="62">
        <f>IF(Table_1[[#This Row],[PAYOUT]]&lt;=40%,"CRESCIMENTO",IF(Table_1[[#This Row],[PAYOUT]]&lt;=60%,"INDEFINIDO","DIVIDENDOS"))</f>
        <v/>
      </c>
      <c r="Q85" s="62">
        <f>VLOOKUP(Table_1[[#This Row],[AÇÕES]],'Dados Status Invest'!A:R,18,0)/100</f>
        <v/>
      </c>
      <c r="R85" s="62">
        <f>VLOOKUP(Table_1[[#This Row],[AÇÕES]],'Dados Status Invest'!A:Y,25,0)/100</f>
        <v/>
      </c>
      <c r="S85" s="62">
        <f>(1-Table_1[[#This Row],[PAYOUT]])*Table_1[[#This Row],[ROE]]</f>
        <v/>
      </c>
      <c r="T85" s="98">
        <f>AVERAGE(Table_1[[#This Row],[CAGR LUCRO 5A]],Table_1[[#This Row],[CRESCIMENTO DAMODARAN]])</f>
        <v/>
      </c>
      <c r="U85" s="64">
        <f>(Table_1[[#This Row],[PREÇO JUSTO BAZIN]]-Table_1[[#This Row],[PREÇO]])/Table_1[[#This Row],[PREÇO JUSTO BAZIN]]</f>
        <v/>
      </c>
      <c r="V85" s="129">
        <f>Table_1[[#This Row],[DPA]]/6%</f>
        <v/>
      </c>
      <c r="W85" s="129">
        <f>Table_1[[#This Row],[PREÇO JUSTO BAZIN]]/(1+Table_1[[#This Row],[MARGEM DE DESCONTO]])</f>
        <v/>
      </c>
      <c r="X85" s="64">
        <f>(Table_1[[#This Row],[PREÇO JUSTO GRAHAM]]-Table_1[[#This Row],[PREÇO]])/Table_1[[#This Row],[PREÇO JUSTO GRAHAM]]</f>
        <v/>
      </c>
      <c r="Y85" s="129">
        <f>(22.5*Table_1[[#This Row],[LPA]]*Table_1[[#This Row],[VPA]])^0.5</f>
        <v/>
      </c>
      <c r="Z85" s="129">
        <f>Table_1[[#This Row],[PREÇO JUSTO GRAHAM]]/(1+Table_1[[#This Row],[MARGEM DE DESCONTO]])</f>
        <v/>
      </c>
      <c r="AA85" s="64">
        <f>(Table_1[[#This Row],[PREÇO JUSTO GORDON]]-Table_1[[#This Row],[PREÇO]])/Table_1[[#This Row],[PREÇO JUSTO GORDON]]</f>
        <v/>
      </c>
      <c r="AB85" s="130">
        <f>Table_1[[#This Row],[DPA]]*(1+Table_1[[#This Row],[MÉDIA DE CRESCIMENTO]])</f>
        <v/>
      </c>
      <c r="AC85" s="130">
        <f>Table_1[[#This Row],[D1]]/(Table_1[[#This Row],[RISCO]]-Table_1[[#This Row],[MÉDIA DE CRESCIMENTO]])</f>
        <v/>
      </c>
      <c r="AD85" s="130">
        <f>Table_1[[#This Row],[PREÇO JUSTO GORDON]]/(1+Table_1[[#This Row],[MARGEM DE DESCONTO]])</f>
        <v/>
      </c>
      <c r="AE85" s="78">
        <f>Table_1[[#This Row],[P/L]]/Table_1[[#This Row],[MÉDIA DE CRESCIMENTO]]</f>
        <v/>
      </c>
    </row>
    <row r="86" ht="15.75" customHeight="1">
      <c r="B86" s="77">
        <f>'Dados Status Invest'!A72</f>
        <v/>
      </c>
      <c r="C86" s="60">
        <f>VLOOKUP(Table_1[[#This Row],[AÇÕES]],'Classificação B3'!A:B,2,0)</f>
        <v/>
      </c>
      <c r="D86" s="60">
        <f>VLOOKUP(Table_1[[#This Row],[AÇÕES]],'Classificação B3'!A:D,4,0)</f>
        <v/>
      </c>
      <c r="E86" s="60">
        <f>VLOOKUP(Table_1[[#This Row],[AÇÕES]],'Classificação B3'!A:F,6,0)</f>
        <v/>
      </c>
      <c r="F86" s="60">
        <f>VLOOKUP(Table_1[[#This Row],[AÇÕES]],'Classificação B3'!A:G,7,0)</f>
        <v/>
      </c>
      <c r="G86" s="61">
        <f>VLOOKUP(Table_1[[#This Row],[AÇÕES]],'Dados Status Invest'!A:B,2,0)</f>
        <v/>
      </c>
      <c r="H86" s="62">
        <f>VLOOKUP(Table_1[[#This Row],[AÇÕES]],'Dados Status Invest'!A:C,3,0)/100</f>
        <v/>
      </c>
      <c r="I86" s="62">
        <f>VLOOKUP(Table_1[[#This Row],[AÇÕES]],'Dados Status Invest'!A:D,4,0)/100</f>
        <v/>
      </c>
      <c r="J86" s="63">
        <f>VLOOKUP(Table_1[[#This Row],[AÇÕES]],'Dados Status Invest'!A:AB,28,0)</f>
        <v/>
      </c>
      <c r="K86" s="63">
        <f>VLOOKUP(Table_1[[#This Row],[AÇÕES]],'Dados Status Invest'!A:AA,27,0)</f>
        <v/>
      </c>
      <c r="L86" s="63">
        <f>Table_1[[#This Row],[PREÇO]]*Table_1[[#This Row],[DY]]</f>
        <v/>
      </c>
      <c r="M86" s="62">
        <f>$E$13</f>
        <v/>
      </c>
      <c r="N86" s="62" t="n">
        <v>0.3</v>
      </c>
      <c r="O86" s="62">
        <f>Table_1[[#This Row],[DPA]]/Table_1[[#This Row],[LPA]]</f>
        <v/>
      </c>
      <c r="P86" s="62">
        <f>IF(Table_1[[#This Row],[PAYOUT]]&lt;=40%,"CRESCIMENTO",IF(Table_1[[#This Row],[PAYOUT]]&lt;=60%,"INDEFINIDO","DIVIDENDOS"))</f>
        <v/>
      </c>
      <c r="Q86" s="62">
        <f>VLOOKUP(Table_1[[#This Row],[AÇÕES]],'Dados Status Invest'!A:R,18,0)/100</f>
        <v/>
      </c>
      <c r="R86" s="62">
        <f>VLOOKUP(Table_1[[#This Row],[AÇÕES]],'Dados Status Invest'!A:Y,25,0)/100</f>
        <v/>
      </c>
      <c r="S86" s="62">
        <f>(1-Table_1[[#This Row],[PAYOUT]])*Table_1[[#This Row],[ROE]]</f>
        <v/>
      </c>
      <c r="T86" s="98">
        <f>AVERAGE(Table_1[[#This Row],[CAGR LUCRO 5A]],Table_1[[#This Row],[CRESCIMENTO DAMODARAN]])</f>
        <v/>
      </c>
      <c r="U86" s="64">
        <f>(Table_1[[#This Row],[PREÇO JUSTO BAZIN]]-Table_1[[#This Row],[PREÇO]])/Table_1[[#This Row],[PREÇO JUSTO BAZIN]]</f>
        <v/>
      </c>
      <c r="V86" s="129">
        <f>Table_1[[#This Row],[DPA]]/6%</f>
        <v/>
      </c>
      <c r="W86" s="129">
        <f>Table_1[[#This Row],[PREÇO JUSTO BAZIN]]/(1+Table_1[[#This Row],[MARGEM DE DESCONTO]])</f>
        <v/>
      </c>
      <c r="X86" s="64">
        <f>(Table_1[[#This Row],[PREÇO JUSTO GRAHAM]]-Table_1[[#This Row],[PREÇO]])/Table_1[[#This Row],[PREÇO JUSTO GRAHAM]]</f>
        <v/>
      </c>
      <c r="Y86" s="129">
        <f>(22.5*Table_1[[#This Row],[LPA]]*Table_1[[#This Row],[VPA]])^0.5</f>
        <v/>
      </c>
      <c r="Z86" s="129">
        <f>Table_1[[#This Row],[PREÇO JUSTO GRAHAM]]/(1+Table_1[[#This Row],[MARGEM DE DESCONTO]])</f>
        <v/>
      </c>
      <c r="AA86" s="64">
        <f>(Table_1[[#This Row],[PREÇO JUSTO GORDON]]-Table_1[[#This Row],[PREÇO]])/Table_1[[#This Row],[PREÇO JUSTO GORDON]]</f>
        <v/>
      </c>
      <c r="AB86" s="130">
        <f>Table_1[[#This Row],[DPA]]*(1+Table_1[[#This Row],[MÉDIA DE CRESCIMENTO]])</f>
        <v/>
      </c>
      <c r="AC86" s="130">
        <f>Table_1[[#This Row],[D1]]/(Table_1[[#This Row],[RISCO]]-Table_1[[#This Row],[MÉDIA DE CRESCIMENTO]])</f>
        <v/>
      </c>
      <c r="AD86" s="130">
        <f>Table_1[[#This Row],[PREÇO JUSTO GORDON]]/(1+Table_1[[#This Row],[MARGEM DE DESCONTO]])</f>
        <v/>
      </c>
      <c r="AE86" s="78">
        <f>Table_1[[#This Row],[P/L]]/Table_1[[#This Row],[MÉDIA DE CRESCIMENTO]]</f>
        <v/>
      </c>
    </row>
    <row r="87" ht="15.75" customHeight="1">
      <c r="B87" s="77">
        <f>'Dados Status Invest'!A73</f>
        <v/>
      </c>
      <c r="C87" s="60">
        <f>VLOOKUP(Table_1[[#This Row],[AÇÕES]],'Classificação B3'!A:B,2,0)</f>
        <v/>
      </c>
      <c r="D87" s="60">
        <f>VLOOKUP(Table_1[[#This Row],[AÇÕES]],'Classificação B3'!A:D,4,0)</f>
        <v/>
      </c>
      <c r="E87" s="60">
        <f>VLOOKUP(Table_1[[#This Row],[AÇÕES]],'Classificação B3'!A:F,6,0)</f>
        <v/>
      </c>
      <c r="F87" s="60">
        <f>VLOOKUP(Table_1[[#This Row],[AÇÕES]],'Classificação B3'!A:G,7,0)</f>
        <v/>
      </c>
      <c r="G87" s="61">
        <f>VLOOKUP(Table_1[[#This Row],[AÇÕES]],'Dados Status Invest'!A:B,2,0)</f>
        <v/>
      </c>
      <c r="H87" s="62">
        <f>VLOOKUP(Table_1[[#This Row],[AÇÕES]],'Dados Status Invest'!A:C,3,0)/100</f>
        <v/>
      </c>
      <c r="I87" s="62">
        <f>VLOOKUP(Table_1[[#This Row],[AÇÕES]],'Dados Status Invest'!A:D,4,0)/100</f>
        <v/>
      </c>
      <c r="J87" s="63">
        <f>VLOOKUP(Table_1[[#This Row],[AÇÕES]],'Dados Status Invest'!A:AB,28,0)</f>
        <v/>
      </c>
      <c r="K87" s="63">
        <f>VLOOKUP(Table_1[[#This Row],[AÇÕES]],'Dados Status Invest'!A:AA,27,0)</f>
        <v/>
      </c>
      <c r="L87" s="63">
        <f>Table_1[[#This Row],[PREÇO]]*Table_1[[#This Row],[DY]]</f>
        <v/>
      </c>
      <c r="M87" s="62">
        <f>$E$13</f>
        <v/>
      </c>
      <c r="N87" s="62" t="n">
        <v>0.3</v>
      </c>
      <c r="O87" s="62">
        <f>Table_1[[#This Row],[DPA]]/Table_1[[#This Row],[LPA]]</f>
        <v/>
      </c>
      <c r="P87" s="62">
        <f>IF(Table_1[[#This Row],[PAYOUT]]&lt;=40%,"CRESCIMENTO",IF(Table_1[[#This Row],[PAYOUT]]&lt;=60%,"INDEFINIDO","DIVIDENDOS"))</f>
        <v/>
      </c>
      <c r="Q87" s="62">
        <f>VLOOKUP(Table_1[[#This Row],[AÇÕES]],'Dados Status Invest'!A:R,18,0)/100</f>
        <v/>
      </c>
      <c r="R87" s="62">
        <f>VLOOKUP(Table_1[[#This Row],[AÇÕES]],'Dados Status Invest'!A:Y,25,0)/100</f>
        <v/>
      </c>
      <c r="S87" s="62">
        <f>(1-Table_1[[#This Row],[PAYOUT]])*Table_1[[#This Row],[ROE]]</f>
        <v/>
      </c>
      <c r="T87" s="98">
        <f>AVERAGE(Table_1[[#This Row],[CAGR LUCRO 5A]],Table_1[[#This Row],[CRESCIMENTO DAMODARAN]])</f>
        <v/>
      </c>
      <c r="U87" s="64">
        <f>(Table_1[[#This Row],[PREÇO JUSTO BAZIN]]-Table_1[[#This Row],[PREÇO]])/Table_1[[#This Row],[PREÇO JUSTO BAZIN]]</f>
        <v/>
      </c>
      <c r="V87" s="129">
        <f>Table_1[[#This Row],[DPA]]/6%</f>
        <v/>
      </c>
      <c r="W87" s="129">
        <f>Table_1[[#This Row],[PREÇO JUSTO BAZIN]]/(1+Table_1[[#This Row],[MARGEM DE DESCONTO]])</f>
        <v/>
      </c>
      <c r="X87" s="64">
        <f>(Table_1[[#This Row],[PREÇO JUSTO GRAHAM]]-Table_1[[#This Row],[PREÇO]])/Table_1[[#This Row],[PREÇO JUSTO GRAHAM]]</f>
        <v/>
      </c>
      <c r="Y87" s="129">
        <f>(22.5*Table_1[[#This Row],[LPA]]*Table_1[[#This Row],[VPA]])^0.5</f>
        <v/>
      </c>
      <c r="Z87" s="129">
        <f>Table_1[[#This Row],[PREÇO JUSTO GRAHAM]]/(1+Table_1[[#This Row],[MARGEM DE DESCONTO]])</f>
        <v/>
      </c>
      <c r="AA87" s="64">
        <f>(Table_1[[#This Row],[PREÇO JUSTO GORDON]]-Table_1[[#This Row],[PREÇO]])/Table_1[[#This Row],[PREÇO JUSTO GORDON]]</f>
        <v/>
      </c>
      <c r="AB87" s="130">
        <f>Table_1[[#This Row],[DPA]]*(1+Table_1[[#This Row],[MÉDIA DE CRESCIMENTO]])</f>
        <v/>
      </c>
      <c r="AC87" s="130">
        <f>Table_1[[#This Row],[D1]]/(Table_1[[#This Row],[RISCO]]-Table_1[[#This Row],[MÉDIA DE CRESCIMENTO]])</f>
        <v/>
      </c>
      <c r="AD87" s="130">
        <f>Table_1[[#This Row],[PREÇO JUSTO GORDON]]/(1+Table_1[[#This Row],[MARGEM DE DESCONTO]])</f>
        <v/>
      </c>
      <c r="AE87" s="78">
        <f>Table_1[[#This Row],[P/L]]/Table_1[[#This Row],[MÉDIA DE CRESCIMENTO]]</f>
        <v/>
      </c>
    </row>
    <row r="88" ht="15.75" customHeight="1">
      <c r="B88" s="77">
        <f>'Dados Status Invest'!A74</f>
        <v/>
      </c>
      <c r="C88" s="60">
        <f>VLOOKUP(Table_1[[#This Row],[AÇÕES]],'Classificação B3'!A:B,2,0)</f>
        <v/>
      </c>
      <c r="D88" s="60">
        <f>VLOOKUP(Table_1[[#This Row],[AÇÕES]],'Classificação B3'!A:D,4,0)</f>
        <v/>
      </c>
      <c r="E88" s="60">
        <f>VLOOKUP(Table_1[[#This Row],[AÇÕES]],'Classificação B3'!A:F,6,0)</f>
        <v/>
      </c>
      <c r="F88" s="60">
        <f>VLOOKUP(Table_1[[#This Row],[AÇÕES]],'Classificação B3'!A:G,7,0)</f>
        <v/>
      </c>
      <c r="G88" s="61">
        <f>VLOOKUP(Table_1[[#This Row],[AÇÕES]],'Dados Status Invest'!A:B,2,0)</f>
        <v/>
      </c>
      <c r="H88" s="62">
        <f>VLOOKUP(Table_1[[#This Row],[AÇÕES]],'Dados Status Invest'!A:C,3,0)/100</f>
        <v/>
      </c>
      <c r="I88" s="62">
        <f>VLOOKUP(Table_1[[#This Row],[AÇÕES]],'Dados Status Invest'!A:D,4,0)/100</f>
        <v/>
      </c>
      <c r="J88" s="63">
        <f>VLOOKUP(Table_1[[#This Row],[AÇÕES]],'Dados Status Invest'!A:AB,28,0)</f>
        <v/>
      </c>
      <c r="K88" s="63">
        <f>VLOOKUP(Table_1[[#This Row],[AÇÕES]],'Dados Status Invest'!A:AA,27,0)</f>
        <v/>
      </c>
      <c r="L88" s="63">
        <f>Table_1[[#This Row],[PREÇO]]*Table_1[[#This Row],[DY]]</f>
        <v/>
      </c>
      <c r="M88" s="62">
        <f>$E$13</f>
        <v/>
      </c>
      <c r="N88" s="62" t="n">
        <v>0.3</v>
      </c>
      <c r="O88" s="62">
        <f>Table_1[[#This Row],[DPA]]/Table_1[[#This Row],[LPA]]</f>
        <v/>
      </c>
      <c r="P88" s="62">
        <f>IF(Table_1[[#This Row],[PAYOUT]]&lt;=40%,"CRESCIMENTO",IF(Table_1[[#This Row],[PAYOUT]]&lt;=60%,"INDEFINIDO","DIVIDENDOS"))</f>
        <v/>
      </c>
      <c r="Q88" s="62">
        <f>VLOOKUP(Table_1[[#This Row],[AÇÕES]],'Dados Status Invest'!A:R,18,0)/100</f>
        <v/>
      </c>
      <c r="R88" s="62">
        <f>VLOOKUP(Table_1[[#This Row],[AÇÕES]],'Dados Status Invest'!A:Y,25,0)/100</f>
        <v/>
      </c>
      <c r="S88" s="62">
        <f>(1-Table_1[[#This Row],[PAYOUT]])*Table_1[[#This Row],[ROE]]</f>
        <v/>
      </c>
      <c r="T88" s="98">
        <f>AVERAGE(Table_1[[#This Row],[CAGR LUCRO 5A]],Table_1[[#This Row],[CRESCIMENTO DAMODARAN]])</f>
        <v/>
      </c>
      <c r="U88" s="64">
        <f>(Table_1[[#This Row],[PREÇO JUSTO BAZIN]]-Table_1[[#This Row],[PREÇO]])/Table_1[[#This Row],[PREÇO JUSTO BAZIN]]</f>
        <v/>
      </c>
      <c r="V88" s="129">
        <f>Table_1[[#This Row],[DPA]]/6%</f>
        <v/>
      </c>
      <c r="W88" s="129">
        <f>Table_1[[#This Row],[PREÇO JUSTO BAZIN]]/(1+Table_1[[#This Row],[MARGEM DE DESCONTO]])</f>
        <v/>
      </c>
      <c r="X88" s="64">
        <f>(Table_1[[#This Row],[PREÇO JUSTO GRAHAM]]-Table_1[[#This Row],[PREÇO]])/Table_1[[#This Row],[PREÇO JUSTO GRAHAM]]</f>
        <v/>
      </c>
      <c r="Y88" s="129">
        <f>(22.5*Table_1[[#This Row],[LPA]]*Table_1[[#This Row],[VPA]])^0.5</f>
        <v/>
      </c>
      <c r="Z88" s="129">
        <f>Table_1[[#This Row],[PREÇO JUSTO GRAHAM]]/(1+Table_1[[#This Row],[MARGEM DE DESCONTO]])</f>
        <v/>
      </c>
      <c r="AA88" s="64">
        <f>(Table_1[[#This Row],[PREÇO JUSTO GORDON]]-Table_1[[#This Row],[PREÇO]])/Table_1[[#This Row],[PREÇO JUSTO GORDON]]</f>
        <v/>
      </c>
      <c r="AB88" s="130">
        <f>Table_1[[#This Row],[DPA]]*(1+Table_1[[#This Row],[MÉDIA DE CRESCIMENTO]])</f>
        <v/>
      </c>
      <c r="AC88" s="130">
        <f>Table_1[[#This Row],[D1]]/(Table_1[[#This Row],[RISCO]]-Table_1[[#This Row],[MÉDIA DE CRESCIMENTO]])</f>
        <v/>
      </c>
      <c r="AD88" s="130">
        <f>Table_1[[#This Row],[PREÇO JUSTO GORDON]]/(1+Table_1[[#This Row],[MARGEM DE DESCONTO]])</f>
        <v/>
      </c>
      <c r="AE88" s="78">
        <f>Table_1[[#This Row],[P/L]]/Table_1[[#This Row],[MÉDIA DE CRESCIMENTO]]</f>
        <v/>
      </c>
    </row>
    <row r="89" ht="15.75" customHeight="1">
      <c r="B89" s="77">
        <f>'Dados Status Invest'!A75</f>
        <v/>
      </c>
      <c r="C89" s="60">
        <f>VLOOKUP(Table_1[[#This Row],[AÇÕES]],'Classificação B3'!A:B,2,0)</f>
        <v/>
      </c>
      <c r="D89" s="60">
        <f>VLOOKUP(Table_1[[#This Row],[AÇÕES]],'Classificação B3'!A:D,4,0)</f>
        <v/>
      </c>
      <c r="E89" s="60">
        <f>VLOOKUP(Table_1[[#This Row],[AÇÕES]],'Classificação B3'!A:F,6,0)</f>
        <v/>
      </c>
      <c r="F89" s="60">
        <f>VLOOKUP(Table_1[[#This Row],[AÇÕES]],'Classificação B3'!A:G,7,0)</f>
        <v/>
      </c>
      <c r="G89" s="61">
        <f>VLOOKUP(Table_1[[#This Row],[AÇÕES]],'Dados Status Invest'!A:B,2,0)</f>
        <v/>
      </c>
      <c r="H89" s="62">
        <f>VLOOKUP(Table_1[[#This Row],[AÇÕES]],'Dados Status Invest'!A:C,3,0)/100</f>
        <v/>
      </c>
      <c r="I89" s="62">
        <f>VLOOKUP(Table_1[[#This Row],[AÇÕES]],'Dados Status Invest'!A:D,4,0)/100</f>
        <v/>
      </c>
      <c r="J89" s="63">
        <f>VLOOKUP(Table_1[[#This Row],[AÇÕES]],'Dados Status Invest'!A:AB,28,0)</f>
        <v/>
      </c>
      <c r="K89" s="63">
        <f>VLOOKUP(Table_1[[#This Row],[AÇÕES]],'Dados Status Invest'!A:AA,27,0)</f>
        <v/>
      </c>
      <c r="L89" s="63">
        <f>Table_1[[#This Row],[PREÇO]]*Table_1[[#This Row],[DY]]</f>
        <v/>
      </c>
      <c r="M89" s="62">
        <f>$E$13</f>
        <v/>
      </c>
      <c r="N89" s="62" t="n">
        <v>0.3</v>
      </c>
      <c r="O89" s="62">
        <f>Table_1[[#This Row],[DPA]]/Table_1[[#This Row],[LPA]]</f>
        <v/>
      </c>
      <c r="P89" s="62">
        <f>IF(Table_1[[#This Row],[PAYOUT]]&lt;=40%,"CRESCIMENTO",IF(Table_1[[#This Row],[PAYOUT]]&lt;=60%,"INDEFINIDO","DIVIDENDOS"))</f>
        <v/>
      </c>
      <c r="Q89" s="62">
        <f>VLOOKUP(Table_1[[#This Row],[AÇÕES]],'Dados Status Invest'!A:R,18,0)/100</f>
        <v/>
      </c>
      <c r="R89" s="62">
        <f>VLOOKUP(Table_1[[#This Row],[AÇÕES]],'Dados Status Invest'!A:Y,25,0)/100</f>
        <v/>
      </c>
      <c r="S89" s="62">
        <f>(1-Table_1[[#This Row],[PAYOUT]])*Table_1[[#This Row],[ROE]]</f>
        <v/>
      </c>
      <c r="T89" s="98">
        <f>AVERAGE(Table_1[[#This Row],[CAGR LUCRO 5A]],Table_1[[#This Row],[CRESCIMENTO DAMODARAN]])</f>
        <v/>
      </c>
      <c r="U89" s="64">
        <f>(Table_1[[#This Row],[PREÇO JUSTO BAZIN]]-Table_1[[#This Row],[PREÇO]])/Table_1[[#This Row],[PREÇO JUSTO BAZIN]]</f>
        <v/>
      </c>
      <c r="V89" s="129">
        <f>Table_1[[#This Row],[DPA]]/6%</f>
        <v/>
      </c>
      <c r="W89" s="129">
        <f>Table_1[[#This Row],[PREÇO JUSTO BAZIN]]/(1+Table_1[[#This Row],[MARGEM DE DESCONTO]])</f>
        <v/>
      </c>
      <c r="X89" s="64">
        <f>(Table_1[[#This Row],[PREÇO JUSTO GRAHAM]]-Table_1[[#This Row],[PREÇO]])/Table_1[[#This Row],[PREÇO JUSTO GRAHAM]]</f>
        <v/>
      </c>
      <c r="Y89" s="129">
        <f>(22.5*Table_1[[#This Row],[LPA]]*Table_1[[#This Row],[VPA]])^0.5</f>
        <v/>
      </c>
      <c r="Z89" s="129">
        <f>Table_1[[#This Row],[PREÇO JUSTO GRAHAM]]/(1+Table_1[[#This Row],[MARGEM DE DESCONTO]])</f>
        <v/>
      </c>
      <c r="AA89" s="64">
        <f>(Table_1[[#This Row],[PREÇO JUSTO GORDON]]-Table_1[[#This Row],[PREÇO]])/Table_1[[#This Row],[PREÇO JUSTO GORDON]]</f>
        <v/>
      </c>
      <c r="AB89" s="130">
        <f>Table_1[[#This Row],[DPA]]*(1+Table_1[[#This Row],[MÉDIA DE CRESCIMENTO]])</f>
        <v/>
      </c>
      <c r="AC89" s="130">
        <f>Table_1[[#This Row],[D1]]/(Table_1[[#This Row],[RISCO]]-Table_1[[#This Row],[MÉDIA DE CRESCIMENTO]])</f>
        <v/>
      </c>
      <c r="AD89" s="130">
        <f>Table_1[[#This Row],[PREÇO JUSTO GORDON]]/(1+Table_1[[#This Row],[MARGEM DE DESCONTO]])</f>
        <v/>
      </c>
      <c r="AE89" s="78">
        <f>Table_1[[#This Row],[P/L]]/Table_1[[#This Row],[MÉDIA DE CRESCIMENTO]]</f>
        <v/>
      </c>
    </row>
    <row r="90" ht="15.75" customHeight="1">
      <c r="B90" s="77">
        <f>'Dados Status Invest'!A76</f>
        <v/>
      </c>
      <c r="C90" s="60">
        <f>VLOOKUP(Table_1[[#This Row],[AÇÕES]],'Classificação B3'!A:B,2,0)</f>
        <v/>
      </c>
      <c r="D90" s="60">
        <f>VLOOKUP(Table_1[[#This Row],[AÇÕES]],'Classificação B3'!A:D,4,0)</f>
        <v/>
      </c>
      <c r="E90" s="60">
        <f>VLOOKUP(Table_1[[#This Row],[AÇÕES]],'Classificação B3'!A:F,6,0)</f>
        <v/>
      </c>
      <c r="F90" s="60">
        <f>VLOOKUP(Table_1[[#This Row],[AÇÕES]],'Classificação B3'!A:G,7,0)</f>
        <v/>
      </c>
      <c r="G90" s="61">
        <f>VLOOKUP(Table_1[[#This Row],[AÇÕES]],'Dados Status Invest'!A:B,2,0)</f>
        <v/>
      </c>
      <c r="H90" s="62">
        <f>VLOOKUP(Table_1[[#This Row],[AÇÕES]],'Dados Status Invest'!A:C,3,0)/100</f>
        <v/>
      </c>
      <c r="I90" s="62">
        <f>VLOOKUP(Table_1[[#This Row],[AÇÕES]],'Dados Status Invest'!A:D,4,0)/100</f>
        <v/>
      </c>
      <c r="J90" s="63">
        <f>VLOOKUP(Table_1[[#This Row],[AÇÕES]],'Dados Status Invest'!A:AB,28,0)</f>
        <v/>
      </c>
      <c r="K90" s="63">
        <f>VLOOKUP(Table_1[[#This Row],[AÇÕES]],'Dados Status Invest'!A:AA,27,0)</f>
        <v/>
      </c>
      <c r="L90" s="63">
        <f>Table_1[[#This Row],[PREÇO]]*Table_1[[#This Row],[DY]]</f>
        <v/>
      </c>
      <c r="M90" s="62">
        <f>$E$13</f>
        <v/>
      </c>
      <c r="N90" s="62" t="n">
        <v>0.3</v>
      </c>
      <c r="O90" s="62">
        <f>Table_1[[#This Row],[DPA]]/Table_1[[#This Row],[LPA]]</f>
        <v/>
      </c>
      <c r="P90" s="62">
        <f>IF(Table_1[[#This Row],[PAYOUT]]&lt;=40%,"CRESCIMENTO",IF(Table_1[[#This Row],[PAYOUT]]&lt;=60%,"INDEFINIDO","DIVIDENDOS"))</f>
        <v/>
      </c>
      <c r="Q90" s="62">
        <f>VLOOKUP(Table_1[[#This Row],[AÇÕES]],'Dados Status Invest'!A:R,18,0)/100</f>
        <v/>
      </c>
      <c r="R90" s="62">
        <f>VLOOKUP(Table_1[[#This Row],[AÇÕES]],'Dados Status Invest'!A:Y,25,0)/100</f>
        <v/>
      </c>
      <c r="S90" s="62">
        <f>(1-Table_1[[#This Row],[PAYOUT]])*Table_1[[#This Row],[ROE]]</f>
        <v/>
      </c>
      <c r="T90" s="98">
        <f>AVERAGE(Table_1[[#This Row],[CAGR LUCRO 5A]],Table_1[[#This Row],[CRESCIMENTO DAMODARAN]])</f>
        <v/>
      </c>
      <c r="U90" s="64">
        <f>(Table_1[[#This Row],[PREÇO JUSTO BAZIN]]-Table_1[[#This Row],[PREÇO]])/Table_1[[#This Row],[PREÇO JUSTO BAZIN]]</f>
        <v/>
      </c>
      <c r="V90" s="129">
        <f>Table_1[[#This Row],[DPA]]/6%</f>
        <v/>
      </c>
      <c r="W90" s="129">
        <f>Table_1[[#This Row],[PREÇO JUSTO BAZIN]]/(1+Table_1[[#This Row],[MARGEM DE DESCONTO]])</f>
        <v/>
      </c>
      <c r="X90" s="64">
        <f>(Table_1[[#This Row],[PREÇO JUSTO GRAHAM]]-Table_1[[#This Row],[PREÇO]])/Table_1[[#This Row],[PREÇO JUSTO GRAHAM]]</f>
        <v/>
      </c>
      <c r="Y90" s="129">
        <f>(22.5*Table_1[[#This Row],[LPA]]*Table_1[[#This Row],[VPA]])^0.5</f>
        <v/>
      </c>
      <c r="Z90" s="129">
        <f>Table_1[[#This Row],[PREÇO JUSTO GRAHAM]]/(1+Table_1[[#This Row],[MARGEM DE DESCONTO]])</f>
        <v/>
      </c>
      <c r="AA90" s="64">
        <f>(Table_1[[#This Row],[PREÇO JUSTO GORDON]]-Table_1[[#This Row],[PREÇO]])/Table_1[[#This Row],[PREÇO JUSTO GORDON]]</f>
        <v/>
      </c>
      <c r="AB90" s="130">
        <f>Table_1[[#This Row],[DPA]]*(1+Table_1[[#This Row],[MÉDIA DE CRESCIMENTO]])</f>
        <v/>
      </c>
      <c r="AC90" s="130">
        <f>Table_1[[#This Row],[D1]]/(Table_1[[#This Row],[RISCO]]-Table_1[[#This Row],[MÉDIA DE CRESCIMENTO]])</f>
        <v/>
      </c>
      <c r="AD90" s="130">
        <f>Table_1[[#This Row],[PREÇO JUSTO GORDON]]/(1+Table_1[[#This Row],[MARGEM DE DESCONTO]])</f>
        <v/>
      </c>
      <c r="AE90" s="78">
        <f>Table_1[[#This Row],[P/L]]/Table_1[[#This Row],[MÉDIA DE CRESCIMENTO]]</f>
        <v/>
      </c>
    </row>
    <row r="91" ht="15.75" customHeight="1">
      <c r="B91" s="77">
        <f>'Dados Status Invest'!A77</f>
        <v/>
      </c>
      <c r="C91" s="60">
        <f>VLOOKUP(Table_1[[#This Row],[AÇÕES]],'Classificação B3'!A:B,2,0)</f>
        <v/>
      </c>
      <c r="D91" s="60">
        <f>VLOOKUP(Table_1[[#This Row],[AÇÕES]],'Classificação B3'!A:D,4,0)</f>
        <v/>
      </c>
      <c r="E91" s="60">
        <f>VLOOKUP(Table_1[[#This Row],[AÇÕES]],'Classificação B3'!A:F,6,0)</f>
        <v/>
      </c>
      <c r="F91" s="60">
        <f>VLOOKUP(Table_1[[#This Row],[AÇÕES]],'Classificação B3'!A:G,7,0)</f>
        <v/>
      </c>
      <c r="G91" s="61">
        <f>VLOOKUP(Table_1[[#This Row],[AÇÕES]],'Dados Status Invest'!A:B,2,0)</f>
        <v/>
      </c>
      <c r="H91" s="62">
        <f>VLOOKUP(Table_1[[#This Row],[AÇÕES]],'Dados Status Invest'!A:C,3,0)/100</f>
        <v/>
      </c>
      <c r="I91" s="62">
        <f>VLOOKUP(Table_1[[#This Row],[AÇÕES]],'Dados Status Invest'!A:D,4,0)/100</f>
        <v/>
      </c>
      <c r="J91" s="63">
        <f>VLOOKUP(Table_1[[#This Row],[AÇÕES]],'Dados Status Invest'!A:AB,28,0)</f>
        <v/>
      </c>
      <c r="K91" s="63">
        <f>VLOOKUP(Table_1[[#This Row],[AÇÕES]],'Dados Status Invest'!A:AA,27,0)</f>
        <v/>
      </c>
      <c r="L91" s="63">
        <f>Table_1[[#This Row],[PREÇO]]*Table_1[[#This Row],[DY]]</f>
        <v/>
      </c>
      <c r="M91" s="62">
        <f>$E$13</f>
        <v/>
      </c>
      <c r="N91" s="62" t="n">
        <v>0.3</v>
      </c>
      <c r="O91" s="62">
        <f>Table_1[[#This Row],[DPA]]/Table_1[[#This Row],[LPA]]</f>
        <v/>
      </c>
      <c r="P91" s="62">
        <f>IF(Table_1[[#This Row],[PAYOUT]]&lt;=40%,"CRESCIMENTO",IF(Table_1[[#This Row],[PAYOUT]]&lt;=60%,"INDEFINIDO","DIVIDENDOS"))</f>
        <v/>
      </c>
      <c r="Q91" s="62">
        <f>VLOOKUP(Table_1[[#This Row],[AÇÕES]],'Dados Status Invest'!A:R,18,0)/100</f>
        <v/>
      </c>
      <c r="R91" s="62">
        <f>VLOOKUP(Table_1[[#This Row],[AÇÕES]],'Dados Status Invest'!A:Y,25,0)/100</f>
        <v/>
      </c>
      <c r="S91" s="62">
        <f>(1-Table_1[[#This Row],[PAYOUT]])*Table_1[[#This Row],[ROE]]</f>
        <v/>
      </c>
      <c r="T91" s="98">
        <f>AVERAGE(Table_1[[#This Row],[CAGR LUCRO 5A]],Table_1[[#This Row],[CRESCIMENTO DAMODARAN]])</f>
        <v/>
      </c>
      <c r="U91" s="64">
        <f>(Table_1[[#This Row],[PREÇO JUSTO BAZIN]]-Table_1[[#This Row],[PREÇO]])/Table_1[[#This Row],[PREÇO JUSTO BAZIN]]</f>
        <v/>
      </c>
      <c r="V91" s="129">
        <f>Table_1[[#This Row],[DPA]]/6%</f>
        <v/>
      </c>
      <c r="W91" s="129">
        <f>Table_1[[#This Row],[PREÇO JUSTO BAZIN]]/(1+Table_1[[#This Row],[MARGEM DE DESCONTO]])</f>
        <v/>
      </c>
      <c r="X91" s="64">
        <f>(Table_1[[#This Row],[PREÇO JUSTO GRAHAM]]-Table_1[[#This Row],[PREÇO]])/Table_1[[#This Row],[PREÇO JUSTO GRAHAM]]</f>
        <v/>
      </c>
      <c r="Y91" s="129">
        <f>(22.5*Table_1[[#This Row],[LPA]]*Table_1[[#This Row],[VPA]])^0.5</f>
        <v/>
      </c>
      <c r="Z91" s="129">
        <f>Table_1[[#This Row],[PREÇO JUSTO GRAHAM]]/(1+Table_1[[#This Row],[MARGEM DE DESCONTO]])</f>
        <v/>
      </c>
      <c r="AA91" s="64">
        <f>(Table_1[[#This Row],[PREÇO JUSTO GORDON]]-Table_1[[#This Row],[PREÇO]])/Table_1[[#This Row],[PREÇO JUSTO GORDON]]</f>
        <v/>
      </c>
      <c r="AB91" s="130">
        <f>Table_1[[#This Row],[DPA]]*(1+Table_1[[#This Row],[MÉDIA DE CRESCIMENTO]])</f>
        <v/>
      </c>
      <c r="AC91" s="130">
        <f>Table_1[[#This Row],[D1]]/(Table_1[[#This Row],[RISCO]]-Table_1[[#This Row],[MÉDIA DE CRESCIMENTO]])</f>
        <v/>
      </c>
      <c r="AD91" s="130">
        <f>Table_1[[#This Row],[PREÇO JUSTO GORDON]]/(1+Table_1[[#This Row],[MARGEM DE DESCONTO]])</f>
        <v/>
      </c>
      <c r="AE91" s="78">
        <f>Table_1[[#This Row],[P/L]]/Table_1[[#This Row],[MÉDIA DE CRESCIMENTO]]</f>
        <v/>
      </c>
    </row>
    <row r="92" ht="15.75" customHeight="1">
      <c r="B92" s="77">
        <f>'Dados Status Invest'!A78</f>
        <v/>
      </c>
      <c r="C92" s="60">
        <f>VLOOKUP(Table_1[[#This Row],[AÇÕES]],'Classificação B3'!A:B,2,0)</f>
        <v/>
      </c>
      <c r="D92" s="60">
        <f>VLOOKUP(Table_1[[#This Row],[AÇÕES]],'Classificação B3'!A:D,4,0)</f>
        <v/>
      </c>
      <c r="E92" s="60">
        <f>VLOOKUP(Table_1[[#This Row],[AÇÕES]],'Classificação B3'!A:F,6,0)</f>
        <v/>
      </c>
      <c r="F92" s="60">
        <f>VLOOKUP(Table_1[[#This Row],[AÇÕES]],'Classificação B3'!A:G,7,0)</f>
        <v/>
      </c>
      <c r="G92" s="61">
        <f>VLOOKUP(Table_1[[#This Row],[AÇÕES]],'Dados Status Invest'!A:B,2,0)</f>
        <v/>
      </c>
      <c r="H92" s="62">
        <f>VLOOKUP(Table_1[[#This Row],[AÇÕES]],'Dados Status Invest'!A:C,3,0)/100</f>
        <v/>
      </c>
      <c r="I92" s="62">
        <f>VLOOKUP(Table_1[[#This Row],[AÇÕES]],'Dados Status Invest'!A:D,4,0)/100</f>
        <v/>
      </c>
      <c r="J92" s="63">
        <f>VLOOKUP(Table_1[[#This Row],[AÇÕES]],'Dados Status Invest'!A:AB,28,0)</f>
        <v/>
      </c>
      <c r="K92" s="63">
        <f>VLOOKUP(Table_1[[#This Row],[AÇÕES]],'Dados Status Invest'!A:AA,27,0)</f>
        <v/>
      </c>
      <c r="L92" s="63">
        <f>Table_1[[#This Row],[PREÇO]]*Table_1[[#This Row],[DY]]</f>
        <v/>
      </c>
      <c r="M92" s="62">
        <f>$E$13</f>
        <v/>
      </c>
      <c r="N92" s="62" t="n">
        <v>0.3</v>
      </c>
      <c r="O92" s="62">
        <f>Table_1[[#This Row],[DPA]]/Table_1[[#This Row],[LPA]]</f>
        <v/>
      </c>
      <c r="P92" s="62">
        <f>IF(Table_1[[#This Row],[PAYOUT]]&lt;=40%,"CRESCIMENTO",IF(Table_1[[#This Row],[PAYOUT]]&lt;=60%,"INDEFINIDO","DIVIDENDOS"))</f>
        <v/>
      </c>
      <c r="Q92" s="62">
        <f>VLOOKUP(Table_1[[#This Row],[AÇÕES]],'Dados Status Invest'!A:R,18,0)/100</f>
        <v/>
      </c>
      <c r="R92" s="62">
        <f>VLOOKUP(Table_1[[#This Row],[AÇÕES]],'Dados Status Invest'!A:Y,25,0)/100</f>
        <v/>
      </c>
      <c r="S92" s="62">
        <f>(1-Table_1[[#This Row],[PAYOUT]])*Table_1[[#This Row],[ROE]]</f>
        <v/>
      </c>
      <c r="T92" s="98">
        <f>AVERAGE(Table_1[[#This Row],[CAGR LUCRO 5A]],Table_1[[#This Row],[CRESCIMENTO DAMODARAN]])</f>
        <v/>
      </c>
      <c r="U92" s="64">
        <f>(Table_1[[#This Row],[PREÇO JUSTO BAZIN]]-Table_1[[#This Row],[PREÇO]])/Table_1[[#This Row],[PREÇO JUSTO BAZIN]]</f>
        <v/>
      </c>
      <c r="V92" s="129">
        <f>Table_1[[#This Row],[DPA]]/6%</f>
        <v/>
      </c>
      <c r="W92" s="129">
        <f>Table_1[[#This Row],[PREÇO JUSTO BAZIN]]/(1+Table_1[[#This Row],[MARGEM DE DESCONTO]])</f>
        <v/>
      </c>
      <c r="X92" s="64">
        <f>(Table_1[[#This Row],[PREÇO JUSTO GRAHAM]]-Table_1[[#This Row],[PREÇO]])/Table_1[[#This Row],[PREÇO JUSTO GRAHAM]]</f>
        <v/>
      </c>
      <c r="Y92" s="129">
        <f>(22.5*Table_1[[#This Row],[LPA]]*Table_1[[#This Row],[VPA]])^0.5</f>
        <v/>
      </c>
      <c r="Z92" s="129">
        <f>Table_1[[#This Row],[PREÇO JUSTO GRAHAM]]/(1+Table_1[[#This Row],[MARGEM DE DESCONTO]])</f>
        <v/>
      </c>
      <c r="AA92" s="64">
        <f>(Table_1[[#This Row],[PREÇO JUSTO GORDON]]-Table_1[[#This Row],[PREÇO]])/Table_1[[#This Row],[PREÇO JUSTO GORDON]]</f>
        <v/>
      </c>
      <c r="AB92" s="130">
        <f>Table_1[[#This Row],[DPA]]*(1+Table_1[[#This Row],[MÉDIA DE CRESCIMENTO]])</f>
        <v/>
      </c>
      <c r="AC92" s="130">
        <f>Table_1[[#This Row],[D1]]/(Table_1[[#This Row],[RISCO]]-Table_1[[#This Row],[MÉDIA DE CRESCIMENTO]])</f>
        <v/>
      </c>
      <c r="AD92" s="130">
        <f>Table_1[[#This Row],[PREÇO JUSTO GORDON]]/(1+Table_1[[#This Row],[MARGEM DE DESCONTO]])</f>
        <v/>
      </c>
      <c r="AE92" s="78">
        <f>Table_1[[#This Row],[P/L]]/Table_1[[#This Row],[MÉDIA DE CRESCIMENTO]]</f>
        <v/>
      </c>
    </row>
    <row r="93" ht="15.75" customHeight="1">
      <c r="B93" s="77">
        <f>'Dados Status Invest'!A79</f>
        <v/>
      </c>
      <c r="C93" s="60">
        <f>VLOOKUP(Table_1[[#This Row],[AÇÕES]],'Classificação B3'!A:B,2,0)</f>
        <v/>
      </c>
      <c r="D93" s="60">
        <f>VLOOKUP(Table_1[[#This Row],[AÇÕES]],'Classificação B3'!A:D,4,0)</f>
        <v/>
      </c>
      <c r="E93" s="60">
        <f>VLOOKUP(Table_1[[#This Row],[AÇÕES]],'Classificação B3'!A:F,6,0)</f>
        <v/>
      </c>
      <c r="F93" s="60">
        <f>VLOOKUP(Table_1[[#This Row],[AÇÕES]],'Classificação B3'!A:G,7,0)</f>
        <v/>
      </c>
      <c r="G93" s="61">
        <f>VLOOKUP(Table_1[[#This Row],[AÇÕES]],'Dados Status Invest'!A:B,2,0)</f>
        <v/>
      </c>
      <c r="H93" s="62">
        <f>VLOOKUP(Table_1[[#This Row],[AÇÕES]],'Dados Status Invest'!A:C,3,0)/100</f>
        <v/>
      </c>
      <c r="I93" s="62">
        <f>VLOOKUP(Table_1[[#This Row],[AÇÕES]],'Dados Status Invest'!A:D,4,0)/100</f>
        <v/>
      </c>
      <c r="J93" s="63">
        <f>VLOOKUP(Table_1[[#This Row],[AÇÕES]],'Dados Status Invest'!A:AB,28,0)</f>
        <v/>
      </c>
      <c r="K93" s="63">
        <f>VLOOKUP(Table_1[[#This Row],[AÇÕES]],'Dados Status Invest'!A:AA,27,0)</f>
        <v/>
      </c>
      <c r="L93" s="63">
        <f>Table_1[[#This Row],[PREÇO]]*Table_1[[#This Row],[DY]]</f>
        <v/>
      </c>
      <c r="M93" s="62">
        <f>$E$13</f>
        <v/>
      </c>
      <c r="N93" s="62" t="n">
        <v>0.3</v>
      </c>
      <c r="O93" s="62">
        <f>Table_1[[#This Row],[DPA]]/Table_1[[#This Row],[LPA]]</f>
        <v/>
      </c>
      <c r="P93" s="62">
        <f>IF(Table_1[[#This Row],[PAYOUT]]&lt;=40%,"CRESCIMENTO",IF(Table_1[[#This Row],[PAYOUT]]&lt;=60%,"INDEFINIDO","DIVIDENDOS"))</f>
        <v/>
      </c>
      <c r="Q93" s="62">
        <f>VLOOKUP(Table_1[[#This Row],[AÇÕES]],'Dados Status Invest'!A:R,18,0)/100</f>
        <v/>
      </c>
      <c r="R93" s="62">
        <f>VLOOKUP(Table_1[[#This Row],[AÇÕES]],'Dados Status Invest'!A:Y,25,0)/100</f>
        <v/>
      </c>
      <c r="S93" s="62">
        <f>(1-Table_1[[#This Row],[PAYOUT]])*Table_1[[#This Row],[ROE]]</f>
        <v/>
      </c>
      <c r="T93" s="98">
        <f>AVERAGE(Table_1[[#This Row],[CAGR LUCRO 5A]],Table_1[[#This Row],[CRESCIMENTO DAMODARAN]])</f>
        <v/>
      </c>
      <c r="U93" s="64">
        <f>(Table_1[[#This Row],[PREÇO JUSTO BAZIN]]-Table_1[[#This Row],[PREÇO]])/Table_1[[#This Row],[PREÇO JUSTO BAZIN]]</f>
        <v/>
      </c>
      <c r="V93" s="129">
        <f>Table_1[[#This Row],[DPA]]/6%</f>
        <v/>
      </c>
      <c r="W93" s="129">
        <f>Table_1[[#This Row],[PREÇO JUSTO BAZIN]]/(1+Table_1[[#This Row],[MARGEM DE DESCONTO]])</f>
        <v/>
      </c>
      <c r="X93" s="64">
        <f>(Table_1[[#This Row],[PREÇO JUSTO GRAHAM]]-Table_1[[#This Row],[PREÇO]])/Table_1[[#This Row],[PREÇO JUSTO GRAHAM]]</f>
        <v/>
      </c>
      <c r="Y93" s="129">
        <f>(22.5*Table_1[[#This Row],[LPA]]*Table_1[[#This Row],[VPA]])^0.5</f>
        <v/>
      </c>
      <c r="Z93" s="129">
        <f>Table_1[[#This Row],[PREÇO JUSTO GRAHAM]]/(1+Table_1[[#This Row],[MARGEM DE DESCONTO]])</f>
        <v/>
      </c>
      <c r="AA93" s="64">
        <f>(Table_1[[#This Row],[PREÇO JUSTO GORDON]]-Table_1[[#This Row],[PREÇO]])/Table_1[[#This Row],[PREÇO JUSTO GORDON]]</f>
        <v/>
      </c>
      <c r="AB93" s="130">
        <f>Table_1[[#This Row],[DPA]]*(1+Table_1[[#This Row],[MÉDIA DE CRESCIMENTO]])</f>
        <v/>
      </c>
      <c r="AC93" s="130">
        <f>Table_1[[#This Row],[D1]]/(Table_1[[#This Row],[RISCO]]-Table_1[[#This Row],[MÉDIA DE CRESCIMENTO]])</f>
        <v/>
      </c>
      <c r="AD93" s="130">
        <f>Table_1[[#This Row],[PREÇO JUSTO GORDON]]/(1+Table_1[[#This Row],[MARGEM DE DESCONTO]])</f>
        <v/>
      </c>
      <c r="AE93" s="78">
        <f>Table_1[[#This Row],[P/L]]/Table_1[[#This Row],[MÉDIA DE CRESCIMENTO]]</f>
        <v/>
      </c>
    </row>
    <row r="94" ht="15.75" customHeight="1">
      <c r="B94" s="77">
        <f>'Dados Status Invest'!A80</f>
        <v/>
      </c>
      <c r="C94" s="60">
        <f>VLOOKUP(Table_1[[#This Row],[AÇÕES]],'Classificação B3'!A:B,2,0)</f>
        <v/>
      </c>
      <c r="D94" s="60">
        <f>VLOOKUP(Table_1[[#This Row],[AÇÕES]],'Classificação B3'!A:D,4,0)</f>
        <v/>
      </c>
      <c r="E94" s="60">
        <f>VLOOKUP(Table_1[[#This Row],[AÇÕES]],'Classificação B3'!A:F,6,0)</f>
        <v/>
      </c>
      <c r="F94" s="60">
        <f>VLOOKUP(Table_1[[#This Row],[AÇÕES]],'Classificação B3'!A:G,7,0)</f>
        <v/>
      </c>
      <c r="G94" s="61">
        <f>VLOOKUP(Table_1[[#This Row],[AÇÕES]],'Dados Status Invest'!A:B,2,0)</f>
        <v/>
      </c>
      <c r="H94" s="62">
        <f>VLOOKUP(Table_1[[#This Row],[AÇÕES]],'Dados Status Invest'!A:C,3,0)/100</f>
        <v/>
      </c>
      <c r="I94" s="62">
        <f>VLOOKUP(Table_1[[#This Row],[AÇÕES]],'Dados Status Invest'!A:D,4,0)/100</f>
        <v/>
      </c>
      <c r="J94" s="63">
        <f>VLOOKUP(Table_1[[#This Row],[AÇÕES]],'Dados Status Invest'!A:AB,28,0)</f>
        <v/>
      </c>
      <c r="K94" s="63">
        <f>VLOOKUP(Table_1[[#This Row],[AÇÕES]],'Dados Status Invest'!A:AA,27,0)</f>
        <v/>
      </c>
      <c r="L94" s="63">
        <f>Table_1[[#This Row],[PREÇO]]*Table_1[[#This Row],[DY]]</f>
        <v/>
      </c>
      <c r="M94" s="62">
        <f>$E$13</f>
        <v/>
      </c>
      <c r="N94" s="62" t="n">
        <v>0.3</v>
      </c>
      <c r="O94" s="62">
        <f>Table_1[[#This Row],[DPA]]/Table_1[[#This Row],[LPA]]</f>
        <v/>
      </c>
      <c r="P94" s="62">
        <f>IF(Table_1[[#This Row],[PAYOUT]]&lt;=40%,"CRESCIMENTO",IF(Table_1[[#This Row],[PAYOUT]]&lt;=60%,"INDEFINIDO","DIVIDENDOS"))</f>
        <v/>
      </c>
      <c r="Q94" s="62">
        <f>VLOOKUP(Table_1[[#This Row],[AÇÕES]],'Dados Status Invest'!A:R,18,0)/100</f>
        <v/>
      </c>
      <c r="R94" s="62">
        <f>VLOOKUP(Table_1[[#This Row],[AÇÕES]],'Dados Status Invest'!A:Y,25,0)/100</f>
        <v/>
      </c>
      <c r="S94" s="62">
        <f>(1-Table_1[[#This Row],[PAYOUT]])*Table_1[[#This Row],[ROE]]</f>
        <v/>
      </c>
      <c r="T94" s="98">
        <f>AVERAGE(Table_1[[#This Row],[CAGR LUCRO 5A]],Table_1[[#This Row],[CRESCIMENTO DAMODARAN]])</f>
        <v/>
      </c>
      <c r="U94" s="64">
        <f>(Table_1[[#This Row],[PREÇO JUSTO BAZIN]]-Table_1[[#This Row],[PREÇO]])/Table_1[[#This Row],[PREÇO JUSTO BAZIN]]</f>
        <v/>
      </c>
      <c r="V94" s="129">
        <f>Table_1[[#This Row],[DPA]]/6%</f>
        <v/>
      </c>
      <c r="W94" s="129">
        <f>Table_1[[#This Row],[PREÇO JUSTO BAZIN]]/(1+Table_1[[#This Row],[MARGEM DE DESCONTO]])</f>
        <v/>
      </c>
      <c r="X94" s="64">
        <f>(Table_1[[#This Row],[PREÇO JUSTO GRAHAM]]-Table_1[[#This Row],[PREÇO]])/Table_1[[#This Row],[PREÇO JUSTO GRAHAM]]</f>
        <v/>
      </c>
      <c r="Y94" s="129">
        <f>(22.5*Table_1[[#This Row],[LPA]]*Table_1[[#This Row],[VPA]])^0.5</f>
        <v/>
      </c>
      <c r="Z94" s="129">
        <f>Table_1[[#This Row],[PREÇO JUSTO GRAHAM]]/(1+Table_1[[#This Row],[MARGEM DE DESCONTO]])</f>
        <v/>
      </c>
      <c r="AA94" s="64">
        <f>(Table_1[[#This Row],[PREÇO JUSTO GORDON]]-Table_1[[#This Row],[PREÇO]])/Table_1[[#This Row],[PREÇO JUSTO GORDON]]</f>
        <v/>
      </c>
      <c r="AB94" s="130">
        <f>Table_1[[#This Row],[DPA]]*(1+Table_1[[#This Row],[MÉDIA DE CRESCIMENTO]])</f>
        <v/>
      </c>
      <c r="AC94" s="130">
        <f>Table_1[[#This Row],[D1]]/(Table_1[[#This Row],[RISCO]]-Table_1[[#This Row],[MÉDIA DE CRESCIMENTO]])</f>
        <v/>
      </c>
      <c r="AD94" s="130">
        <f>Table_1[[#This Row],[PREÇO JUSTO GORDON]]/(1+Table_1[[#This Row],[MARGEM DE DESCONTO]])</f>
        <v/>
      </c>
      <c r="AE94" s="78">
        <f>Table_1[[#This Row],[P/L]]/Table_1[[#This Row],[MÉDIA DE CRESCIMENTO]]</f>
        <v/>
      </c>
    </row>
    <row r="95" ht="15.75" customHeight="1">
      <c r="B95" s="77">
        <f>'Dados Status Invest'!A81</f>
        <v/>
      </c>
      <c r="C95" s="60">
        <f>VLOOKUP(Table_1[[#This Row],[AÇÕES]],'Classificação B3'!A:B,2,0)</f>
        <v/>
      </c>
      <c r="D95" s="60">
        <f>VLOOKUP(Table_1[[#This Row],[AÇÕES]],'Classificação B3'!A:D,4,0)</f>
        <v/>
      </c>
      <c r="E95" s="60">
        <f>VLOOKUP(Table_1[[#This Row],[AÇÕES]],'Classificação B3'!A:F,6,0)</f>
        <v/>
      </c>
      <c r="F95" s="60">
        <f>VLOOKUP(Table_1[[#This Row],[AÇÕES]],'Classificação B3'!A:G,7,0)</f>
        <v/>
      </c>
      <c r="G95" s="61">
        <f>VLOOKUP(Table_1[[#This Row],[AÇÕES]],'Dados Status Invest'!A:B,2,0)</f>
        <v/>
      </c>
      <c r="H95" s="62">
        <f>VLOOKUP(Table_1[[#This Row],[AÇÕES]],'Dados Status Invest'!A:C,3,0)/100</f>
        <v/>
      </c>
      <c r="I95" s="62">
        <f>VLOOKUP(Table_1[[#This Row],[AÇÕES]],'Dados Status Invest'!A:D,4,0)/100</f>
        <v/>
      </c>
      <c r="J95" s="63">
        <f>VLOOKUP(Table_1[[#This Row],[AÇÕES]],'Dados Status Invest'!A:AB,28,0)</f>
        <v/>
      </c>
      <c r="K95" s="63">
        <f>VLOOKUP(Table_1[[#This Row],[AÇÕES]],'Dados Status Invest'!A:AA,27,0)</f>
        <v/>
      </c>
      <c r="L95" s="63">
        <f>Table_1[[#This Row],[PREÇO]]*Table_1[[#This Row],[DY]]</f>
        <v/>
      </c>
      <c r="M95" s="62">
        <f>$E$13</f>
        <v/>
      </c>
      <c r="N95" s="62" t="n">
        <v>0.3</v>
      </c>
      <c r="O95" s="62">
        <f>Table_1[[#This Row],[DPA]]/Table_1[[#This Row],[LPA]]</f>
        <v/>
      </c>
      <c r="P95" s="62">
        <f>IF(Table_1[[#This Row],[PAYOUT]]&lt;=40%,"CRESCIMENTO",IF(Table_1[[#This Row],[PAYOUT]]&lt;=60%,"INDEFINIDO","DIVIDENDOS"))</f>
        <v/>
      </c>
      <c r="Q95" s="62">
        <f>VLOOKUP(Table_1[[#This Row],[AÇÕES]],'Dados Status Invest'!A:R,18,0)/100</f>
        <v/>
      </c>
      <c r="R95" s="62">
        <f>VLOOKUP(Table_1[[#This Row],[AÇÕES]],'Dados Status Invest'!A:Y,25,0)/100</f>
        <v/>
      </c>
      <c r="S95" s="62">
        <f>(1-Table_1[[#This Row],[PAYOUT]])*Table_1[[#This Row],[ROE]]</f>
        <v/>
      </c>
      <c r="T95" s="98">
        <f>AVERAGE(Table_1[[#This Row],[CAGR LUCRO 5A]],Table_1[[#This Row],[CRESCIMENTO DAMODARAN]])</f>
        <v/>
      </c>
      <c r="U95" s="64">
        <f>(Table_1[[#This Row],[PREÇO JUSTO BAZIN]]-Table_1[[#This Row],[PREÇO]])/Table_1[[#This Row],[PREÇO JUSTO BAZIN]]</f>
        <v/>
      </c>
      <c r="V95" s="129">
        <f>Table_1[[#This Row],[DPA]]/6%</f>
        <v/>
      </c>
      <c r="W95" s="129">
        <f>Table_1[[#This Row],[PREÇO JUSTO BAZIN]]/(1+Table_1[[#This Row],[MARGEM DE DESCONTO]])</f>
        <v/>
      </c>
      <c r="X95" s="64">
        <f>(Table_1[[#This Row],[PREÇO JUSTO GRAHAM]]-Table_1[[#This Row],[PREÇO]])/Table_1[[#This Row],[PREÇO JUSTO GRAHAM]]</f>
        <v/>
      </c>
      <c r="Y95" s="129">
        <f>(22.5*Table_1[[#This Row],[LPA]]*Table_1[[#This Row],[VPA]])^0.5</f>
        <v/>
      </c>
      <c r="Z95" s="129">
        <f>Table_1[[#This Row],[PREÇO JUSTO GRAHAM]]/(1+Table_1[[#This Row],[MARGEM DE DESCONTO]])</f>
        <v/>
      </c>
      <c r="AA95" s="64">
        <f>(Table_1[[#This Row],[PREÇO JUSTO GORDON]]-Table_1[[#This Row],[PREÇO]])/Table_1[[#This Row],[PREÇO JUSTO GORDON]]</f>
        <v/>
      </c>
      <c r="AB95" s="130">
        <f>Table_1[[#This Row],[DPA]]*(1+Table_1[[#This Row],[MÉDIA DE CRESCIMENTO]])</f>
        <v/>
      </c>
      <c r="AC95" s="130">
        <f>Table_1[[#This Row],[D1]]/(Table_1[[#This Row],[RISCO]]-Table_1[[#This Row],[MÉDIA DE CRESCIMENTO]])</f>
        <v/>
      </c>
      <c r="AD95" s="130">
        <f>Table_1[[#This Row],[PREÇO JUSTO GORDON]]/(1+Table_1[[#This Row],[MARGEM DE DESCONTO]])</f>
        <v/>
      </c>
      <c r="AE95" s="78">
        <f>Table_1[[#This Row],[P/L]]/Table_1[[#This Row],[MÉDIA DE CRESCIMENTO]]</f>
        <v/>
      </c>
    </row>
    <row r="96" ht="15.75" customHeight="1">
      <c r="B96" s="77">
        <f>'Dados Status Invest'!A82</f>
        <v/>
      </c>
      <c r="C96" s="60">
        <f>VLOOKUP(Table_1[[#This Row],[AÇÕES]],'Classificação B3'!A:B,2,0)</f>
        <v/>
      </c>
      <c r="D96" s="60">
        <f>VLOOKUP(Table_1[[#This Row],[AÇÕES]],'Classificação B3'!A:D,4,0)</f>
        <v/>
      </c>
      <c r="E96" s="60">
        <f>VLOOKUP(Table_1[[#This Row],[AÇÕES]],'Classificação B3'!A:F,6,0)</f>
        <v/>
      </c>
      <c r="F96" s="60">
        <f>VLOOKUP(Table_1[[#This Row],[AÇÕES]],'Classificação B3'!A:G,7,0)</f>
        <v/>
      </c>
      <c r="G96" s="61">
        <f>VLOOKUP(Table_1[[#This Row],[AÇÕES]],'Dados Status Invest'!A:B,2,0)</f>
        <v/>
      </c>
      <c r="H96" s="62">
        <f>VLOOKUP(Table_1[[#This Row],[AÇÕES]],'Dados Status Invest'!A:C,3,0)/100</f>
        <v/>
      </c>
      <c r="I96" s="62">
        <f>VLOOKUP(Table_1[[#This Row],[AÇÕES]],'Dados Status Invest'!A:D,4,0)/100</f>
        <v/>
      </c>
      <c r="J96" s="63">
        <f>VLOOKUP(Table_1[[#This Row],[AÇÕES]],'Dados Status Invest'!A:AB,28,0)</f>
        <v/>
      </c>
      <c r="K96" s="63">
        <f>VLOOKUP(Table_1[[#This Row],[AÇÕES]],'Dados Status Invest'!A:AA,27,0)</f>
        <v/>
      </c>
      <c r="L96" s="63">
        <f>Table_1[[#This Row],[PREÇO]]*Table_1[[#This Row],[DY]]</f>
        <v/>
      </c>
      <c r="M96" s="62">
        <f>$E$13</f>
        <v/>
      </c>
      <c r="N96" s="62" t="n">
        <v>0.3</v>
      </c>
      <c r="O96" s="62">
        <f>Table_1[[#This Row],[DPA]]/Table_1[[#This Row],[LPA]]</f>
        <v/>
      </c>
      <c r="P96" s="62">
        <f>IF(Table_1[[#This Row],[PAYOUT]]&lt;=40%,"CRESCIMENTO",IF(Table_1[[#This Row],[PAYOUT]]&lt;=60%,"INDEFINIDO","DIVIDENDOS"))</f>
        <v/>
      </c>
      <c r="Q96" s="62">
        <f>VLOOKUP(Table_1[[#This Row],[AÇÕES]],'Dados Status Invest'!A:R,18,0)/100</f>
        <v/>
      </c>
      <c r="R96" s="62">
        <f>VLOOKUP(Table_1[[#This Row],[AÇÕES]],'Dados Status Invest'!A:Y,25,0)/100</f>
        <v/>
      </c>
      <c r="S96" s="62">
        <f>(1-Table_1[[#This Row],[PAYOUT]])*Table_1[[#This Row],[ROE]]</f>
        <v/>
      </c>
      <c r="T96" s="98">
        <f>AVERAGE(Table_1[[#This Row],[CAGR LUCRO 5A]],Table_1[[#This Row],[CRESCIMENTO DAMODARAN]])</f>
        <v/>
      </c>
      <c r="U96" s="64">
        <f>(Table_1[[#This Row],[PREÇO JUSTO BAZIN]]-Table_1[[#This Row],[PREÇO]])/Table_1[[#This Row],[PREÇO JUSTO BAZIN]]</f>
        <v/>
      </c>
      <c r="V96" s="129">
        <f>Table_1[[#This Row],[DPA]]/6%</f>
        <v/>
      </c>
      <c r="W96" s="129">
        <f>Table_1[[#This Row],[PREÇO JUSTO BAZIN]]/(1+Table_1[[#This Row],[MARGEM DE DESCONTO]])</f>
        <v/>
      </c>
      <c r="X96" s="64">
        <f>(Table_1[[#This Row],[PREÇO JUSTO GRAHAM]]-Table_1[[#This Row],[PREÇO]])/Table_1[[#This Row],[PREÇO JUSTO GRAHAM]]</f>
        <v/>
      </c>
      <c r="Y96" s="129">
        <f>(22.5*Table_1[[#This Row],[LPA]]*Table_1[[#This Row],[VPA]])^0.5</f>
        <v/>
      </c>
      <c r="Z96" s="129">
        <f>Table_1[[#This Row],[PREÇO JUSTO GRAHAM]]/(1+Table_1[[#This Row],[MARGEM DE DESCONTO]])</f>
        <v/>
      </c>
      <c r="AA96" s="64">
        <f>(Table_1[[#This Row],[PREÇO JUSTO GORDON]]-Table_1[[#This Row],[PREÇO]])/Table_1[[#This Row],[PREÇO JUSTO GORDON]]</f>
        <v/>
      </c>
      <c r="AB96" s="130">
        <f>Table_1[[#This Row],[DPA]]*(1+Table_1[[#This Row],[MÉDIA DE CRESCIMENTO]])</f>
        <v/>
      </c>
      <c r="AC96" s="130">
        <f>Table_1[[#This Row],[D1]]/(Table_1[[#This Row],[RISCO]]-Table_1[[#This Row],[MÉDIA DE CRESCIMENTO]])</f>
        <v/>
      </c>
      <c r="AD96" s="130">
        <f>Table_1[[#This Row],[PREÇO JUSTO GORDON]]/(1+Table_1[[#This Row],[MARGEM DE DESCONTO]])</f>
        <v/>
      </c>
      <c r="AE96" s="78">
        <f>Table_1[[#This Row],[P/L]]/Table_1[[#This Row],[MÉDIA DE CRESCIMENTO]]</f>
        <v/>
      </c>
    </row>
    <row r="97" ht="15.75" customHeight="1">
      <c r="B97" s="77">
        <f>'Dados Status Invest'!A83</f>
        <v/>
      </c>
      <c r="C97" s="60">
        <f>VLOOKUP(Table_1[[#This Row],[AÇÕES]],'Classificação B3'!A:B,2,0)</f>
        <v/>
      </c>
      <c r="D97" s="60">
        <f>VLOOKUP(Table_1[[#This Row],[AÇÕES]],'Classificação B3'!A:D,4,0)</f>
        <v/>
      </c>
      <c r="E97" s="60">
        <f>VLOOKUP(Table_1[[#This Row],[AÇÕES]],'Classificação B3'!A:F,6,0)</f>
        <v/>
      </c>
      <c r="F97" s="60">
        <f>VLOOKUP(Table_1[[#This Row],[AÇÕES]],'Classificação B3'!A:G,7,0)</f>
        <v/>
      </c>
      <c r="G97" s="61">
        <f>VLOOKUP(Table_1[[#This Row],[AÇÕES]],'Dados Status Invest'!A:B,2,0)</f>
        <v/>
      </c>
      <c r="H97" s="62">
        <f>VLOOKUP(Table_1[[#This Row],[AÇÕES]],'Dados Status Invest'!A:C,3,0)/100</f>
        <v/>
      </c>
      <c r="I97" s="62">
        <f>VLOOKUP(Table_1[[#This Row],[AÇÕES]],'Dados Status Invest'!A:D,4,0)/100</f>
        <v/>
      </c>
      <c r="J97" s="63">
        <f>VLOOKUP(Table_1[[#This Row],[AÇÕES]],'Dados Status Invest'!A:AB,28,0)</f>
        <v/>
      </c>
      <c r="K97" s="63">
        <f>VLOOKUP(Table_1[[#This Row],[AÇÕES]],'Dados Status Invest'!A:AA,27,0)</f>
        <v/>
      </c>
      <c r="L97" s="63">
        <f>Table_1[[#This Row],[PREÇO]]*Table_1[[#This Row],[DY]]</f>
        <v/>
      </c>
      <c r="M97" s="62">
        <f>$E$13</f>
        <v/>
      </c>
      <c r="N97" s="62" t="n">
        <v>0.3</v>
      </c>
      <c r="O97" s="62">
        <f>Table_1[[#This Row],[DPA]]/Table_1[[#This Row],[LPA]]</f>
        <v/>
      </c>
      <c r="P97" s="62">
        <f>IF(Table_1[[#This Row],[PAYOUT]]&lt;=40%,"CRESCIMENTO",IF(Table_1[[#This Row],[PAYOUT]]&lt;=60%,"INDEFINIDO","DIVIDENDOS"))</f>
        <v/>
      </c>
      <c r="Q97" s="62">
        <f>VLOOKUP(Table_1[[#This Row],[AÇÕES]],'Dados Status Invest'!A:R,18,0)/100</f>
        <v/>
      </c>
      <c r="R97" s="62">
        <f>VLOOKUP(Table_1[[#This Row],[AÇÕES]],'Dados Status Invest'!A:Y,25,0)/100</f>
        <v/>
      </c>
      <c r="S97" s="62">
        <f>(1-Table_1[[#This Row],[PAYOUT]])*Table_1[[#This Row],[ROE]]</f>
        <v/>
      </c>
      <c r="T97" s="98">
        <f>AVERAGE(Table_1[[#This Row],[CAGR LUCRO 5A]],Table_1[[#This Row],[CRESCIMENTO DAMODARAN]])</f>
        <v/>
      </c>
      <c r="U97" s="64">
        <f>(Table_1[[#This Row],[PREÇO JUSTO BAZIN]]-Table_1[[#This Row],[PREÇO]])/Table_1[[#This Row],[PREÇO JUSTO BAZIN]]</f>
        <v/>
      </c>
      <c r="V97" s="129">
        <f>Table_1[[#This Row],[DPA]]/6%</f>
        <v/>
      </c>
      <c r="W97" s="129">
        <f>Table_1[[#This Row],[PREÇO JUSTO BAZIN]]/(1+Table_1[[#This Row],[MARGEM DE DESCONTO]])</f>
        <v/>
      </c>
      <c r="X97" s="64">
        <f>(Table_1[[#This Row],[PREÇO JUSTO GRAHAM]]-Table_1[[#This Row],[PREÇO]])/Table_1[[#This Row],[PREÇO JUSTO GRAHAM]]</f>
        <v/>
      </c>
      <c r="Y97" s="129">
        <f>(22.5*Table_1[[#This Row],[LPA]]*Table_1[[#This Row],[VPA]])^0.5</f>
        <v/>
      </c>
      <c r="Z97" s="129">
        <f>Table_1[[#This Row],[PREÇO JUSTO GRAHAM]]/(1+Table_1[[#This Row],[MARGEM DE DESCONTO]])</f>
        <v/>
      </c>
      <c r="AA97" s="64">
        <f>(Table_1[[#This Row],[PREÇO JUSTO GORDON]]-Table_1[[#This Row],[PREÇO]])/Table_1[[#This Row],[PREÇO JUSTO GORDON]]</f>
        <v/>
      </c>
      <c r="AB97" s="130">
        <f>Table_1[[#This Row],[DPA]]*(1+Table_1[[#This Row],[MÉDIA DE CRESCIMENTO]])</f>
        <v/>
      </c>
      <c r="AC97" s="130">
        <f>Table_1[[#This Row],[D1]]/(Table_1[[#This Row],[RISCO]]-Table_1[[#This Row],[MÉDIA DE CRESCIMENTO]])</f>
        <v/>
      </c>
      <c r="AD97" s="130">
        <f>Table_1[[#This Row],[PREÇO JUSTO GORDON]]/(1+Table_1[[#This Row],[MARGEM DE DESCONTO]])</f>
        <v/>
      </c>
      <c r="AE97" s="78">
        <f>Table_1[[#This Row],[P/L]]/Table_1[[#This Row],[MÉDIA DE CRESCIMENTO]]</f>
        <v/>
      </c>
    </row>
    <row r="98" ht="15.75" customHeight="1">
      <c r="B98" s="77">
        <f>'Dados Status Invest'!A84</f>
        <v/>
      </c>
      <c r="C98" s="60">
        <f>VLOOKUP(Table_1[[#This Row],[AÇÕES]],'Classificação B3'!A:B,2,0)</f>
        <v/>
      </c>
      <c r="D98" s="60">
        <f>VLOOKUP(Table_1[[#This Row],[AÇÕES]],'Classificação B3'!A:D,4,0)</f>
        <v/>
      </c>
      <c r="E98" s="60">
        <f>VLOOKUP(Table_1[[#This Row],[AÇÕES]],'Classificação B3'!A:F,6,0)</f>
        <v/>
      </c>
      <c r="F98" s="60">
        <f>VLOOKUP(Table_1[[#This Row],[AÇÕES]],'Classificação B3'!A:G,7,0)</f>
        <v/>
      </c>
      <c r="G98" s="61">
        <f>VLOOKUP(Table_1[[#This Row],[AÇÕES]],'Dados Status Invest'!A:B,2,0)</f>
        <v/>
      </c>
      <c r="H98" s="62">
        <f>VLOOKUP(Table_1[[#This Row],[AÇÕES]],'Dados Status Invest'!A:C,3,0)/100</f>
        <v/>
      </c>
      <c r="I98" s="62">
        <f>VLOOKUP(Table_1[[#This Row],[AÇÕES]],'Dados Status Invest'!A:D,4,0)/100</f>
        <v/>
      </c>
      <c r="J98" s="63">
        <f>VLOOKUP(Table_1[[#This Row],[AÇÕES]],'Dados Status Invest'!A:AB,28,0)</f>
        <v/>
      </c>
      <c r="K98" s="63">
        <f>VLOOKUP(Table_1[[#This Row],[AÇÕES]],'Dados Status Invest'!A:AA,27,0)</f>
        <v/>
      </c>
      <c r="L98" s="63">
        <f>Table_1[[#This Row],[PREÇO]]*Table_1[[#This Row],[DY]]</f>
        <v/>
      </c>
      <c r="M98" s="62">
        <f>$E$13</f>
        <v/>
      </c>
      <c r="N98" s="62" t="n">
        <v>0.3</v>
      </c>
      <c r="O98" s="62">
        <f>Table_1[[#This Row],[DPA]]/Table_1[[#This Row],[LPA]]</f>
        <v/>
      </c>
      <c r="P98" s="62">
        <f>IF(Table_1[[#This Row],[PAYOUT]]&lt;=40%,"CRESCIMENTO",IF(Table_1[[#This Row],[PAYOUT]]&lt;=60%,"INDEFINIDO","DIVIDENDOS"))</f>
        <v/>
      </c>
      <c r="Q98" s="62">
        <f>VLOOKUP(Table_1[[#This Row],[AÇÕES]],'Dados Status Invest'!A:R,18,0)/100</f>
        <v/>
      </c>
      <c r="R98" s="62">
        <f>VLOOKUP(Table_1[[#This Row],[AÇÕES]],'Dados Status Invest'!A:Y,25,0)/100</f>
        <v/>
      </c>
      <c r="S98" s="62">
        <f>(1-Table_1[[#This Row],[PAYOUT]])*Table_1[[#This Row],[ROE]]</f>
        <v/>
      </c>
      <c r="T98" s="98">
        <f>AVERAGE(Table_1[[#This Row],[CAGR LUCRO 5A]],Table_1[[#This Row],[CRESCIMENTO DAMODARAN]])</f>
        <v/>
      </c>
      <c r="U98" s="64">
        <f>(Table_1[[#This Row],[PREÇO JUSTO BAZIN]]-Table_1[[#This Row],[PREÇO]])/Table_1[[#This Row],[PREÇO JUSTO BAZIN]]</f>
        <v/>
      </c>
      <c r="V98" s="129">
        <f>Table_1[[#This Row],[DPA]]/6%</f>
        <v/>
      </c>
      <c r="W98" s="129">
        <f>Table_1[[#This Row],[PREÇO JUSTO BAZIN]]/(1+Table_1[[#This Row],[MARGEM DE DESCONTO]])</f>
        <v/>
      </c>
      <c r="X98" s="64">
        <f>(Table_1[[#This Row],[PREÇO JUSTO GRAHAM]]-Table_1[[#This Row],[PREÇO]])/Table_1[[#This Row],[PREÇO JUSTO GRAHAM]]</f>
        <v/>
      </c>
      <c r="Y98" s="129">
        <f>(22.5*Table_1[[#This Row],[LPA]]*Table_1[[#This Row],[VPA]])^0.5</f>
        <v/>
      </c>
      <c r="Z98" s="129">
        <f>Table_1[[#This Row],[PREÇO JUSTO GRAHAM]]/(1+Table_1[[#This Row],[MARGEM DE DESCONTO]])</f>
        <v/>
      </c>
      <c r="AA98" s="64">
        <f>(Table_1[[#This Row],[PREÇO JUSTO GORDON]]-Table_1[[#This Row],[PREÇO]])/Table_1[[#This Row],[PREÇO JUSTO GORDON]]</f>
        <v/>
      </c>
      <c r="AB98" s="130">
        <f>Table_1[[#This Row],[DPA]]*(1+Table_1[[#This Row],[MÉDIA DE CRESCIMENTO]])</f>
        <v/>
      </c>
      <c r="AC98" s="130">
        <f>Table_1[[#This Row],[D1]]/(Table_1[[#This Row],[RISCO]]-Table_1[[#This Row],[MÉDIA DE CRESCIMENTO]])</f>
        <v/>
      </c>
      <c r="AD98" s="130">
        <f>Table_1[[#This Row],[PREÇO JUSTO GORDON]]/(1+Table_1[[#This Row],[MARGEM DE DESCONTO]])</f>
        <v/>
      </c>
      <c r="AE98" s="78">
        <f>Table_1[[#This Row],[P/L]]/Table_1[[#This Row],[MÉDIA DE CRESCIMENTO]]</f>
        <v/>
      </c>
    </row>
    <row r="99" ht="15.75" customHeight="1">
      <c r="B99" s="77">
        <f>'Dados Status Invest'!A85</f>
        <v/>
      </c>
      <c r="C99" s="60">
        <f>VLOOKUP(Table_1[[#This Row],[AÇÕES]],'Classificação B3'!A:B,2,0)</f>
        <v/>
      </c>
      <c r="D99" s="60">
        <f>VLOOKUP(Table_1[[#This Row],[AÇÕES]],'Classificação B3'!A:D,4,0)</f>
        <v/>
      </c>
      <c r="E99" s="60">
        <f>VLOOKUP(Table_1[[#This Row],[AÇÕES]],'Classificação B3'!A:F,6,0)</f>
        <v/>
      </c>
      <c r="F99" s="60">
        <f>VLOOKUP(Table_1[[#This Row],[AÇÕES]],'Classificação B3'!A:G,7,0)</f>
        <v/>
      </c>
      <c r="G99" s="61">
        <f>VLOOKUP(Table_1[[#This Row],[AÇÕES]],'Dados Status Invest'!A:B,2,0)</f>
        <v/>
      </c>
      <c r="H99" s="62">
        <f>VLOOKUP(Table_1[[#This Row],[AÇÕES]],'Dados Status Invest'!A:C,3,0)/100</f>
        <v/>
      </c>
      <c r="I99" s="62">
        <f>VLOOKUP(Table_1[[#This Row],[AÇÕES]],'Dados Status Invest'!A:D,4,0)/100</f>
        <v/>
      </c>
      <c r="J99" s="63">
        <f>VLOOKUP(Table_1[[#This Row],[AÇÕES]],'Dados Status Invest'!A:AB,28,0)</f>
        <v/>
      </c>
      <c r="K99" s="63">
        <f>VLOOKUP(Table_1[[#This Row],[AÇÕES]],'Dados Status Invest'!A:AA,27,0)</f>
        <v/>
      </c>
      <c r="L99" s="63">
        <f>Table_1[[#This Row],[PREÇO]]*Table_1[[#This Row],[DY]]</f>
        <v/>
      </c>
      <c r="M99" s="62">
        <f>$E$13</f>
        <v/>
      </c>
      <c r="N99" s="62" t="n">
        <v>0.3</v>
      </c>
      <c r="O99" s="62">
        <f>Table_1[[#This Row],[DPA]]/Table_1[[#This Row],[LPA]]</f>
        <v/>
      </c>
      <c r="P99" s="62">
        <f>IF(Table_1[[#This Row],[PAYOUT]]&lt;=40%,"CRESCIMENTO",IF(Table_1[[#This Row],[PAYOUT]]&lt;=60%,"INDEFINIDO","DIVIDENDOS"))</f>
        <v/>
      </c>
      <c r="Q99" s="62">
        <f>VLOOKUP(Table_1[[#This Row],[AÇÕES]],'Dados Status Invest'!A:R,18,0)/100</f>
        <v/>
      </c>
      <c r="R99" s="62">
        <f>VLOOKUP(Table_1[[#This Row],[AÇÕES]],'Dados Status Invest'!A:Y,25,0)/100</f>
        <v/>
      </c>
      <c r="S99" s="62">
        <f>(1-Table_1[[#This Row],[PAYOUT]])*Table_1[[#This Row],[ROE]]</f>
        <v/>
      </c>
      <c r="T99" s="98">
        <f>AVERAGE(Table_1[[#This Row],[CAGR LUCRO 5A]],Table_1[[#This Row],[CRESCIMENTO DAMODARAN]])</f>
        <v/>
      </c>
      <c r="U99" s="64">
        <f>(Table_1[[#This Row],[PREÇO JUSTO BAZIN]]-Table_1[[#This Row],[PREÇO]])/Table_1[[#This Row],[PREÇO JUSTO BAZIN]]</f>
        <v/>
      </c>
      <c r="V99" s="129">
        <f>Table_1[[#This Row],[DPA]]/6%</f>
        <v/>
      </c>
      <c r="W99" s="129">
        <f>Table_1[[#This Row],[PREÇO JUSTO BAZIN]]/(1+Table_1[[#This Row],[MARGEM DE DESCONTO]])</f>
        <v/>
      </c>
      <c r="X99" s="64">
        <f>(Table_1[[#This Row],[PREÇO JUSTO GRAHAM]]-Table_1[[#This Row],[PREÇO]])/Table_1[[#This Row],[PREÇO JUSTO GRAHAM]]</f>
        <v/>
      </c>
      <c r="Y99" s="129">
        <f>(22.5*Table_1[[#This Row],[LPA]]*Table_1[[#This Row],[VPA]])^0.5</f>
        <v/>
      </c>
      <c r="Z99" s="129">
        <f>Table_1[[#This Row],[PREÇO JUSTO GRAHAM]]/(1+Table_1[[#This Row],[MARGEM DE DESCONTO]])</f>
        <v/>
      </c>
      <c r="AA99" s="64">
        <f>(Table_1[[#This Row],[PREÇO JUSTO GORDON]]-Table_1[[#This Row],[PREÇO]])/Table_1[[#This Row],[PREÇO JUSTO GORDON]]</f>
        <v/>
      </c>
      <c r="AB99" s="130">
        <f>Table_1[[#This Row],[DPA]]*(1+Table_1[[#This Row],[MÉDIA DE CRESCIMENTO]])</f>
        <v/>
      </c>
      <c r="AC99" s="130">
        <f>Table_1[[#This Row],[D1]]/(Table_1[[#This Row],[RISCO]]-Table_1[[#This Row],[MÉDIA DE CRESCIMENTO]])</f>
        <v/>
      </c>
      <c r="AD99" s="130">
        <f>Table_1[[#This Row],[PREÇO JUSTO GORDON]]/(1+Table_1[[#This Row],[MARGEM DE DESCONTO]])</f>
        <v/>
      </c>
      <c r="AE99" s="78">
        <f>Table_1[[#This Row],[P/L]]/Table_1[[#This Row],[MÉDIA DE CRESCIMENTO]]</f>
        <v/>
      </c>
    </row>
    <row r="100" ht="15.75" customHeight="1">
      <c r="B100" s="77">
        <f>'Dados Status Invest'!A86</f>
        <v/>
      </c>
      <c r="C100" s="60">
        <f>VLOOKUP(Table_1[[#This Row],[AÇÕES]],'Classificação B3'!A:B,2,0)</f>
        <v/>
      </c>
      <c r="D100" s="60">
        <f>VLOOKUP(Table_1[[#This Row],[AÇÕES]],'Classificação B3'!A:D,4,0)</f>
        <v/>
      </c>
      <c r="E100" s="60">
        <f>VLOOKUP(Table_1[[#This Row],[AÇÕES]],'Classificação B3'!A:F,6,0)</f>
        <v/>
      </c>
      <c r="F100" s="60">
        <f>VLOOKUP(Table_1[[#This Row],[AÇÕES]],'Classificação B3'!A:G,7,0)</f>
        <v/>
      </c>
      <c r="G100" s="61">
        <f>VLOOKUP(Table_1[[#This Row],[AÇÕES]],'Dados Status Invest'!A:B,2,0)</f>
        <v/>
      </c>
      <c r="H100" s="62">
        <f>VLOOKUP(Table_1[[#This Row],[AÇÕES]],'Dados Status Invest'!A:C,3,0)/100</f>
        <v/>
      </c>
      <c r="I100" s="62">
        <f>VLOOKUP(Table_1[[#This Row],[AÇÕES]],'Dados Status Invest'!A:D,4,0)/100</f>
        <v/>
      </c>
      <c r="J100" s="63">
        <f>VLOOKUP(Table_1[[#This Row],[AÇÕES]],'Dados Status Invest'!A:AB,28,0)</f>
        <v/>
      </c>
      <c r="K100" s="63">
        <f>VLOOKUP(Table_1[[#This Row],[AÇÕES]],'Dados Status Invest'!A:AA,27,0)</f>
        <v/>
      </c>
      <c r="L100" s="63">
        <f>Table_1[[#This Row],[PREÇO]]*Table_1[[#This Row],[DY]]</f>
        <v/>
      </c>
      <c r="M100" s="62">
        <f>$E$13</f>
        <v/>
      </c>
      <c r="N100" s="62" t="n">
        <v>0.3</v>
      </c>
      <c r="O100" s="62">
        <f>Table_1[[#This Row],[DPA]]/Table_1[[#This Row],[LPA]]</f>
        <v/>
      </c>
      <c r="P100" s="62">
        <f>IF(Table_1[[#This Row],[PAYOUT]]&lt;=40%,"CRESCIMENTO",IF(Table_1[[#This Row],[PAYOUT]]&lt;=60%,"INDEFINIDO","DIVIDENDOS"))</f>
        <v/>
      </c>
      <c r="Q100" s="62">
        <f>VLOOKUP(Table_1[[#This Row],[AÇÕES]],'Dados Status Invest'!A:R,18,0)/100</f>
        <v/>
      </c>
      <c r="R100" s="62">
        <f>VLOOKUP(Table_1[[#This Row],[AÇÕES]],'Dados Status Invest'!A:Y,25,0)/100</f>
        <v/>
      </c>
      <c r="S100" s="62">
        <f>(1-Table_1[[#This Row],[PAYOUT]])*Table_1[[#This Row],[ROE]]</f>
        <v/>
      </c>
      <c r="T100" s="98">
        <f>AVERAGE(Table_1[[#This Row],[CAGR LUCRO 5A]],Table_1[[#This Row],[CRESCIMENTO DAMODARAN]])</f>
        <v/>
      </c>
      <c r="U100" s="64">
        <f>(Table_1[[#This Row],[PREÇO JUSTO BAZIN]]-Table_1[[#This Row],[PREÇO]])/Table_1[[#This Row],[PREÇO JUSTO BAZIN]]</f>
        <v/>
      </c>
      <c r="V100" s="129">
        <f>Table_1[[#This Row],[DPA]]/6%</f>
        <v/>
      </c>
      <c r="W100" s="129">
        <f>Table_1[[#This Row],[PREÇO JUSTO BAZIN]]/(1+Table_1[[#This Row],[MARGEM DE DESCONTO]])</f>
        <v/>
      </c>
      <c r="X100" s="64">
        <f>(Table_1[[#This Row],[PREÇO JUSTO GRAHAM]]-Table_1[[#This Row],[PREÇO]])/Table_1[[#This Row],[PREÇO JUSTO GRAHAM]]</f>
        <v/>
      </c>
      <c r="Y100" s="129">
        <f>(22.5*Table_1[[#This Row],[LPA]]*Table_1[[#This Row],[VPA]])^0.5</f>
        <v/>
      </c>
      <c r="Z100" s="129">
        <f>Table_1[[#This Row],[PREÇO JUSTO GRAHAM]]/(1+Table_1[[#This Row],[MARGEM DE DESCONTO]])</f>
        <v/>
      </c>
      <c r="AA100" s="64">
        <f>(Table_1[[#This Row],[PREÇO JUSTO GORDON]]-Table_1[[#This Row],[PREÇO]])/Table_1[[#This Row],[PREÇO JUSTO GORDON]]</f>
        <v/>
      </c>
      <c r="AB100" s="130">
        <f>Table_1[[#This Row],[DPA]]*(1+Table_1[[#This Row],[MÉDIA DE CRESCIMENTO]])</f>
        <v/>
      </c>
      <c r="AC100" s="130">
        <f>Table_1[[#This Row],[D1]]/(Table_1[[#This Row],[RISCO]]-Table_1[[#This Row],[MÉDIA DE CRESCIMENTO]])</f>
        <v/>
      </c>
      <c r="AD100" s="130">
        <f>Table_1[[#This Row],[PREÇO JUSTO GORDON]]/(1+Table_1[[#This Row],[MARGEM DE DESCONTO]])</f>
        <v/>
      </c>
      <c r="AE100" s="78">
        <f>Table_1[[#This Row],[P/L]]/Table_1[[#This Row],[MÉDIA DE CRESCIMENTO]]</f>
        <v/>
      </c>
    </row>
    <row r="101" ht="15.75" customHeight="1">
      <c r="B101" s="77">
        <f>'Dados Status Invest'!A87</f>
        <v/>
      </c>
      <c r="C101" s="60">
        <f>VLOOKUP(Table_1[[#This Row],[AÇÕES]],'Classificação B3'!A:B,2,0)</f>
        <v/>
      </c>
      <c r="D101" s="60">
        <f>VLOOKUP(Table_1[[#This Row],[AÇÕES]],'Classificação B3'!A:D,4,0)</f>
        <v/>
      </c>
      <c r="E101" s="60">
        <f>VLOOKUP(Table_1[[#This Row],[AÇÕES]],'Classificação B3'!A:F,6,0)</f>
        <v/>
      </c>
      <c r="F101" s="60">
        <f>VLOOKUP(Table_1[[#This Row],[AÇÕES]],'Classificação B3'!A:G,7,0)</f>
        <v/>
      </c>
      <c r="G101" s="61">
        <f>VLOOKUP(Table_1[[#This Row],[AÇÕES]],'Dados Status Invest'!A:B,2,0)</f>
        <v/>
      </c>
      <c r="H101" s="62">
        <f>VLOOKUP(Table_1[[#This Row],[AÇÕES]],'Dados Status Invest'!A:C,3,0)/100</f>
        <v/>
      </c>
      <c r="I101" s="62">
        <f>VLOOKUP(Table_1[[#This Row],[AÇÕES]],'Dados Status Invest'!A:D,4,0)/100</f>
        <v/>
      </c>
      <c r="J101" s="63">
        <f>VLOOKUP(Table_1[[#This Row],[AÇÕES]],'Dados Status Invest'!A:AB,28,0)</f>
        <v/>
      </c>
      <c r="K101" s="63">
        <f>VLOOKUP(Table_1[[#This Row],[AÇÕES]],'Dados Status Invest'!A:AA,27,0)</f>
        <v/>
      </c>
      <c r="L101" s="63">
        <f>Table_1[[#This Row],[PREÇO]]*Table_1[[#This Row],[DY]]</f>
        <v/>
      </c>
      <c r="M101" s="62">
        <f>$E$13</f>
        <v/>
      </c>
      <c r="N101" s="62" t="n">
        <v>0.3</v>
      </c>
      <c r="O101" s="62">
        <f>Table_1[[#This Row],[DPA]]/Table_1[[#This Row],[LPA]]</f>
        <v/>
      </c>
      <c r="P101" s="62">
        <f>IF(Table_1[[#This Row],[PAYOUT]]&lt;=40%,"CRESCIMENTO",IF(Table_1[[#This Row],[PAYOUT]]&lt;=60%,"INDEFINIDO","DIVIDENDOS"))</f>
        <v/>
      </c>
      <c r="Q101" s="62">
        <f>VLOOKUP(Table_1[[#This Row],[AÇÕES]],'Dados Status Invest'!A:R,18,0)/100</f>
        <v/>
      </c>
      <c r="R101" s="62">
        <f>VLOOKUP(Table_1[[#This Row],[AÇÕES]],'Dados Status Invest'!A:Y,25,0)/100</f>
        <v/>
      </c>
      <c r="S101" s="62">
        <f>(1-Table_1[[#This Row],[PAYOUT]])*Table_1[[#This Row],[ROE]]</f>
        <v/>
      </c>
      <c r="T101" s="98">
        <f>AVERAGE(Table_1[[#This Row],[CAGR LUCRO 5A]],Table_1[[#This Row],[CRESCIMENTO DAMODARAN]])</f>
        <v/>
      </c>
      <c r="U101" s="64">
        <f>(Table_1[[#This Row],[PREÇO JUSTO BAZIN]]-Table_1[[#This Row],[PREÇO]])/Table_1[[#This Row],[PREÇO JUSTO BAZIN]]</f>
        <v/>
      </c>
      <c r="V101" s="129">
        <f>Table_1[[#This Row],[DPA]]/6%</f>
        <v/>
      </c>
      <c r="W101" s="129">
        <f>Table_1[[#This Row],[PREÇO JUSTO BAZIN]]/(1+Table_1[[#This Row],[MARGEM DE DESCONTO]])</f>
        <v/>
      </c>
      <c r="X101" s="64">
        <f>(Table_1[[#This Row],[PREÇO JUSTO GRAHAM]]-Table_1[[#This Row],[PREÇO]])/Table_1[[#This Row],[PREÇO JUSTO GRAHAM]]</f>
        <v/>
      </c>
      <c r="Y101" s="129">
        <f>(22.5*Table_1[[#This Row],[LPA]]*Table_1[[#This Row],[VPA]])^0.5</f>
        <v/>
      </c>
      <c r="Z101" s="129">
        <f>Table_1[[#This Row],[PREÇO JUSTO GRAHAM]]/(1+Table_1[[#This Row],[MARGEM DE DESCONTO]])</f>
        <v/>
      </c>
      <c r="AA101" s="64">
        <f>(Table_1[[#This Row],[PREÇO JUSTO GORDON]]-Table_1[[#This Row],[PREÇO]])/Table_1[[#This Row],[PREÇO JUSTO GORDON]]</f>
        <v/>
      </c>
      <c r="AB101" s="130">
        <f>Table_1[[#This Row],[DPA]]*(1+Table_1[[#This Row],[MÉDIA DE CRESCIMENTO]])</f>
        <v/>
      </c>
      <c r="AC101" s="130">
        <f>Table_1[[#This Row],[D1]]/(Table_1[[#This Row],[RISCO]]-Table_1[[#This Row],[MÉDIA DE CRESCIMENTO]])</f>
        <v/>
      </c>
      <c r="AD101" s="130">
        <f>Table_1[[#This Row],[PREÇO JUSTO GORDON]]/(1+Table_1[[#This Row],[MARGEM DE DESCONTO]])</f>
        <v/>
      </c>
      <c r="AE101" s="78">
        <f>Table_1[[#This Row],[P/L]]/Table_1[[#This Row],[MÉDIA DE CRESCIMENTO]]</f>
        <v/>
      </c>
    </row>
    <row r="102" ht="15.75" customHeight="1">
      <c r="B102" s="77">
        <f>'Dados Status Invest'!A88</f>
        <v/>
      </c>
      <c r="C102" s="60">
        <f>VLOOKUP(Table_1[[#This Row],[AÇÕES]],'Classificação B3'!A:B,2,0)</f>
        <v/>
      </c>
      <c r="D102" s="60">
        <f>VLOOKUP(Table_1[[#This Row],[AÇÕES]],'Classificação B3'!A:D,4,0)</f>
        <v/>
      </c>
      <c r="E102" s="60">
        <f>VLOOKUP(Table_1[[#This Row],[AÇÕES]],'Classificação B3'!A:F,6,0)</f>
        <v/>
      </c>
      <c r="F102" s="60">
        <f>VLOOKUP(Table_1[[#This Row],[AÇÕES]],'Classificação B3'!A:G,7,0)</f>
        <v/>
      </c>
      <c r="G102" s="61">
        <f>VLOOKUP(Table_1[[#This Row],[AÇÕES]],'Dados Status Invest'!A:B,2,0)</f>
        <v/>
      </c>
      <c r="H102" s="62">
        <f>VLOOKUP(Table_1[[#This Row],[AÇÕES]],'Dados Status Invest'!A:C,3,0)/100</f>
        <v/>
      </c>
      <c r="I102" s="62">
        <f>VLOOKUP(Table_1[[#This Row],[AÇÕES]],'Dados Status Invest'!A:D,4,0)/100</f>
        <v/>
      </c>
      <c r="J102" s="63">
        <f>VLOOKUP(Table_1[[#This Row],[AÇÕES]],'Dados Status Invest'!A:AB,28,0)</f>
        <v/>
      </c>
      <c r="K102" s="63">
        <f>VLOOKUP(Table_1[[#This Row],[AÇÕES]],'Dados Status Invest'!A:AA,27,0)</f>
        <v/>
      </c>
      <c r="L102" s="63">
        <f>Table_1[[#This Row],[PREÇO]]*Table_1[[#This Row],[DY]]</f>
        <v/>
      </c>
      <c r="M102" s="62">
        <f>$E$13</f>
        <v/>
      </c>
      <c r="N102" s="62" t="n">
        <v>0.3</v>
      </c>
      <c r="O102" s="62">
        <f>Table_1[[#This Row],[DPA]]/Table_1[[#This Row],[LPA]]</f>
        <v/>
      </c>
      <c r="P102" s="62">
        <f>IF(Table_1[[#This Row],[PAYOUT]]&lt;=40%,"CRESCIMENTO",IF(Table_1[[#This Row],[PAYOUT]]&lt;=60%,"INDEFINIDO","DIVIDENDOS"))</f>
        <v/>
      </c>
      <c r="Q102" s="62">
        <f>VLOOKUP(Table_1[[#This Row],[AÇÕES]],'Dados Status Invest'!A:R,18,0)/100</f>
        <v/>
      </c>
      <c r="R102" s="62">
        <f>VLOOKUP(Table_1[[#This Row],[AÇÕES]],'Dados Status Invest'!A:Y,25,0)/100</f>
        <v/>
      </c>
      <c r="S102" s="62">
        <f>(1-Table_1[[#This Row],[PAYOUT]])*Table_1[[#This Row],[ROE]]</f>
        <v/>
      </c>
      <c r="T102" s="98">
        <f>AVERAGE(Table_1[[#This Row],[CAGR LUCRO 5A]],Table_1[[#This Row],[CRESCIMENTO DAMODARAN]])</f>
        <v/>
      </c>
      <c r="U102" s="64">
        <f>(Table_1[[#This Row],[PREÇO JUSTO BAZIN]]-Table_1[[#This Row],[PREÇO]])/Table_1[[#This Row],[PREÇO JUSTO BAZIN]]</f>
        <v/>
      </c>
      <c r="V102" s="129">
        <f>Table_1[[#This Row],[DPA]]/6%</f>
        <v/>
      </c>
      <c r="W102" s="129">
        <f>Table_1[[#This Row],[PREÇO JUSTO BAZIN]]/(1+Table_1[[#This Row],[MARGEM DE DESCONTO]])</f>
        <v/>
      </c>
      <c r="X102" s="64">
        <f>(Table_1[[#This Row],[PREÇO JUSTO GRAHAM]]-Table_1[[#This Row],[PREÇO]])/Table_1[[#This Row],[PREÇO JUSTO GRAHAM]]</f>
        <v/>
      </c>
      <c r="Y102" s="129">
        <f>(22.5*Table_1[[#This Row],[LPA]]*Table_1[[#This Row],[VPA]])^0.5</f>
        <v/>
      </c>
      <c r="Z102" s="129">
        <f>Table_1[[#This Row],[PREÇO JUSTO GRAHAM]]/(1+Table_1[[#This Row],[MARGEM DE DESCONTO]])</f>
        <v/>
      </c>
      <c r="AA102" s="64">
        <f>(Table_1[[#This Row],[PREÇO JUSTO GORDON]]-Table_1[[#This Row],[PREÇO]])/Table_1[[#This Row],[PREÇO JUSTO GORDON]]</f>
        <v/>
      </c>
      <c r="AB102" s="130">
        <f>Table_1[[#This Row],[DPA]]*(1+Table_1[[#This Row],[MÉDIA DE CRESCIMENTO]])</f>
        <v/>
      </c>
      <c r="AC102" s="130">
        <f>Table_1[[#This Row],[D1]]/(Table_1[[#This Row],[RISCO]]-Table_1[[#This Row],[MÉDIA DE CRESCIMENTO]])</f>
        <v/>
      </c>
      <c r="AD102" s="130">
        <f>Table_1[[#This Row],[PREÇO JUSTO GORDON]]/(1+Table_1[[#This Row],[MARGEM DE DESCONTO]])</f>
        <v/>
      </c>
      <c r="AE102" s="78">
        <f>Table_1[[#This Row],[P/L]]/Table_1[[#This Row],[MÉDIA DE CRESCIMENTO]]</f>
        <v/>
      </c>
    </row>
    <row r="103" ht="15.75" customHeight="1">
      <c r="B103" s="77">
        <f>'Dados Status Invest'!A89</f>
        <v/>
      </c>
      <c r="C103" s="60">
        <f>VLOOKUP(Table_1[[#This Row],[AÇÕES]],'Classificação B3'!A:B,2,0)</f>
        <v/>
      </c>
      <c r="D103" s="60">
        <f>VLOOKUP(Table_1[[#This Row],[AÇÕES]],'Classificação B3'!A:D,4,0)</f>
        <v/>
      </c>
      <c r="E103" s="60">
        <f>VLOOKUP(Table_1[[#This Row],[AÇÕES]],'Classificação B3'!A:F,6,0)</f>
        <v/>
      </c>
      <c r="F103" s="60">
        <f>VLOOKUP(Table_1[[#This Row],[AÇÕES]],'Classificação B3'!A:G,7,0)</f>
        <v/>
      </c>
      <c r="G103" s="61">
        <f>VLOOKUP(Table_1[[#This Row],[AÇÕES]],'Dados Status Invest'!A:B,2,0)</f>
        <v/>
      </c>
      <c r="H103" s="62">
        <f>VLOOKUP(Table_1[[#This Row],[AÇÕES]],'Dados Status Invest'!A:C,3,0)/100</f>
        <v/>
      </c>
      <c r="I103" s="62">
        <f>VLOOKUP(Table_1[[#This Row],[AÇÕES]],'Dados Status Invest'!A:D,4,0)/100</f>
        <v/>
      </c>
      <c r="J103" s="63">
        <f>VLOOKUP(Table_1[[#This Row],[AÇÕES]],'Dados Status Invest'!A:AB,28,0)</f>
        <v/>
      </c>
      <c r="K103" s="63">
        <f>VLOOKUP(Table_1[[#This Row],[AÇÕES]],'Dados Status Invest'!A:AA,27,0)</f>
        <v/>
      </c>
      <c r="L103" s="63">
        <f>Table_1[[#This Row],[PREÇO]]*Table_1[[#This Row],[DY]]</f>
        <v/>
      </c>
      <c r="M103" s="62">
        <f>$E$13</f>
        <v/>
      </c>
      <c r="N103" s="62" t="n">
        <v>0.3</v>
      </c>
      <c r="O103" s="62">
        <f>Table_1[[#This Row],[DPA]]/Table_1[[#This Row],[LPA]]</f>
        <v/>
      </c>
      <c r="P103" s="62">
        <f>IF(Table_1[[#This Row],[PAYOUT]]&lt;=40%,"CRESCIMENTO",IF(Table_1[[#This Row],[PAYOUT]]&lt;=60%,"INDEFINIDO","DIVIDENDOS"))</f>
        <v/>
      </c>
      <c r="Q103" s="62">
        <f>VLOOKUP(Table_1[[#This Row],[AÇÕES]],'Dados Status Invest'!A:R,18,0)/100</f>
        <v/>
      </c>
      <c r="R103" s="62">
        <f>VLOOKUP(Table_1[[#This Row],[AÇÕES]],'Dados Status Invest'!A:Y,25,0)/100</f>
        <v/>
      </c>
      <c r="S103" s="62">
        <f>(1-Table_1[[#This Row],[PAYOUT]])*Table_1[[#This Row],[ROE]]</f>
        <v/>
      </c>
      <c r="T103" s="98">
        <f>AVERAGE(Table_1[[#This Row],[CAGR LUCRO 5A]],Table_1[[#This Row],[CRESCIMENTO DAMODARAN]])</f>
        <v/>
      </c>
      <c r="U103" s="64">
        <f>(Table_1[[#This Row],[PREÇO JUSTO BAZIN]]-Table_1[[#This Row],[PREÇO]])/Table_1[[#This Row],[PREÇO JUSTO BAZIN]]</f>
        <v/>
      </c>
      <c r="V103" s="129">
        <f>Table_1[[#This Row],[DPA]]/6%</f>
        <v/>
      </c>
      <c r="W103" s="129">
        <f>Table_1[[#This Row],[PREÇO JUSTO BAZIN]]/(1+Table_1[[#This Row],[MARGEM DE DESCONTO]])</f>
        <v/>
      </c>
      <c r="X103" s="64">
        <f>(Table_1[[#This Row],[PREÇO JUSTO GRAHAM]]-Table_1[[#This Row],[PREÇO]])/Table_1[[#This Row],[PREÇO JUSTO GRAHAM]]</f>
        <v/>
      </c>
      <c r="Y103" s="129">
        <f>(22.5*Table_1[[#This Row],[LPA]]*Table_1[[#This Row],[VPA]])^0.5</f>
        <v/>
      </c>
      <c r="Z103" s="129">
        <f>Table_1[[#This Row],[PREÇO JUSTO GRAHAM]]/(1+Table_1[[#This Row],[MARGEM DE DESCONTO]])</f>
        <v/>
      </c>
      <c r="AA103" s="64">
        <f>(Table_1[[#This Row],[PREÇO JUSTO GORDON]]-Table_1[[#This Row],[PREÇO]])/Table_1[[#This Row],[PREÇO JUSTO GORDON]]</f>
        <v/>
      </c>
      <c r="AB103" s="130">
        <f>Table_1[[#This Row],[DPA]]*(1+Table_1[[#This Row],[MÉDIA DE CRESCIMENTO]])</f>
        <v/>
      </c>
      <c r="AC103" s="130">
        <f>Table_1[[#This Row],[D1]]/(Table_1[[#This Row],[RISCO]]-Table_1[[#This Row],[MÉDIA DE CRESCIMENTO]])</f>
        <v/>
      </c>
      <c r="AD103" s="130">
        <f>Table_1[[#This Row],[PREÇO JUSTO GORDON]]/(1+Table_1[[#This Row],[MARGEM DE DESCONTO]])</f>
        <v/>
      </c>
      <c r="AE103" s="78">
        <f>Table_1[[#This Row],[P/L]]/Table_1[[#This Row],[MÉDIA DE CRESCIMENTO]]</f>
        <v/>
      </c>
    </row>
    <row r="104" ht="15.75" customHeight="1">
      <c r="B104" s="77">
        <f>'Dados Status Invest'!A90</f>
        <v/>
      </c>
      <c r="C104" s="60">
        <f>VLOOKUP(Table_1[[#This Row],[AÇÕES]],'Classificação B3'!A:B,2,0)</f>
        <v/>
      </c>
      <c r="D104" s="60">
        <f>VLOOKUP(Table_1[[#This Row],[AÇÕES]],'Classificação B3'!A:D,4,0)</f>
        <v/>
      </c>
      <c r="E104" s="60">
        <f>VLOOKUP(Table_1[[#This Row],[AÇÕES]],'Classificação B3'!A:F,6,0)</f>
        <v/>
      </c>
      <c r="F104" s="60">
        <f>VLOOKUP(Table_1[[#This Row],[AÇÕES]],'Classificação B3'!A:G,7,0)</f>
        <v/>
      </c>
      <c r="G104" s="61">
        <f>VLOOKUP(Table_1[[#This Row],[AÇÕES]],'Dados Status Invest'!A:B,2,0)</f>
        <v/>
      </c>
      <c r="H104" s="62">
        <f>VLOOKUP(Table_1[[#This Row],[AÇÕES]],'Dados Status Invest'!A:C,3,0)/100</f>
        <v/>
      </c>
      <c r="I104" s="62">
        <f>VLOOKUP(Table_1[[#This Row],[AÇÕES]],'Dados Status Invest'!A:D,4,0)/100</f>
        <v/>
      </c>
      <c r="J104" s="63">
        <f>VLOOKUP(Table_1[[#This Row],[AÇÕES]],'Dados Status Invest'!A:AB,28,0)</f>
        <v/>
      </c>
      <c r="K104" s="63">
        <f>VLOOKUP(Table_1[[#This Row],[AÇÕES]],'Dados Status Invest'!A:AA,27,0)</f>
        <v/>
      </c>
      <c r="L104" s="63">
        <f>Table_1[[#This Row],[PREÇO]]*Table_1[[#This Row],[DY]]</f>
        <v/>
      </c>
      <c r="M104" s="62">
        <f>$E$13</f>
        <v/>
      </c>
      <c r="N104" s="62" t="n">
        <v>0.3</v>
      </c>
      <c r="O104" s="62">
        <f>Table_1[[#This Row],[DPA]]/Table_1[[#This Row],[LPA]]</f>
        <v/>
      </c>
      <c r="P104" s="62">
        <f>IF(Table_1[[#This Row],[PAYOUT]]&lt;=40%,"CRESCIMENTO",IF(Table_1[[#This Row],[PAYOUT]]&lt;=60%,"INDEFINIDO","DIVIDENDOS"))</f>
        <v/>
      </c>
      <c r="Q104" s="62">
        <f>VLOOKUP(Table_1[[#This Row],[AÇÕES]],'Dados Status Invest'!A:R,18,0)/100</f>
        <v/>
      </c>
      <c r="R104" s="62">
        <f>VLOOKUP(Table_1[[#This Row],[AÇÕES]],'Dados Status Invest'!A:Y,25,0)/100</f>
        <v/>
      </c>
      <c r="S104" s="62">
        <f>(1-Table_1[[#This Row],[PAYOUT]])*Table_1[[#This Row],[ROE]]</f>
        <v/>
      </c>
      <c r="T104" s="98">
        <f>AVERAGE(Table_1[[#This Row],[CAGR LUCRO 5A]],Table_1[[#This Row],[CRESCIMENTO DAMODARAN]])</f>
        <v/>
      </c>
      <c r="U104" s="64">
        <f>(Table_1[[#This Row],[PREÇO JUSTO BAZIN]]-Table_1[[#This Row],[PREÇO]])/Table_1[[#This Row],[PREÇO JUSTO BAZIN]]</f>
        <v/>
      </c>
      <c r="V104" s="129">
        <f>Table_1[[#This Row],[DPA]]/6%</f>
        <v/>
      </c>
      <c r="W104" s="129">
        <f>Table_1[[#This Row],[PREÇO JUSTO BAZIN]]/(1+Table_1[[#This Row],[MARGEM DE DESCONTO]])</f>
        <v/>
      </c>
      <c r="X104" s="64">
        <f>(Table_1[[#This Row],[PREÇO JUSTO GRAHAM]]-Table_1[[#This Row],[PREÇO]])/Table_1[[#This Row],[PREÇO JUSTO GRAHAM]]</f>
        <v/>
      </c>
      <c r="Y104" s="129">
        <f>(22.5*Table_1[[#This Row],[LPA]]*Table_1[[#This Row],[VPA]])^0.5</f>
        <v/>
      </c>
      <c r="Z104" s="129">
        <f>Table_1[[#This Row],[PREÇO JUSTO GRAHAM]]/(1+Table_1[[#This Row],[MARGEM DE DESCONTO]])</f>
        <v/>
      </c>
      <c r="AA104" s="64">
        <f>(Table_1[[#This Row],[PREÇO JUSTO GORDON]]-Table_1[[#This Row],[PREÇO]])/Table_1[[#This Row],[PREÇO JUSTO GORDON]]</f>
        <v/>
      </c>
      <c r="AB104" s="130">
        <f>Table_1[[#This Row],[DPA]]*(1+Table_1[[#This Row],[MÉDIA DE CRESCIMENTO]])</f>
        <v/>
      </c>
      <c r="AC104" s="130">
        <f>Table_1[[#This Row],[D1]]/(Table_1[[#This Row],[RISCO]]-Table_1[[#This Row],[MÉDIA DE CRESCIMENTO]])</f>
        <v/>
      </c>
      <c r="AD104" s="130">
        <f>Table_1[[#This Row],[PREÇO JUSTO GORDON]]/(1+Table_1[[#This Row],[MARGEM DE DESCONTO]])</f>
        <v/>
      </c>
      <c r="AE104" s="78">
        <f>Table_1[[#This Row],[P/L]]/Table_1[[#This Row],[MÉDIA DE CRESCIMENTO]]</f>
        <v/>
      </c>
    </row>
    <row r="105" ht="15.75" customHeight="1">
      <c r="B105" s="77">
        <f>'Dados Status Invest'!A91</f>
        <v/>
      </c>
      <c r="C105" s="60">
        <f>VLOOKUP(Table_1[[#This Row],[AÇÕES]],'Classificação B3'!A:B,2,0)</f>
        <v/>
      </c>
      <c r="D105" s="60">
        <f>VLOOKUP(Table_1[[#This Row],[AÇÕES]],'Classificação B3'!A:D,4,0)</f>
        <v/>
      </c>
      <c r="E105" s="60">
        <f>VLOOKUP(Table_1[[#This Row],[AÇÕES]],'Classificação B3'!A:F,6,0)</f>
        <v/>
      </c>
      <c r="F105" s="60">
        <f>VLOOKUP(Table_1[[#This Row],[AÇÕES]],'Classificação B3'!A:G,7,0)</f>
        <v/>
      </c>
      <c r="G105" s="61">
        <f>VLOOKUP(Table_1[[#This Row],[AÇÕES]],'Dados Status Invest'!A:B,2,0)</f>
        <v/>
      </c>
      <c r="H105" s="62">
        <f>VLOOKUP(Table_1[[#This Row],[AÇÕES]],'Dados Status Invest'!A:C,3,0)/100</f>
        <v/>
      </c>
      <c r="I105" s="62">
        <f>VLOOKUP(Table_1[[#This Row],[AÇÕES]],'Dados Status Invest'!A:D,4,0)/100</f>
        <v/>
      </c>
      <c r="J105" s="63">
        <f>VLOOKUP(Table_1[[#This Row],[AÇÕES]],'Dados Status Invest'!A:AB,28,0)</f>
        <v/>
      </c>
      <c r="K105" s="63">
        <f>VLOOKUP(Table_1[[#This Row],[AÇÕES]],'Dados Status Invest'!A:AA,27,0)</f>
        <v/>
      </c>
      <c r="L105" s="63">
        <f>Table_1[[#This Row],[PREÇO]]*Table_1[[#This Row],[DY]]</f>
        <v/>
      </c>
      <c r="M105" s="62">
        <f>$E$13</f>
        <v/>
      </c>
      <c r="N105" s="62" t="n">
        <v>0.3</v>
      </c>
      <c r="O105" s="62">
        <f>Table_1[[#This Row],[DPA]]/Table_1[[#This Row],[LPA]]</f>
        <v/>
      </c>
      <c r="P105" s="62">
        <f>IF(Table_1[[#This Row],[PAYOUT]]&lt;=40%,"CRESCIMENTO",IF(Table_1[[#This Row],[PAYOUT]]&lt;=60%,"INDEFINIDO","DIVIDENDOS"))</f>
        <v/>
      </c>
      <c r="Q105" s="62">
        <f>VLOOKUP(Table_1[[#This Row],[AÇÕES]],'Dados Status Invest'!A:R,18,0)/100</f>
        <v/>
      </c>
      <c r="R105" s="62">
        <f>VLOOKUP(Table_1[[#This Row],[AÇÕES]],'Dados Status Invest'!A:Y,25,0)/100</f>
        <v/>
      </c>
      <c r="S105" s="62">
        <f>(1-Table_1[[#This Row],[PAYOUT]])*Table_1[[#This Row],[ROE]]</f>
        <v/>
      </c>
      <c r="T105" s="98">
        <f>AVERAGE(Table_1[[#This Row],[CAGR LUCRO 5A]],Table_1[[#This Row],[CRESCIMENTO DAMODARAN]])</f>
        <v/>
      </c>
      <c r="U105" s="64">
        <f>(Table_1[[#This Row],[PREÇO JUSTO BAZIN]]-Table_1[[#This Row],[PREÇO]])/Table_1[[#This Row],[PREÇO JUSTO BAZIN]]</f>
        <v/>
      </c>
      <c r="V105" s="129">
        <f>Table_1[[#This Row],[DPA]]/6%</f>
        <v/>
      </c>
      <c r="W105" s="129">
        <f>Table_1[[#This Row],[PREÇO JUSTO BAZIN]]/(1+Table_1[[#This Row],[MARGEM DE DESCONTO]])</f>
        <v/>
      </c>
      <c r="X105" s="64">
        <f>(Table_1[[#This Row],[PREÇO JUSTO GRAHAM]]-Table_1[[#This Row],[PREÇO]])/Table_1[[#This Row],[PREÇO JUSTO GRAHAM]]</f>
        <v/>
      </c>
      <c r="Y105" s="129">
        <f>(22.5*Table_1[[#This Row],[LPA]]*Table_1[[#This Row],[VPA]])^0.5</f>
        <v/>
      </c>
      <c r="Z105" s="129">
        <f>Table_1[[#This Row],[PREÇO JUSTO GRAHAM]]/(1+Table_1[[#This Row],[MARGEM DE DESCONTO]])</f>
        <v/>
      </c>
      <c r="AA105" s="64">
        <f>(Table_1[[#This Row],[PREÇO JUSTO GORDON]]-Table_1[[#This Row],[PREÇO]])/Table_1[[#This Row],[PREÇO JUSTO GORDON]]</f>
        <v/>
      </c>
      <c r="AB105" s="130">
        <f>Table_1[[#This Row],[DPA]]*(1+Table_1[[#This Row],[MÉDIA DE CRESCIMENTO]])</f>
        <v/>
      </c>
      <c r="AC105" s="130">
        <f>Table_1[[#This Row],[D1]]/(Table_1[[#This Row],[RISCO]]-Table_1[[#This Row],[MÉDIA DE CRESCIMENTO]])</f>
        <v/>
      </c>
      <c r="AD105" s="130">
        <f>Table_1[[#This Row],[PREÇO JUSTO GORDON]]/(1+Table_1[[#This Row],[MARGEM DE DESCONTO]])</f>
        <v/>
      </c>
      <c r="AE105" s="78">
        <f>Table_1[[#This Row],[P/L]]/Table_1[[#This Row],[MÉDIA DE CRESCIMENTO]]</f>
        <v/>
      </c>
    </row>
    <row r="106" ht="15.75" customHeight="1">
      <c r="B106" s="77">
        <f>'Dados Status Invest'!A92</f>
        <v/>
      </c>
      <c r="C106" s="60">
        <f>VLOOKUP(Table_1[[#This Row],[AÇÕES]],'Classificação B3'!A:B,2,0)</f>
        <v/>
      </c>
      <c r="D106" s="60">
        <f>VLOOKUP(Table_1[[#This Row],[AÇÕES]],'Classificação B3'!A:D,4,0)</f>
        <v/>
      </c>
      <c r="E106" s="60">
        <f>VLOOKUP(Table_1[[#This Row],[AÇÕES]],'Classificação B3'!A:F,6,0)</f>
        <v/>
      </c>
      <c r="F106" s="60">
        <f>VLOOKUP(Table_1[[#This Row],[AÇÕES]],'Classificação B3'!A:G,7,0)</f>
        <v/>
      </c>
      <c r="G106" s="61">
        <f>VLOOKUP(Table_1[[#This Row],[AÇÕES]],'Dados Status Invest'!A:B,2,0)</f>
        <v/>
      </c>
      <c r="H106" s="62">
        <f>VLOOKUP(Table_1[[#This Row],[AÇÕES]],'Dados Status Invest'!A:C,3,0)/100</f>
        <v/>
      </c>
      <c r="I106" s="62">
        <f>VLOOKUP(Table_1[[#This Row],[AÇÕES]],'Dados Status Invest'!A:D,4,0)/100</f>
        <v/>
      </c>
      <c r="J106" s="63">
        <f>VLOOKUP(Table_1[[#This Row],[AÇÕES]],'Dados Status Invest'!A:AB,28,0)</f>
        <v/>
      </c>
      <c r="K106" s="63">
        <f>VLOOKUP(Table_1[[#This Row],[AÇÕES]],'Dados Status Invest'!A:AA,27,0)</f>
        <v/>
      </c>
      <c r="L106" s="63">
        <f>Table_1[[#This Row],[PREÇO]]*Table_1[[#This Row],[DY]]</f>
        <v/>
      </c>
      <c r="M106" s="62">
        <f>$E$13</f>
        <v/>
      </c>
      <c r="N106" s="62" t="n">
        <v>0.3</v>
      </c>
      <c r="O106" s="62">
        <f>Table_1[[#This Row],[DPA]]/Table_1[[#This Row],[LPA]]</f>
        <v/>
      </c>
      <c r="P106" s="62">
        <f>IF(Table_1[[#This Row],[PAYOUT]]&lt;=40%,"CRESCIMENTO",IF(Table_1[[#This Row],[PAYOUT]]&lt;=60%,"INDEFINIDO","DIVIDENDOS"))</f>
        <v/>
      </c>
      <c r="Q106" s="62">
        <f>VLOOKUP(Table_1[[#This Row],[AÇÕES]],'Dados Status Invest'!A:R,18,0)/100</f>
        <v/>
      </c>
      <c r="R106" s="62">
        <f>VLOOKUP(Table_1[[#This Row],[AÇÕES]],'Dados Status Invest'!A:Y,25,0)/100</f>
        <v/>
      </c>
      <c r="S106" s="62">
        <f>(1-Table_1[[#This Row],[PAYOUT]])*Table_1[[#This Row],[ROE]]</f>
        <v/>
      </c>
      <c r="T106" s="98">
        <f>AVERAGE(Table_1[[#This Row],[CAGR LUCRO 5A]],Table_1[[#This Row],[CRESCIMENTO DAMODARAN]])</f>
        <v/>
      </c>
      <c r="U106" s="64">
        <f>(Table_1[[#This Row],[PREÇO JUSTO BAZIN]]-Table_1[[#This Row],[PREÇO]])/Table_1[[#This Row],[PREÇO JUSTO BAZIN]]</f>
        <v/>
      </c>
      <c r="V106" s="129">
        <f>Table_1[[#This Row],[DPA]]/6%</f>
        <v/>
      </c>
      <c r="W106" s="129">
        <f>Table_1[[#This Row],[PREÇO JUSTO BAZIN]]/(1+Table_1[[#This Row],[MARGEM DE DESCONTO]])</f>
        <v/>
      </c>
      <c r="X106" s="64">
        <f>(Table_1[[#This Row],[PREÇO JUSTO GRAHAM]]-Table_1[[#This Row],[PREÇO]])/Table_1[[#This Row],[PREÇO JUSTO GRAHAM]]</f>
        <v/>
      </c>
      <c r="Y106" s="129">
        <f>(22.5*Table_1[[#This Row],[LPA]]*Table_1[[#This Row],[VPA]])^0.5</f>
        <v/>
      </c>
      <c r="Z106" s="129">
        <f>Table_1[[#This Row],[PREÇO JUSTO GRAHAM]]/(1+Table_1[[#This Row],[MARGEM DE DESCONTO]])</f>
        <v/>
      </c>
      <c r="AA106" s="64">
        <f>(Table_1[[#This Row],[PREÇO JUSTO GORDON]]-Table_1[[#This Row],[PREÇO]])/Table_1[[#This Row],[PREÇO JUSTO GORDON]]</f>
        <v/>
      </c>
      <c r="AB106" s="130">
        <f>Table_1[[#This Row],[DPA]]*(1+Table_1[[#This Row],[MÉDIA DE CRESCIMENTO]])</f>
        <v/>
      </c>
      <c r="AC106" s="130">
        <f>Table_1[[#This Row],[D1]]/(Table_1[[#This Row],[RISCO]]-Table_1[[#This Row],[MÉDIA DE CRESCIMENTO]])</f>
        <v/>
      </c>
      <c r="AD106" s="130">
        <f>Table_1[[#This Row],[PREÇO JUSTO GORDON]]/(1+Table_1[[#This Row],[MARGEM DE DESCONTO]])</f>
        <v/>
      </c>
      <c r="AE106" s="78">
        <f>Table_1[[#This Row],[P/L]]/Table_1[[#This Row],[MÉDIA DE CRESCIMENTO]]</f>
        <v/>
      </c>
    </row>
    <row r="107" ht="15.75" customHeight="1">
      <c r="B107" s="77">
        <f>'Dados Status Invest'!A93</f>
        <v/>
      </c>
      <c r="C107" s="60">
        <f>VLOOKUP(Table_1[[#This Row],[AÇÕES]],'Classificação B3'!A:B,2,0)</f>
        <v/>
      </c>
      <c r="D107" s="60">
        <f>VLOOKUP(Table_1[[#This Row],[AÇÕES]],'Classificação B3'!A:D,4,0)</f>
        <v/>
      </c>
      <c r="E107" s="60">
        <f>VLOOKUP(Table_1[[#This Row],[AÇÕES]],'Classificação B3'!A:F,6,0)</f>
        <v/>
      </c>
      <c r="F107" s="60">
        <f>VLOOKUP(Table_1[[#This Row],[AÇÕES]],'Classificação B3'!A:G,7,0)</f>
        <v/>
      </c>
      <c r="G107" s="61">
        <f>VLOOKUP(Table_1[[#This Row],[AÇÕES]],'Dados Status Invest'!A:B,2,0)</f>
        <v/>
      </c>
      <c r="H107" s="62">
        <f>VLOOKUP(Table_1[[#This Row],[AÇÕES]],'Dados Status Invest'!A:C,3,0)/100</f>
        <v/>
      </c>
      <c r="I107" s="62">
        <f>VLOOKUP(Table_1[[#This Row],[AÇÕES]],'Dados Status Invest'!A:D,4,0)/100</f>
        <v/>
      </c>
      <c r="J107" s="63">
        <f>VLOOKUP(Table_1[[#This Row],[AÇÕES]],'Dados Status Invest'!A:AB,28,0)</f>
        <v/>
      </c>
      <c r="K107" s="63">
        <f>VLOOKUP(Table_1[[#This Row],[AÇÕES]],'Dados Status Invest'!A:AA,27,0)</f>
        <v/>
      </c>
      <c r="L107" s="63">
        <f>Table_1[[#This Row],[PREÇO]]*Table_1[[#This Row],[DY]]</f>
        <v/>
      </c>
      <c r="M107" s="62">
        <f>$E$13</f>
        <v/>
      </c>
      <c r="N107" s="62" t="n">
        <v>0.3</v>
      </c>
      <c r="O107" s="62">
        <f>Table_1[[#This Row],[DPA]]/Table_1[[#This Row],[LPA]]</f>
        <v/>
      </c>
      <c r="P107" s="62">
        <f>IF(Table_1[[#This Row],[PAYOUT]]&lt;=40%,"CRESCIMENTO",IF(Table_1[[#This Row],[PAYOUT]]&lt;=60%,"INDEFINIDO","DIVIDENDOS"))</f>
        <v/>
      </c>
      <c r="Q107" s="62">
        <f>VLOOKUP(Table_1[[#This Row],[AÇÕES]],'Dados Status Invest'!A:R,18,0)/100</f>
        <v/>
      </c>
      <c r="R107" s="62">
        <f>VLOOKUP(Table_1[[#This Row],[AÇÕES]],'Dados Status Invest'!A:Y,25,0)/100</f>
        <v/>
      </c>
      <c r="S107" s="62">
        <f>(1-Table_1[[#This Row],[PAYOUT]])*Table_1[[#This Row],[ROE]]</f>
        <v/>
      </c>
      <c r="T107" s="98">
        <f>AVERAGE(Table_1[[#This Row],[CAGR LUCRO 5A]],Table_1[[#This Row],[CRESCIMENTO DAMODARAN]])</f>
        <v/>
      </c>
      <c r="U107" s="64">
        <f>(Table_1[[#This Row],[PREÇO JUSTO BAZIN]]-Table_1[[#This Row],[PREÇO]])/Table_1[[#This Row],[PREÇO JUSTO BAZIN]]</f>
        <v/>
      </c>
      <c r="V107" s="129">
        <f>Table_1[[#This Row],[DPA]]/6%</f>
        <v/>
      </c>
      <c r="W107" s="129">
        <f>Table_1[[#This Row],[PREÇO JUSTO BAZIN]]/(1+Table_1[[#This Row],[MARGEM DE DESCONTO]])</f>
        <v/>
      </c>
      <c r="X107" s="64">
        <f>(Table_1[[#This Row],[PREÇO JUSTO GRAHAM]]-Table_1[[#This Row],[PREÇO]])/Table_1[[#This Row],[PREÇO JUSTO GRAHAM]]</f>
        <v/>
      </c>
      <c r="Y107" s="129">
        <f>(22.5*Table_1[[#This Row],[LPA]]*Table_1[[#This Row],[VPA]])^0.5</f>
        <v/>
      </c>
      <c r="Z107" s="129">
        <f>Table_1[[#This Row],[PREÇO JUSTO GRAHAM]]/(1+Table_1[[#This Row],[MARGEM DE DESCONTO]])</f>
        <v/>
      </c>
      <c r="AA107" s="64">
        <f>(Table_1[[#This Row],[PREÇO JUSTO GORDON]]-Table_1[[#This Row],[PREÇO]])/Table_1[[#This Row],[PREÇO JUSTO GORDON]]</f>
        <v/>
      </c>
      <c r="AB107" s="130">
        <f>Table_1[[#This Row],[DPA]]*(1+Table_1[[#This Row],[MÉDIA DE CRESCIMENTO]])</f>
        <v/>
      </c>
      <c r="AC107" s="130">
        <f>Table_1[[#This Row],[D1]]/(Table_1[[#This Row],[RISCO]]-Table_1[[#This Row],[MÉDIA DE CRESCIMENTO]])</f>
        <v/>
      </c>
      <c r="AD107" s="130">
        <f>Table_1[[#This Row],[PREÇO JUSTO GORDON]]/(1+Table_1[[#This Row],[MARGEM DE DESCONTO]])</f>
        <v/>
      </c>
      <c r="AE107" s="78">
        <f>Table_1[[#This Row],[P/L]]/Table_1[[#This Row],[MÉDIA DE CRESCIMENTO]]</f>
        <v/>
      </c>
    </row>
    <row r="108" ht="15.75" customHeight="1">
      <c r="B108" s="77">
        <f>'Dados Status Invest'!A94</f>
        <v/>
      </c>
      <c r="C108" s="60">
        <f>VLOOKUP(Table_1[[#This Row],[AÇÕES]],'Classificação B3'!A:B,2,0)</f>
        <v/>
      </c>
      <c r="D108" s="60">
        <f>VLOOKUP(Table_1[[#This Row],[AÇÕES]],'Classificação B3'!A:D,4,0)</f>
        <v/>
      </c>
      <c r="E108" s="60">
        <f>VLOOKUP(Table_1[[#This Row],[AÇÕES]],'Classificação B3'!A:F,6,0)</f>
        <v/>
      </c>
      <c r="F108" s="60">
        <f>VLOOKUP(Table_1[[#This Row],[AÇÕES]],'Classificação B3'!A:G,7,0)</f>
        <v/>
      </c>
      <c r="G108" s="61">
        <f>VLOOKUP(Table_1[[#This Row],[AÇÕES]],'Dados Status Invest'!A:B,2,0)</f>
        <v/>
      </c>
      <c r="H108" s="62">
        <f>VLOOKUP(Table_1[[#This Row],[AÇÕES]],'Dados Status Invest'!A:C,3,0)/100</f>
        <v/>
      </c>
      <c r="I108" s="62">
        <f>VLOOKUP(Table_1[[#This Row],[AÇÕES]],'Dados Status Invest'!A:D,4,0)/100</f>
        <v/>
      </c>
      <c r="J108" s="63">
        <f>VLOOKUP(Table_1[[#This Row],[AÇÕES]],'Dados Status Invest'!A:AB,28,0)</f>
        <v/>
      </c>
      <c r="K108" s="63">
        <f>VLOOKUP(Table_1[[#This Row],[AÇÕES]],'Dados Status Invest'!A:AA,27,0)</f>
        <v/>
      </c>
      <c r="L108" s="63">
        <f>Table_1[[#This Row],[PREÇO]]*Table_1[[#This Row],[DY]]</f>
        <v/>
      </c>
      <c r="M108" s="62">
        <f>$E$13</f>
        <v/>
      </c>
      <c r="N108" s="62" t="n">
        <v>0.3</v>
      </c>
      <c r="O108" s="62">
        <f>Table_1[[#This Row],[DPA]]/Table_1[[#This Row],[LPA]]</f>
        <v/>
      </c>
      <c r="P108" s="62">
        <f>IF(Table_1[[#This Row],[PAYOUT]]&lt;=40%,"CRESCIMENTO",IF(Table_1[[#This Row],[PAYOUT]]&lt;=60%,"INDEFINIDO","DIVIDENDOS"))</f>
        <v/>
      </c>
      <c r="Q108" s="62">
        <f>VLOOKUP(Table_1[[#This Row],[AÇÕES]],'Dados Status Invest'!A:R,18,0)/100</f>
        <v/>
      </c>
      <c r="R108" s="62">
        <f>VLOOKUP(Table_1[[#This Row],[AÇÕES]],'Dados Status Invest'!A:Y,25,0)/100</f>
        <v/>
      </c>
      <c r="S108" s="62">
        <f>(1-Table_1[[#This Row],[PAYOUT]])*Table_1[[#This Row],[ROE]]</f>
        <v/>
      </c>
      <c r="T108" s="98">
        <f>AVERAGE(Table_1[[#This Row],[CAGR LUCRO 5A]],Table_1[[#This Row],[CRESCIMENTO DAMODARAN]])</f>
        <v/>
      </c>
      <c r="U108" s="64">
        <f>(Table_1[[#This Row],[PREÇO JUSTO BAZIN]]-Table_1[[#This Row],[PREÇO]])/Table_1[[#This Row],[PREÇO JUSTO BAZIN]]</f>
        <v/>
      </c>
      <c r="V108" s="129">
        <f>Table_1[[#This Row],[DPA]]/6%</f>
        <v/>
      </c>
      <c r="W108" s="129">
        <f>Table_1[[#This Row],[PREÇO JUSTO BAZIN]]/(1+Table_1[[#This Row],[MARGEM DE DESCONTO]])</f>
        <v/>
      </c>
      <c r="X108" s="64">
        <f>(Table_1[[#This Row],[PREÇO JUSTO GRAHAM]]-Table_1[[#This Row],[PREÇO]])/Table_1[[#This Row],[PREÇO JUSTO GRAHAM]]</f>
        <v/>
      </c>
      <c r="Y108" s="129">
        <f>(22.5*Table_1[[#This Row],[LPA]]*Table_1[[#This Row],[VPA]])^0.5</f>
        <v/>
      </c>
      <c r="Z108" s="129">
        <f>Table_1[[#This Row],[PREÇO JUSTO GRAHAM]]/(1+Table_1[[#This Row],[MARGEM DE DESCONTO]])</f>
        <v/>
      </c>
      <c r="AA108" s="64">
        <f>(Table_1[[#This Row],[PREÇO JUSTO GORDON]]-Table_1[[#This Row],[PREÇO]])/Table_1[[#This Row],[PREÇO JUSTO GORDON]]</f>
        <v/>
      </c>
      <c r="AB108" s="130">
        <f>Table_1[[#This Row],[DPA]]*(1+Table_1[[#This Row],[MÉDIA DE CRESCIMENTO]])</f>
        <v/>
      </c>
      <c r="AC108" s="130">
        <f>Table_1[[#This Row],[D1]]/(Table_1[[#This Row],[RISCO]]-Table_1[[#This Row],[MÉDIA DE CRESCIMENTO]])</f>
        <v/>
      </c>
      <c r="AD108" s="130">
        <f>Table_1[[#This Row],[PREÇO JUSTO GORDON]]/(1+Table_1[[#This Row],[MARGEM DE DESCONTO]])</f>
        <v/>
      </c>
      <c r="AE108" s="78">
        <f>Table_1[[#This Row],[P/L]]/Table_1[[#This Row],[MÉDIA DE CRESCIMENTO]]</f>
        <v/>
      </c>
    </row>
    <row r="109" ht="15.75" customHeight="1">
      <c r="B109" s="77">
        <f>'Dados Status Invest'!A95</f>
        <v/>
      </c>
      <c r="C109" s="60">
        <f>VLOOKUP(Table_1[[#This Row],[AÇÕES]],'Classificação B3'!A:B,2,0)</f>
        <v/>
      </c>
      <c r="D109" s="60">
        <f>VLOOKUP(Table_1[[#This Row],[AÇÕES]],'Classificação B3'!A:D,4,0)</f>
        <v/>
      </c>
      <c r="E109" s="60">
        <f>VLOOKUP(Table_1[[#This Row],[AÇÕES]],'Classificação B3'!A:F,6,0)</f>
        <v/>
      </c>
      <c r="F109" s="60">
        <f>VLOOKUP(Table_1[[#This Row],[AÇÕES]],'Classificação B3'!A:G,7,0)</f>
        <v/>
      </c>
      <c r="G109" s="61">
        <f>VLOOKUP(Table_1[[#This Row],[AÇÕES]],'Dados Status Invest'!A:B,2,0)</f>
        <v/>
      </c>
      <c r="H109" s="62">
        <f>VLOOKUP(Table_1[[#This Row],[AÇÕES]],'Dados Status Invest'!A:C,3,0)/100</f>
        <v/>
      </c>
      <c r="I109" s="62">
        <f>VLOOKUP(Table_1[[#This Row],[AÇÕES]],'Dados Status Invest'!A:D,4,0)/100</f>
        <v/>
      </c>
      <c r="J109" s="63">
        <f>VLOOKUP(Table_1[[#This Row],[AÇÕES]],'Dados Status Invest'!A:AB,28,0)</f>
        <v/>
      </c>
      <c r="K109" s="63">
        <f>VLOOKUP(Table_1[[#This Row],[AÇÕES]],'Dados Status Invest'!A:AA,27,0)</f>
        <v/>
      </c>
      <c r="L109" s="63">
        <f>Table_1[[#This Row],[PREÇO]]*Table_1[[#This Row],[DY]]</f>
        <v/>
      </c>
      <c r="M109" s="62">
        <f>$E$13</f>
        <v/>
      </c>
      <c r="N109" s="62" t="n">
        <v>0.3</v>
      </c>
      <c r="O109" s="62">
        <f>Table_1[[#This Row],[DPA]]/Table_1[[#This Row],[LPA]]</f>
        <v/>
      </c>
      <c r="P109" s="62">
        <f>IF(Table_1[[#This Row],[PAYOUT]]&lt;=40%,"CRESCIMENTO",IF(Table_1[[#This Row],[PAYOUT]]&lt;=60%,"INDEFINIDO","DIVIDENDOS"))</f>
        <v/>
      </c>
      <c r="Q109" s="62">
        <f>VLOOKUP(Table_1[[#This Row],[AÇÕES]],'Dados Status Invest'!A:R,18,0)/100</f>
        <v/>
      </c>
      <c r="R109" s="62">
        <f>VLOOKUP(Table_1[[#This Row],[AÇÕES]],'Dados Status Invest'!A:Y,25,0)/100</f>
        <v/>
      </c>
      <c r="S109" s="62">
        <f>(1-Table_1[[#This Row],[PAYOUT]])*Table_1[[#This Row],[ROE]]</f>
        <v/>
      </c>
      <c r="T109" s="98">
        <f>AVERAGE(Table_1[[#This Row],[CAGR LUCRO 5A]],Table_1[[#This Row],[CRESCIMENTO DAMODARAN]])</f>
        <v/>
      </c>
      <c r="U109" s="64">
        <f>(Table_1[[#This Row],[PREÇO JUSTO BAZIN]]-Table_1[[#This Row],[PREÇO]])/Table_1[[#This Row],[PREÇO JUSTO BAZIN]]</f>
        <v/>
      </c>
      <c r="V109" s="129">
        <f>Table_1[[#This Row],[DPA]]/6%</f>
        <v/>
      </c>
      <c r="W109" s="129">
        <f>Table_1[[#This Row],[PREÇO JUSTO BAZIN]]/(1+Table_1[[#This Row],[MARGEM DE DESCONTO]])</f>
        <v/>
      </c>
      <c r="X109" s="64">
        <f>(Table_1[[#This Row],[PREÇO JUSTO GRAHAM]]-Table_1[[#This Row],[PREÇO]])/Table_1[[#This Row],[PREÇO JUSTO GRAHAM]]</f>
        <v/>
      </c>
      <c r="Y109" s="129">
        <f>(22.5*Table_1[[#This Row],[LPA]]*Table_1[[#This Row],[VPA]])^0.5</f>
        <v/>
      </c>
      <c r="Z109" s="129">
        <f>Table_1[[#This Row],[PREÇO JUSTO GRAHAM]]/(1+Table_1[[#This Row],[MARGEM DE DESCONTO]])</f>
        <v/>
      </c>
      <c r="AA109" s="64">
        <f>(Table_1[[#This Row],[PREÇO JUSTO GORDON]]-Table_1[[#This Row],[PREÇO]])/Table_1[[#This Row],[PREÇO JUSTO GORDON]]</f>
        <v/>
      </c>
      <c r="AB109" s="130">
        <f>Table_1[[#This Row],[DPA]]*(1+Table_1[[#This Row],[MÉDIA DE CRESCIMENTO]])</f>
        <v/>
      </c>
      <c r="AC109" s="130">
        <f>Table_1[[#This Row],[D1]]/(Table_1[[#This Row],[RISCO]]-Table_1[[#This Row],[MÉDIA DE CRESCIMENTO]])</f>
        <v/>
      </c>
      <c r="AD109" s="130">
        <f>Table_1[[#This Row],[PREÇO JUSTO GORDON]]/(1+Table_1[[#This Row],[MARGEM DE DESCONTO]])</f>
        <v/>
      </c>
      <c r="AE109" s="78">
        <f>Table_1[[#This Row],[P/L]]/Table_1[[#This Row],[MÉDIA DE CRESCIMENTO]]</f>
        <v/>
      </c>
    </row>
    <row r="110" ht="15.75" customHeight="1">
      <c r="B110" s="77">
        <f>'Dados Status Invest'!A96</f>
        <v/>
      </c>
      <c r="C110" s="60">
        <f>VLOOKUP(Table_1[[#This Row],[AÇÕES]],'Classificação B3'!A:B,2,0)</f>
        <v/>
      </c>
      <c r="D110" s="60">
        <f>VLOOKUP(Table_1[[#This Row],[AÇÕES]],'Classificação B3'!A:D,4,0)</f>
        <v/>
      </c>
      <c r="E110" s="60">
        <f>VLOOKUP(Table_1[[#This Row],[AÇÕES]],'Classificação B3'!A:F,6,0)</f>
        <v/>
      </c>
      <c r="F110" s="60">
        <f>VLOOKUP(Table_1[[#This Row],[AÇÕES]],'Classificação B3'!A:G,7,0)</f>
        <v/>
      </c>
      <c r="G110" s="61">
        <f>VLOOKUP(Table_1[[#This Row],[AÇÕES]],'Dados Status Invest'!A:B,2,0)</f>
        <v/>
      </c>
      <c r="H110" s="62">
        <f>VLOOKUP(Table_1[[#This Row],[AÇÕES]],'Dados Status Invest'!A:C,3,0)/100</f>
        <v/>
      </c>
      <c r="I110" s="62">
        <f>VLOOKUP(Table_1[[#This Row],[AÇÕES]],'Dados Status Invest'!A:D,4,0)/100</f>
        <v/>
      </c>
      <c r="J110" s="63">
        <f>VLOOKUP(Table_1[[#This Row],[AÇÕES]],'Dados Status Invest'!A:AB,28,0)</f>
        <v/>
      </c>
      <c r="K110" s="63">
        <f>VLOOKUP(Table_1[[#This Row],[AÇÕES]],'Dados Status Invest'!A:AA,27,0)</f>
        <v/>
      </c>
      <c r="L110" s="63">
        <f>Table_1[[#This Row],[PREÇO]]*Table_1[[#This Row],[DY]]</f>
        <v/>
      </c>
      <c r="M110" s="62">
        <f>$E$13</f>
        <v/>
      </c>
      <c r="N110" s="62" t="n">
        <v>0.3</v>
      </c>
      <c r="O110" s="62">
        <f>Table_1[[#This Row],[DPA]]/Table_1[[#This Row],[LPA]]</f>
        <v/>
      </c>
      <c r="P110" s="62">
        <f>IF(Table_1[[#This Row],[PAYOUT]]&lt;=40%,"CRESCIMENTO",IF(Table_1[[#This Row],[PAYOUT]]&lt;=60%,"INDEFINIDO","DIVIDENDOS"))</f>
        <v/>
      </c>
      <c r="Q110" s="62">
        <f>VLOOKUP(Table_1[[#This Row],[AÇÕES]],'Dados Status Invest'!A:R,18,0)/100</f>
        <v/>
      </c>
      <c r="R110" s="62">
        <f>VLOOKUP(Table_1[[#This Row],[AÇÕES]],'Dados Status Invest'!A:Y,25,0)/100</f>
        <v/>
      </c>
      <c r="S110" s="62">
        <f>(1-Table_1[[#This Row],[PAYOUT]])*Table_1[[#This Row],[ROE]]</f>
        <v/>
      </c>
      <c r="T110" s="98">
        <f>AVERAGE(Table_1[[#This Row],[CAGR LUCRO 5A]],Table_1[[#This Row],[CRESCIMENTO DAMODARAN]])</f>
        <v/>
      </c>
      <c r="U110" s="64">
        <f>(Table_1[[#This Row],[PREÇO JUSTO BAZIN]]-Table_1[[#This Row],[PREÇO]])/Table_1[[#This Row],[PREÇO JUSTO BAZIN]]</f>
        <v/>
      </c>
      <c r="V110" s="129">
        <f>Table_1[[#This Row],[DPA]]/6%</f>
        <v/>
      </c>
      <c r="W110" s="129">
        <f>Table_1[[#This Row],[PREÇO JUSTO BAZIN]]/(1+Table_1[[#This Row],[MARGEM DE DESCONTO]])</f>
        <v/>
      </c>
      <c r="X110" s="64">
        <f>(Table_1[[#This Row],[PREÇO JUSTO GRAHAM]]-Table_1[[#This Row],[PREÇO]])/Table_1[[#This Row],[PREÇO JUSTO GRAHAM]]</f>
        <v/>
      </c>
      <c r="Y110" s="129">
        <f>(22.5*Table_1[[#This Row],[LPA]]*Table_1[[#This Row],[VPA]])^0.5</f>
        <v/>
      </c>
      <c r="Z110" s="129">
        <f>Table_1[[#This Row],[PREÇO JUSTO GRAHAM]]/(1+Table_1[[#This Row],[MARGEM DE DESCONTO]])</f>
        <v/>
      </c>
      <c r="AA110" s="64">
        <f>(Table_1[[#This Row],[PREÇO JUSTO GORDON]]-Table_1[[#This Row],[PREÇO]])/Table_1[[#This Row],[PREÇO JUSTO GORDON]]</f>
        <v/>
      </c>
      <c r="AB110" s="130">
        <f>Table_1[[#This Row],[DPA]]*(1+Table_1[[#This Row],[MÉDIA DE CRESCIMENTO]])</f>
        <v/>
      </c>
      <c r="AC110" s="130">
        <f>Table_1[[#This Row],[D1]]/(Table_1[[#This Row],[RISCO]]-Table_1[[#This Row],[MÉDIA DE CRESCIMENTO]])</f>
        <v/>
      </c>
      <c r="AD110" s="130">
        <f>Table_1[[#This Row],[PREÇO JUSTO GORDON]]/(1+Table_1[[#This Row],[MARGEM DE DESCONTO]])</f>
        <v/>
      </c>
      <c r="AE110" s="78">
        <f>Table_1[[#This Row],[P/L]]/Table_1[[#This Row],[MÉDIA DE CRESCIMENTO]]</f>
        <v/>
      </c>
    </row>
    <row r="111" ht="15.75" customHeight="1">
      <c r="B111" s="77">
        <f>'Dados Status Invest'!A97</f>
        <v/>
      </c>
      <c r="C111" s="60">
        <f>VLOOKUP(Table_1[[#This Row],[AÇÕES]],'Classificação B3'!A:B,2,0)</f>
        <v/>
      </c>
      <c r="D111" s="60">
        <f>VLOOKUP(Table_1[[#This Row],[AÇÕES]],'Classificação B3'!A:D,4,0)</f>
        <v/>
      </c>
      <c r="E111" s="60">
        <f>VLOOKUP(Table_1[[#This Row],[AÇÕES]],'Classificação B3'!A:F,6,0)</f>
        <v/>
      </c>
      <c r="F111" s="60">
        <f>VLOOKUP(Table_1[[#This Row],[AÇÕES]],'Classificação B3'!A:G,7,0)</f>
        <v/>
      </c>
      <c r="G111" s="61">
        <f>VLOOKUP(Table_1[[#This Row],[AÇÕES]],'Dados Status Invest'!A:B,2,0)</f>
        <v/>
      </c>
      <c r="H111" s="62">
        <f>VLOOKUP(Table_1[[#This Row],[AÇÕES]],'Dados Status Invest'!A:C,3,0)/100</f>
        <v/>
      </c>
      <c r="I111" s="62">
        <f>VLOOKUP(Table_1[[#This Row],[AÇÕES]],'Dados Status Invest'!A:D,4,0)/100</f>
        <v/>
      </c>
      <c r="J111" s="63">
        <f>VLOOKUP(Table_1[[#This Row],[AÇÕES]],'Dados Status Invest'!A:AB,28,0)</f>
        <v/>
      </c>
      <c r="K111" s="63">
        <f>VLOOKUP(Table_1[[#This Row],[AÇÕES]],'Dados Status Invest'!A:AA,27,0)</f>
        <v/>
      </c>
      <c r="L111" s="63">
        <f>Table_1[[#This Row],[PREÇO]]*Table_1[[#This Row],[DY]]</f>
        <v/>
      </c>
      <c r="M111" s="62">
        <f>$E$13</f>
        <v/>
      </c>
      <c r="N111" s="62" t="n">
        <v>0.3</v>
      </c>
      <c r="O111" s="62">
        <f>Table_1[[#This Row],[DPA]]/Table_1[[#This Row],[LPA]]</f>
        <v/>
      </c>
      <c r="P111" s="62">
        <f>IF(Table_1[[#This Row],[PAYOUT]]&lt;=40%,"CRESCIMENTO",IF(Table_1[[#This Row],[PAYOUT]]&lt;=60%,"INDEFINIDO","DIVIDENDOS"))</f>
        <v/>
      </c>
      <c r="Q111" s="62">
        <f>VLOOKUP(Table_1[[#This Row],[AÇÕES]],'Dados Status Invest'!A:R,18,0)/100</f>
        <v/>
      </c>
      <c r="R111" s="62">
        <f>VLOOKUP(Table_1[[#This Row],[AÇÕES]],'Dados Status Invest'!A:Y,25,0)/100</f>
        <v/>
      </c>
      <c r="S111" s="62">
        <f>(1-Table_1[[#This Row],[PAYOUT]])*Table_1[[#This Row],[ROE]]</f>
        <v/>
      </c>
      <c r="T111" s="98">
        <f>AVERAGE(Table_1[[#This Row],[CAGR LUCRO 5A]],Table_1[[#This Row],[CRESCIMENTO DAMODARAN]])</f>
        <v/>
      </c>
      <c r="U111" s="64">
        <f>(Table_1[[#This Row],[PREÇO JUSTO BAZIN]]-Table_1[[#This Row],[PREÇO]])/Table_1[[#This Row],[PREÇO JUSTO BAZIN]]</f>
        <v/>
      </c>
      <c r="V111" s="129">
        <f>Table_1[[#This Row],[DPA]]/6%</f>
        <v/>
      </c>
      <c r="W111" s="129">
        <f>Table_1[[#This Row],[PREÇO JUSTO BAZIN]]/(1+Table_1[[#This Row],[MARGEM DE DESCONTO]])</f>
        <v/>
      </c>
      <c r="X111" s="64">
        <f>(Table_1[[#This Row],[PREÇO JUSTO GRAHAM]]-Table_1[[#This Row],[PREÇO]])/Table_1[[#This Row],[PREÇO JUSTO GRAHAM]]</f>
        <v/>
      </c>
      <c r="Y111" s="129">
        <f>(22.5*Table_1[[#This Row],[LPA]]*Table_1[[#This Row],[VPA]])^0.5</f>
        <v/>
      </c>
      <c r="Z111" s="129">
        <f>Table_1[[#This Row],[PREÇO JUSTO GRAHAM]]/(1+Table_1[[#This Row],[MARGEM DE DESCONTO]])</f>
        <v/>
      </c>
      <c r="AA111" s="64">
        <f>(Table_1[[#This Row],[PREÇO JUSTO GORDON]]-Table_1[[#This Row],[PREÇO]])/Table_1[[#This Row],[PREÇO JUSTO GORDON]]</f>
        <v/>
      </c>
      <c r="AB111" s="130">
        <f>Table_1[[#This Row],[DPA]]*(1+Table_1[[#This Row],[MÉDIA DE CRESCIMENTO]])</f>
        <v/>
      </c>
      <c r="AC111" s="130">
        <f>Table_1[[#This Row],[D1]]/(Table_1[[#This Row],[RISCO]]-Table_1[[#This Row],[MÉDIA DE CRESCIMENTO]])</f>
        <v/>
      </c>
      <c r="AD111" s="130">
        <f>Table_1[[#This Row],[PREÇO JUSTO GORDON]]/(1+Table_1[[#This Row],[MARGEM DE DESCONTO]])</f>
        <v/>
      </c>
      <c r="AE111" s="78">
        <f>Table_1[[#This Row],[P/L]]/Table_1[[#This Row],[MÉDIA DE CRESCIMENTO]]</f>
        <v/>
      </c>
    </row>
    <row r="112" ht="15.75" customHeight="1">
      <c r="B112" s="77">
        <f>'Dados Status Invest'!A98</f>
        <v/>
      </c>
      <c r="C112" s="60">
        <f>VLOOKUP(Table_1[[#This Row],[AÇÕES]],'Classificação B3'!A:B,2,0)</f>
        <v/>
      </c>
      <c r="D112" s="60">
        <f>VLOOKUP(Table_1[[#This Row],[AÇÕES]],'Classificação B3'!A:D,4,0)</f>
        <v/>
      </c>
      <c r="E112" s="60">
        <f>VLOOKUP(Table_1[[#This Row],[AÇÕES]],'Classificação B3'!A:F,6,0)</f>
        <v/>
      </c>
      <c r="F112" s="60">
        <f>VLOOKUP(Table_1[[#This Row],[AÇÕES]],'Classificação B3'!A:G,7,0)</f>
        <v/>
      </c>
      <c r="G112" s="61">
        <f>VLOOKUP(Table_1[[#This Row],[AÇÕES]],'Dados Status Invest'!A:B,2,0)</f>
        <v/>
      </c>
      <c r="H112" s="62">
        <f>VLOOKUP(Table_1[[#This Row],[AÇÕES]],'Dados Status Invest'!A:C,3,0)/100</f>
        <v/>
      </c>
      <c r="I112" s="62">
        <f>VLOOKUP(Table_1[[#This Row],[AÇÕES]],'Dados Status Invest'!A:D,4,0)/100</f>
        <v/>
      </c>
      <c r="J112" s="63">
        <f>VLOOKUP(Table_1[[#This Row],[AÇÕES]],'Dados Status Invest'!A:AB,28,0)</f>
        <v/>
      </c>
      <c r="K112" s="63">
        <f>VLOOKUP(Table_1[[#This Row],[AÇÕES]],'Dados Status Invest'!A:AA,27,0)</f>
        <v/>
      </c>
      <c r="L112" s="63">
        <f>Table_1[[#This Row],[PREÇO]]*Table_1[[#This Row],[DY]]</f>
        <v/>
      </c>
      <c r="M112" s="62">
        <f>$E$13</f>
        <v/>
      </c>
      <c r="N112" s="62" t="n">
        <v>0.3</v>
      </c>
      <c r="O112" s="62">
        <f>Table_1[[#This Row],[DPA]]/Table_1[[#This Row],[LPA]]</f>
        <v/>
      </c>
      <c r="P112" s="62">
        <f>IF(Table_1[[#This Row],[PAYOUT]]&lt;=40%,"CRESCIMENTO",IF(Table_1[[#This Row],[PAYOUT]]&lt;=60%,"INDEFINIDO","DIVIDENDOS"))</f>
        <v/>
      </c>
      <c r="Q112" s="62">
        <f>VLOOKUP(Table_1[[#This Row],[AÇÕES]],'Dados Status Invest'!A:R,18,0)/100</f>
        <v/>
      </c>
      <c r="R112" s="62">
        <f>VLOOKUP(Table_1[[#This Row],[AÇÕES]],'Dados Status Invest'!A:Y,25,0)/100</f>
        <v/>
      </c>
      <c r="S112" s="62">
        <f>(1-Table_1[[#This Row],[PAYOUT]])*Table_1[[#This Row],[ROE]]</f>
        <v/>
      </c>
      <c r="T112" s="98">
        <f>AVERAGE(Table_1[[#This Row],[CAGR LUCRO 5A]],Table_1[[#This Row],[CRESCIMENTO DAMODARAN]])</f>
        <v/>
      </c>
      <c r="U112" s="64">
        <f>(Table_1[[#This Row],[PREÇO JUSTO BAZIN]]-Table_1[[#This Row],[PREÇO]])/Table_1[[#This Row],[PREÇO JUSTO BAZIN]]</f>
        <v/>
      </c>
      <c r="V112" s="129">
        <f>Table_1[[#This Row],[DPA]]/6%</f>
        <v/>
      </c>
      <c r="W112" s="129">
        <f>Table_1[[#This Row],[PREÇO JUSTO BAZIN]]/(1+Table_1[[#This Row],[MARGEM DE DESCONTO]])</f>
        <v/>
      </c>
      <c r="X112" s="64">
        <f>(Table_1[[#This Row],[PREÇO JUSTO GRAHAM]]-Table_1[[#This Row],[PREÇO]])/Table_1[[#This Row],[PREÇO JUSTO GRAHAM]]</f>
        <v/>
      </c>
      <c r="Y112" s="129">
        <f>(22.5*Table_1[[#This Row],[LPA]]*Table_1[[#This Row],[VPA]])^0.5</f>
        <v/>
      </c>
      <c r="Z112" s="129">
        <f>Table_1[[#This Row],[PREÇO JUSTO GRAHAM]]/(1+Table_1[[#This Row],[MARGEM DE DESCONTO]])</f>
        <v/>
      </c>
      <c r="AA112" s="64">
        <f>(Table_1[[#This Row],[PREÇO JUSTO GORDON]]-Table_1[[#This Row],[PREÇO]])/Table_1[[#This Row],[PREÇO JUSTO GORDON]]</f>
        <v/>
      </c>
      <c r="AB112" s="130">
        <f>Table_1[[#This Row],[DPA]]*(1+Table_1[[#This Row],[MÉDIA DE CRESCIMENTO]])</f>
        <v/>
      </c>
      <c r="AC112" s="130">
        <f>Table_1[[#This Row],[D1]]/(Table_1[[#This Row],[RISCO]]-Table_1[[#This Row],[MÉDIA DE CRESCIMENTO]])</f>
        <v/>
      </c>
      <c r="AD112" s="130">
        <f>Table_1[[#This Row],[PREÇO JUSTO GORDON]]/(1+Table_1[[#This Row],[MARGEM DE DESCONTO]])</f>
        <v/>
      </c>
      <c r="AE112" s="78">
        <f>Table_1[[#This Row],[P/L]]/Table_1[[#This Row],[MÉDIA DE CRESCIMENTO]]</f>
        <v/>
      </c>
    </row>
    <row r="113" ht="15.75" customHeight="1">
      <c r="B113" s="77">
        <f>'Dados Status Invest'!A99</f>
        <v/>
      </c>
      <c r="C113" s="60">
        <f>VLOOKUP(Table_1[[#This Row],[AÇÕES]],'Classificação B3'!A:B,2,0)</f>
        <v/>
      </c>
      <c r="D113" s="60">
        <f>VLOOKUP(Table_1[[#This Row],[AÇÕES]],'Classificação B3'!A:D,4,0)</f>
        <v/>
      </c>
      <c r="E113" s="60">
        <f>VLOOKUP(Table_1[[#This Row],[AÇÕES]],'Classificação B3'!A:F,6,0)</f>
        <v/>
      </c>
      <c r="F113" s="60">
        <f>VLOOKUP(Table_1[[#This Row],[AÇÕES]],'Classificação B3'!A:G,7,0)</f>
        <v/>
      </c>
      <c r="G113" s="61">
        <f>VLOOKUP(Table_1[[#This Row],[AÇÕES]],'Dados Status Invest'!A:B,2,0)</f>
        <v/>
      </c>
      <c r="H113" s="62">
        <f>VLOOKUP(Table_1[[#This Row],[AÇÕES]],'Dados Status Invest'!A:C,3,0)/100</f>
        <v/>
      </c>
      <c r="I113" s="62">
        <f>VLOOKUP(Table_1[[#This Row],[AÇÕES]],'Dados Status Invest'!A:D,4,0)/100</f>
        <v/>
      </c>
      <c r="J113" s="63">
        <f>VLOOKUP(Table_1[[#This Row],[AÇÕES]],'Dados Status Invest'!A:AB,28,0)</f>
        <v/>
      </c>
      <c r="K113" s="63">
        <f>VLOOKUP(Table_1[[#This Row],[AÇÕES]],'Dados Status Invest'!A:AA,27,0)</f>
        <v/>
      </c>
      <c r="L113" s="63">
        <f>Table_1[[#This Row],[PREÇO]]*Table_1[[#This Row],[DY]]</f>
        <v/>
      </c>
      <c r="M113" s="62">
        <f>$E$13</f>
        <v/>
      </c>
      <c r="N113" s="62" t="n">
        <v>0.3</v>
      </c>
      <c r="O113" s="62">
        <f>Table_1[[#This Row],[DPA]]/Table_1[[#This Row],[LPA]]</f>
        <v/>
      </c>
      <c r="P113" s="62">
        <f>IF(Table_1[[#This Row],[PAYOUT]]&lt;=40%,"CRESCIMENTO",IF(Table_1[[#This Row],[PAYOUT]]&lt;=60%,"INDEFINIDO","DIVIDENDOS"))</f>
        <v/>
      </c>
      <c r="Q113" s="62">
        <f>VLOOKUP(Table_1[[#This Row],[AÇÕES]],'Dados Status Invest'!A:R,18,0)/100</f>
        <v/>
      </c>
      <c r="R113" s="62">
        <f>VLOOKUP(Table_1[[#This Row],[AÇÕES]],'Dados Status Invest'!A:Y,25,0)/100</f>
        <v/>
      </c>
      <c r="S113" s="62">
        <f>(1-Table_1[[#This Row],[PAYOUT]])*Table_1[[#This Row],[ROE]]</f>
        <v/>
      </c>
      <c r="T113" s="98">
        <f>AVERAGE(Table_1[[#This Row],[CAGR LUCRO 5A]],Table_1[[#This Row],[CRESCIMENTO DAMODARAN]])</f>
        <v/>
      </c>
      <c r="U113" s="64">
        <f>(Table_1[[#This Row],[PREÇO JUSTO BAZIN]]-Table_1[[#This Row],[PREÇO]])/Table_1[[#This Row],[PREÇO JUSTO BAZIN]]</f>
        <v/>
      </c>
      <c r="V113" s="129">
        <f>Table_1[[#This Row],[DPA]]/6%</f>
        <v/>
      </c>
      <c r="W113" s="129">
        <f>Table_1[[#This Row],[PREÇO JUSTO BAZIN]]/(1+Table_1[[#This Row],[MARGEM DE DESCONTO]])</f>
        <v/>
      </c>
      <c r="X113" s="64">
        <f>(Table_1[[#This Row],[PREÇO JUSTO GRAHAM]]-Table_1[[#This Row],[PREÇO]])/Table_1[[#This Row],[PREÇO JUSTO GRAHAM]]</f>
        <v/>
      </c>
      <c r="Y113" s="129">
        <f>(22.5*Table_1[[#This Row],[LPA]]*Table_1[[#This Row],[VPA]])^0.5</f>
        <v/>
      </c>
      <c r="Z113" s="129">
        <f>Table_1[[#This Row],[PREÇO JUSTO GRAHAM]]/(1+Table_1[[#This Row],[MARGEM DE DESCONTO]])</f>
        <v/>
      </c>
      <c r="AA113" s="64">
        <f>(Table_1[[#This Row],[PREÇO JUSTO GORDON]]-Table_1[[#This Row],[PREÇO]])/Table_1[[#This Row],[PREÇO JUSTO GORDON]]</f>
        <v/>
      </c>
      <c r="AB113" s="130">
        <f>Table_1[[#This Row],[DPA]]*(1+Table_1[[#This Row],[MÉDIA DE CRESCIMENTO]])</f>
        <v/>
      </c>
      <c r="AC113" s="130">
        <f>Table_1[[#This Row],[D1]]/(Table_1[[#This Row],[RISCO]]-Table_1[[#This Row],[MÉDIA DE CRESCIMENTO]])</f>
        <v/>
      </c>
      <c r="AD113" s="130">
        <f>Table_1[[#This Row],[PREÇO JUSTO GORDON]]/(1+Table_1[[#This Row],[MARGEM DE DESCONTO]])</f>
        <v/>
      </c>
      <c r="AE113" s="78">
        <f>Table_1[[#This Row],[P/L]]/Table_1[[#This Row],[MÉDIA DE CRESCIMENTO]]</f>
        <v/>
      </c>
    </row>
    <row r="114" ht="15.75" customHeight="1">
      <c r="B114" s="77">
        <f>'Dados Status Invest'!A100</f>
        <v/>
      </c>
      <c r="C114" s="60">
        <f>VLOOKUP(Table_1[[#This Row],[AÇÕES]],'Classificação B3'!A:B,2,0)</f>
        <v/>
      </c>
      <c r="D114" s="60">
        <f>VLOOKUP(Table_1[[#This Row],[AÇÕES]],'Classificação B3'!A:D,4,0)</f>
        <v/>
      </c>
      <c r="E114" s="60">
        <f>VLOOKUP(Table_1[[#This Row],[AÇÕES]],'Classificação B3'!A:F,6,0)</f>
        <v/>
      </c>
      <c r="F114" s="60">
        <f>VLOOKUP(Table_1[[#This Row],[AÇÕES]],'Classificação B3'!A:G,7,0)</f>
        <v/>
      </c>
      <c r="G114" s="61">
        <f>VLOOKUP(Table_1[[#This Row],[AÇÕES]],'Dados Status Invest'!A:B,2,0)</f>
        <v/>
      </c>
      <c r="H114" s="62">
        <f>VLOOKUP(Table_1[[#This Row],[AÇÕES]],'Dados Status Invest'!A:C,3,0)/100</f>
        <v/>
      </c>
      <c r="I114" s="62">
        <f>VLOOKUP(Table_1[[#This Row],[AÇÕES]],'Dados Status Invest'!A:D,4,0)/100</f>
        <v/>
      </c>
      <c r="J114" s="63">
        <f>VLOOKUP(Table_1[[#This Row],[AÇÕES]],'Dados Status Invest'!A:AB,28,0)</f>
        <v/>
      </c>
      <c r="K114" s="63">
        <f>VLOOKUP(Table_1[[#This Row],[AÇÕES]],'Dados Status Invest'!A:AA,27,0)</f>
        <v/>
      </c>
      <c r="L114" s="63">
        <f>Table_1[[#This Row],[PREÇO]]*Table_1[[#This Row],[DY]]</f>
        <v/>
      </c>
      <c r="M114" s="62">
        <f>$E$13</f>
        <v/>
      </c>
      <c r="N114" s="62" t="n">
        <v>0.3</v>
      </c>
      <c r="O114" s="62">
        <f>Table_1[[#This Row],[DPA]]/Table_1[[#This Row],[LPA]]</f>
        <v/>
      </c>
      <c r="P114" s="62">
        <f>IF(Table_1[[#This Row],[PAYOUT]]&lt;=40%,"CRESCIMENTO",IF(Table_1[[#This Row],[PAYOUT]]&lt;=60%,"INDEFINIDO","DIVIDENDOS"))</f>
        <v/>
      </c>
      <c r="Q114" s="62">
        <f>VLOOKUP(Table_1[[#This Row],[AÇÕES]],'Dados Status Invest'!A:R,18,0)/100</f>
        <v/>
      </c>
      <c r="R114" s="62">
        <f>VLOOKUP(Table_1[[#This Row],[AÇÕES]],'Dados Status Invest'!A:Y,25,0)/100</f>
        <v/>
      </c>
      <c r="S114" s="62">
        <f>(1-Table_1[[#This Row],[PAYOUT]])*Table_1[[#This Row],[ROE]]</f>
        <v/>
      </c>
      <c r="T114" s="98">
        <f>AVERAGE(Table_1[[#This Row],[CAGR LUCRO 5A]],Table_1[[#This Row],[CRESCIMENTO DAMODARAN]])</f>
        <v/>
      </c>
      <c r="U114" s="64">
        <f>(Table_1[[#This Row],[PREÇO JUSTO BAZIN]]-Table_1[[#This Row],[PREÇO]])/Table_1[[#This Row],[PREÇO JUSTO BAZIN]]</f>
        <v/>
      </c>
      <c r="V114" s="129">
        <f>Table_1[[#This Row],[DPA]]/6%</f>
        <v/>
      </c>
      <c r="W114" s="129">
        <f>Table_1[[#This Row],[PREÇO JUSTO BAZIN]]/(1+Table_1[[#This Row],[MARGEM DE DESCONTO]])</f>
        <v/>
      </c>
      <c r="X114" s="64">
        <f>(Table_1[[#This Row],[PREÇO JUSTO GRAHAM]]-Table_1[[#This Row],[PREÇO]])/Table_1[[#This Row],[PREÇO JUSTO GRAHAM]]</f>
        <v/>
      </c>
      <c r="Y114" s="129">
        <f>(22.5*Table_1[[#This Row],[LPA]]*Table_1[[#This Row],[VPA]])^0.5</f>
        <v/>
      </c>
      <c r="Z114" s="129">
        <f>Table_1[[#This Row],[PREÇO JUSTO GRAHAM]]/(1+Table_1[[#This Row],[MARGEM DE DESCONTO]])</f>
        <v/>
      </c>
      <c r="AA114" s="64">
        <f>(Table_1[[#This Row],[PREÇO JUSTO GORDON]]-Table_1[[#This Row],[PREÇO]])/Table_1[[#This Row],[PREÇO JUSTO GORDON]]</f>
        <v/>
      </c>
      <c r="AB114" s="130">
        <f>Table_1[[#This Row],[DPA]]*(1+Table_1[[#This Row],[MÉDIA DE CRESCIMENTO]])</f>
        <v/>
      </c>
      <c r="AC114" s="130">
        <f>Table_1[[#This Row],[D1]]/(Table_1[[#This Row],[RISCO]]-Table_1[[#This Row],[MÉDIA DE CRESCIMENTO]])</f>
        <v/>
      </c>
      <c r="AD114" s="130">
        <f>Table_1[[#This Row],[PREÇO JUSTO GORDON]]/(1+Table_1[[#This Row],[MARGEM DE DESCONTO]])</f>
        <v/>
      </c>
      <c r="AE114" s="78">
        <f>Table_1[[#This Row],[P/L]]/Table_1[[#This Row],[MÉDIA DE CRESCIMENTO]]</f>
        <v/>
      </c>
    </row>
    <row r="115" ht="15.75" customHeight="1">
      <c r="B115" s="77">
        <f>'Dados Status Invest'!A101</f>
        <v/>
      </c>
      <c r="C115" s="60">
        <f>VLOOKUP(Table_1[[#This Row],[AÇÕES]],'Classificação B3'!A:B,2,0)</f>
        <v/>
      </c>
      <c r="D115" s="60">
        <f>VLOOKUP(Table_1[[#This Row],[AÇÕES]],'Classificação B3'!A:D,4,0)</f>
        <v/>
      </c>
      <c r="E115" s="60">
        <f>VLOOKUP(Table_1[[#This Row],[AÇÕES]],'Classificação B3'!A:F,6,0)</f>
        <v/>
      </c>
      <c r="F115" s="60">
        <f>VLOOKUP(Table_1[[#This Row],[AÇÕES]],'Classificação B3'!A:G,7,0)</f>
        <v/>
      </c>
      <c r="G115" s="61">
        <f>VLOOKUP(Table_1[[#This Row],[AÇÕES]],'Dados Status Invest'!A:B,2,0)</f>
        <v/>
      </c>
      <c r="H115" s="62">
        <f>VLOOKUP(Table_1[[#This Row],[AÇÕES]],'Dados Status Invest'!A:C,3,0)/100</f>
        <v/>
      </c>
      <c r="I115" s="62">
        <f>VLOOKUP(Table_1[[#This Row],[AÇÕES]],'Dados Status Invest'!A:D,4,0)/100</f>
        <v/>
      </c>
      <c r="J115" s="63">
        <f>VLOOKUP(Table_1[[#This Row],[AÇÕES]],'Dados Status Invest'!A:AB,28,0)</f>
        <v/>
      </c>
      <c r="K115" s="63">
        <f>VLOOKUP(Table_1[[#This Row],[AÇÕES]],'Dados Status Invest'!A:AA,27,0)</f>
        <v/>
      </c>
      <c r="L115" s="63">
        <f>Table_1[[#This Row],[PREÇO]]*Table_1[[#This Row],[DY]]</f>
        <v/>
      </c>
      <c r="M115" s="62">
        <f>$E$13</f>
        <v/>
      </c>
      <c r="N115" s="62" t="n">
        <v>0.3</v>
      </c>
      <c r="O115" s="62">
        <f>Table_1[[#This Row],[DPA]]/Table_1[[#This Row],[LPA]]</f>
        <v/>
      </c>
      <c r="P115" s="62">
        <f>IF(Table_1[[#This Row],[PAYOUT]]&lt;=40%,"CRESCIMENTO",IF(Table_1[[#This Row],[PAYOUT]]&lt;=60%,"INDEFINIDO","DIVIDENDOS"))</f>
        <v/>
      </c>
      <c r="Q115" s="62">
        <f>VLOOKUP(Table_1[[#This Row],[AÇÕES]],'Dados Status Invest'!A:R,18,0)/100</f>
        <v/>
      </c>
      <c r="R115" s="62">
        <f>VLOOKUP(Table_1[[#This Row],[AÇÕES]],'Dados Status Invest'!A:Y,25,0)/100</f>
        <v/>
      </c>
      <c r="S115" s="62">
        <f>(1-Table_1[[#This Row],[PAYOUT]])*Table_1[[#This Row],[ROE]]</f>
        <v/>
      </c>
      <c r="T115" s="98">
        <f>AVERAGE(Table_1[[#This Row],[CAGR LUCRO 5A]],Table_1[[#This Row],[CRESCIMENTO DAMODARAN]])</f>
        <v/>
      </c>
      <c r="U115" s="64">
        <f>(Table_1[[#This Row],[PREÇO JUSTO BAZIN]]-Table_1[[#This Row],[PREÇO]])/Table_1[[#This Row],[PREÇO JUSTO BAZIN]]</f>
        <v/>
      </c>
      <c r="V115" s="129">
        <f>Table_1[[#This Row],[DPA]]/6%</f>
        <v/>
      </c>
      <c r="W115" s="129">
        <f>Table_1[[#This Row],[PREÇO JUSTO BAZIN]]/(1+Table_1[[#This Row],[MARGEM DE DESCONTO]])</f>
        <v/>
      </c>
      <c r="X115" s="64">
        <f>(Table_1[[#This Row],[PREÇO JUSTO GRAHAM]]-Table_1[[#This Row],[PREÇO]])/Table_1[[#This Row],[PREÇO JUSTO GRAHAM]]</f>
        <v/>
      </c>
      <c r="Y115" s="129">
        <f>(22.5*Table_1[[#This Row],[LPA]]*Table_1[[#This Row],[VPA]])^0.5</f>
        <v/>
      </c>
      <c r="Z115" s="129">
        <f>Table_1[[#This Row],[PREÇO JUSTO GRAHAM]]/(1+Table_1[[#This Row],[MARGEM DE DESCONTO]])</f>
        <v/>
      </c>
      <c r="AA115" s="64">
        <f>(Table_1[[#This Row],[PREÇO JUSTO GORDON]]-Table_1[[#This Row],[PREÇO]])/Table_1[[#This Row],[PREÇO JUSTO GORDON]]</f>
        <v/>
      </c>
      <c r="AB115" s="130">
        <f>Table_1[[#This Row],[DPA]]*(1+Table_1[[#This Row],[MÉDIA DE CRESCIMENTO]])</f>
        <v/>
      </c>
      <c r="AC115" s="130">
        <f>Table_1[[#This Row],[D1]]/(Table_1[[#This Row],[RISCO]]-Table_1[[#This Row],[MÉDIA DE CRESCIMENTO]])</f>
        <v/>
      </c>
      <c r="AD115" s="130">
        <f>Table_1[[#This Row],[PREÇO JUSTO GORDON]]/(1+Table_1[[#This Row],[MARGEM DE DESCONTO]])</f>
        <v/>
      </c>
      <c r="AE115" s="78">
        <f>Table_1[[#This Row],[P/L]]/Table_1[[#This Row],[MÉDIA DE CRESCIMENTO]]</f>
        <v/>
      </c>
    </row>
    <row r="116" ht="15.75" customHeight="1">
      <c r="B116" s="77">
        <f>'Dados Status Invest'!A102</f>
        <v/>
      </c>
      <c r="C116" s="60">
        <f>VLOOKUP(Table_1[[#This Row],[AÇÕES]],'Classificação B3'!A:B,2,0)</f>
        <v/>
      </c>
      <c r="D116" s="60">
        <f>VLOOKUP(Table_1[[#This Row],[AÇÕES]],'Classificação B3'!A:D,4,0)</f>
        <v/>
      </c>
      <c r="E116" s="60">
        <f>VLOOKUP(Table_1[[#This Row],[AÇÕES]],'Classificação B3'!A:F,6,0)</f>
        <v/>
      </c>
      <c r="F116" s="60">
        <f>VLOOKUP(Table_1[[#This Row],[AÇÕES]],'Classificação B3'!A:G,7,0)</f>
        <v/>
      </c>
      <c r="G116" s="61">
        <f>VLOOKUP(Table_1[[#This Row],[AÇÕES]],'Dados Status Invest'!A:B,2,0)</f>
        <v/>
      </c>
      <c r="H116" s="62">
        <f>VLOOKUP(Table_1[[#This Row],[AÇÕES]],'Dados Status Invest'!A:C,3,0)/100</f>
        <v/>
      </c>
      <c r="I116" s="62">
        <f>VLOOKUP(Table_1[[#This Row],[AÇÕES]],'Dados Status Invest'!A:D,4,0)/100</f>
        <v/>
      </c>
      <c r="J116" s="63">
        <f>VLOOKUP(Table_1[[#This Row],[AÇÕES]],'Dados Status Invest'!A:AB,28,0)</f>
        <v/>
      </c>
      <c r="K116" s="63">
        <f>VLOOKUP(Table_1[[#This Row],[AÇÕES]],'Dados Status Invest'!A:AA,27,0)</f>
        <v/>
      </c>
      <c r="L116" s="63">
        <f>Table_1[[#This Row],[PREÇO]]*Table_1[[#This Row],[DY]]</f>
        <v/>
      </c>
      <c r="M116" s="62">
        <f>$E$13</f>
        <v/>
      </c>
      <c r="N116" s="62" t="n">
        <v>0.3</v>
      </c>
      <c r="O116" s="62">
        <f>Table_1[[#This Row],[DPA]]/Table_1[[#This Row],[LPA]]</f>
        <v/>
      </c>
      <c r="P116" s="62">
        <f>IF(Table_1[[#This Row],[PAYOUT]]&lt;=40%,"CRESCIMENTO",IF(Table_1[[#This Row],[PAYOUT]]&lt;=60%,"INDEFINIDO","DIVIDENDOS"))</f>
        <v/>
      </c>
      <c r="Q116" s="62">
        <f>VLOOKUP(Table_1[[#This Row],[AÇÕES]],'Dados Status Invest'!A:R,18,0)/100</f>
        <v/>
      </c>
      <c r="R116" s="62">
        <f>VLOOKUP(Table_1[[#This Row],[AÇÕES]],'Dados Status Invest'!A:Y,25,0)/100</f>
        <v/>
      </c>
      <c r="S116" s="62">
        <f>(1-Table_1[[#This Row],[PAYOUT]])*Table_1[[#This Row],[ROE]]</f>
        <v/>
      </c>
      <c r="T116" s="98">
        <f>AVERAGE(Table_1[[#This Row],[CAGR LUCRO 5A]],Table_1[[#This Row],[CRESCIMENTO DAMODARAN]])</f>
        <v/>
      </c>
      <c r="U116" s="64">
        <f>(Table_1[[#This Row],[PREÇO JUSTO BAZIN]]-Table_1[[#This Row],[PREÇO]])/Table_1[[#This Row],[PREÇO JUSTO BAZIN]]</f>
        <v/>
      </c>
      <c r="V116" s="129">
        <f>Table_1[[#This Row],[DPA]]/6%</f>
        <v/>
      </c>
      <c r="W116" s="129">
        <f>Table_1[[#This Row],[PREÇO JUSTO BAZIN]]/(1+Table_1[[#This Row],[MARGEM DE DESCONTO]])</f>
        <v/>
      </c>
      <c r="X116" s="64">
        <f>(Table_1[[#This Row],[PREÇO JUSTO GRAHAM]]-Table_1[[#This Row],[PREÇO]])/Table_1[[#This Row],[PREÇO JUSTO GRAHAM]]</f>
        <v/>
      </c>
      <c r="Y116" s="129">
        <f>(22.5*Table_1[[#This Row],[LPA]]*Table_1[[#This Row],[VPA]])^0.5</f>
        <v/>
      </c>
      <c r="Z116" s="129">
        <f>Table_1[[#This Row],[PREÇO JUSTO GRAHAM]]/(1+Table_1[[#This Row],[MARGEM DE DESCONTO]])</f>
        <v/>
      </c>
      <c r="AA116" s="64">
        <f>(Table_1[[#This Row],[PREÇO JUSTO GORDON]]-Table_1[[#This Row],[PREÇO]])/Table_1[[#This Row],[PREÇO JUSTO GORDON]]</f>
        <v/>
      </c>
      <c r="AB116" s="130">
        <f>Table_1[[#This Row],[DPA]]*(1+Table_1[[#This Row],[MÉDIA DE CRESCIMENTO]])</f>
        <v/>
      </c>
      <c r="AC116" s="130">
        <f>Table_1[[#This Row],[D1]]/(Table_1[[#This Row],[RISCO]]-Table_1[[#This Row],[MÉDIA DE CRESCIMENTO]])</f>
        <v/>
      </c>
      <c r="AD116" s="130">
        <f>Table_1[[#This Row],[PREÇO JUSTO GORDON]]/(1+Table_1[[#This Row],[MARGEM DE DESCONTO]])</f>
        <v/>
      </c>
      <c r="AE116" s="78">
        <f>Table_1[[#This Row],[P/L]]/Table_1[[#This Row],[MÉDIA DE CRESCIMENTO]]</f>
        <v/>
      </c>
    </row>
    <row r="117" ht="15.75" customHeight="1">
      <c r="B117" s="77">
        <f>'Dados Status Invest'!A103</f>
        <v/>
      </c>
      <c r="C117" s="60">
        <f>VLOOKUP(Table_1[[#This Row],[AÇÕES]],'Classificação B3'!A:B,2,0)</f>
        <v/>
      </c>
      <c r="D117" s="60">
        <f>VLOOKUP(Table_1[[#This Row],[AÇÕES]],'Classificação B3'!A:D,4,0)</f>
        <v/>
      </c>
      <c r="E117" s="60">
        <f>VLOOKUP(Table_1[[#This Row],[AÇÕES]],'Classificação B3'!A:F,6,0)</f>
        <v/>
      </c>
      <c r="F117" s="60">
        <f>VLOOKUP(Table_1[[#This Row],[AÇÕES]],'Classificação B3'!A:G,7,0)</f>
        <v/>
      </c>
      <c r="G117" s="61">
        <f>VLOOKUP(Table_1[[#This Row],[AÇÕES]],'Dados Status Invest'!A:B,2,0)</f>
        <v/>
      </c>
      <c r="H117" s="62">
        <f>VLOOKUP(Table_1[[#This Row],[AÇÕES]],'Dados Status Invest'!A:C,3,0)/100</f>
        <v/>
      </c>
      <c r="I117" s="62">
        <f>VLOOKUP(Table_1[[#This Row],[AÇÕES]],'Dados Status Invest'!A:D,4,0)/100</f>
        <v/>
      </c>
      <c r="J117" s="63">
        <f>VLOOKUP(Table_1[[#This Row],[AÇÕES]],'Dados Status Invest'!A:AB,28,0)</f>
        <v/>
      </c>
      <c r="K117" s="63">
        <f>VLOOKUP(Table_1[[#This Row],[AÇÕES]],'Dados Status Invest'!A:AA,27,0)</f>
        <v/>
      </c>
      <c r="L117" s="63">
        <f>Table_1[[#This Row],[PREÇO]]*Table_1[[#This Row],[DY]]</f>
        <v/>
      </c>
      <c r="M117" s="62">
        <f>$E$13</f>
        <v/>
      </c>
      <c r="N117" s="62" t="n">
        <v>0.3</v>
      </c>
      <c r="O117" s="62">
        <f>Table_1[[#This Row],[DPA]]/Table_1[[#This Row],[LPA]]</f>
        <v/>
      </c>
      <c r="P117" s="62">
        <f>IF(Table_1[[#This Row],[PAYOUT]]&lt;=40%,"CRESCIMENTO",IF(Table_1[[#This Row],[PAYOUT]]&lt;=60%,"INDEFINIDO","DIVIDENDOS"))</f>
        <v/>
      </c>
      <c r="Q117" s="62">
        <f>VLOOKUP(Table_1[[#This Row],[AÇÕES]],'Dados Status Invest'!A:R,18,0)/100</f>
        <v/>
      </c>
      <c r="R117" s="62">
        <f>VLOOKUP(Table_1[[#This Row],[AÇÕES]],'Dados Status Invest'!A:Y,25,0)/100</f>
        <v/>
      </c>
      <c r="S117" s="62">
        <f>(1-Table_1[[#This Row],[PAYOUT]])*Table_1[[#This Row],[ROE]]</f>
        <v/>
      </c>
      <c r="T117" s="98">
        <f>AVERAGE(Table_1[[#This Row],[CAGR LUCRO 5A]],Table_1[[#This Row],[CRESCIMENTO DAMODARAN]])</f>
        <v/>
      </c>
      <c r="U117" s="64">
        <f>(Table_1[[#This Row],[PREÇO JUSTO BAZIN]]-Table_1[[#This Row],[PREÇO]])/Table_1[[#This Row],[PREÇO JUSTO BAZIN]]</f>
        <v/>
      </c>
      <c r="V117" s="129">
        <f>Table_1[[#This Row],[DPA]]/6%</f>
        <v/>
      </c>
      <c r="W117" s="129">
        <f>Table_1[[#This Row],[PREÇO JUSTO BAZIN]]/(1+Table_1[[#This Row],[MARGEM DE DESCONTO]])</f>
        <v/>
      </c>
      <c r="X117" s="64">
        <f>(Table_1[[#This Row],[PREÇO JUSTO GRAHAM]]-Table_1[[#This Row],[PREÇO]])/Table_1[[#This Row],[PREÇO JUSTO GRAHAM]]</f>
        <v/>
      </c>
      <c r="Y117" s="129">
        <f>(22.5*Table_1[[#This Row],[LPA]]*Table_1[[#This Row],[VPA]])^0.5</f>
        <v/>
      </c>
      <c r="Z117" s="129">
        <f>Table_1[[#This Row],[PREÇO JUSTO GRAHAM]]/(1+Table_1[[#This Row],[MARGEM DE DESCONTO]])</f>
        <v/>
      </c>
      <c r="AA117" s="64">
        <f>(Table_1[[#This Row],[PREÇO JUSTO GORDON]]-Table_1[[#This Row],[PREÇO]])/Table_1[[#This Row],[PREÇO JUSTO GORDON]]</f>
        <v/>
      </c>
      <c r="AB117" s="130">
        <f>Table_1[[#This Row],[DPA]]*(1+Table_1[[#This Row],[MÉDIA DE CRESCIMENTO]])</f>
        <v/>
      </c>
      <c r="AC117" s="130">
        <f>Table_1[[#This Row],[D1]]/(Table_1[[#This Row],[RISCO]]-Table_1[[#This Row],[MÉDIA DE CRESCIMENTO]])</f>
        <v/>
      </c>
      <c r="AD117" s="130">
        <f>Table_1[[#This Row],[PREÇO JUSTO GORDON]]/(1+Table_1[[#This Row],[MARGEM DE DESCONTO]])</f>
        <v/>
      </c>
      <c r="AE117" s="78">
        <f>Table_1[[#This Row],[P/L]]/Table_1[[#This Row],[MÉDIA DE CRESCIMENTO]]</f>
        <v/>
      </c>
    </row>
    <row r="118" ht="15.75" customHeight="1">
      <c r="B118" s="77">
        <f>'Dados Status Invest'!A104</f>
        <v/>
      </c>
      <c r="C118" s="60">
        <f>VLOOKUP(Table_1[[#This Row],[AÇÕES]],'Classificação B3'!A:B,2,0)</f>
        <v/>
      </c>
      <c r="D118" s="60">
        <f>VLOOKUP(Table_1[[#This Row],[AÇÕES]],'Classificação B3'!A:D,4,0)</f>
        <v/>
      </c>
      <c r="E118" s="60">
        <f>VLOOKUP(Table_1[[#This Row],[AÇÕES]],'Classificação B3'!A:F,6,0)</f>
        <v/>
      </c>
      <c r="F118" s="60">
        <f>VLOOKUP(Table_1[[#This Row],[AÇÕES]],'Classificação B3'!A:G,7,0)</f>
        <v/>
      </c>
      <c r="G118" s="61">
        <f>VLOOKUP(Table_1[[#This Row],[AÇÕES]],'Dados Status Invest'!A:B,2,0)</f>
        <v/>
      </c>
      <c r="H118" s="62">
        <f>VLOOKUP(Table_1[[#This Row],[AÇÕES]],'Dados Status Invest'!A:C,3,0)/100</f>
        <v/>
      </c>
      <c r="I118" s="62">
        <f>VLOOKUP(Table_1[[#This Row],[AÇÕES]],'Dados Status Invest'!A:D,4,0)/100</f>
        <v/>
      </c>
      <c r="J118" s="63">
        <f>VLOOKUP(Table_1[[#This Row],[AÇÕES]],'Dados Status Invest'!A:AB,28,0)</f>
        <v/>
      </c>
      <c r="K118" s="63">
        <f>VLOOKUP(Table_1[[#This Row],[AÇÕES]],'Dados Status Invest'!A:AA,27,0)</f>
        <v/>
      </c>
      <c r="L118" s="63">
        <f>Table_1[[#This Row],[PREÇO]]*Table_1[[#This Row],[DY]]</f>
        <v/>
      </c>
      <c r="M118" s="62">
        <f>$E$13</f>
        <v/>
      </c>
      <c r="N118" s="62" t="n">
        <v>0.3</v>
      </c>
      <c r="O118" s="62">
        <f>Table_1[[#This Row],[DPA]]/Table_1[[#This Row],[LPA]]</f>
        <v/>
      </c>
      <c r="P118" s="62">
        <f>IF(Table_1[[#This Row],[PAYOUT]]&lt;=40%,"CRESCIMENTO",IF(Table_1[[#This Row],[PAYOUT]]&lt;=60%,"INDEFINIDO","DIVIDENDOS"))</f>
        <v/>
      </c>
      <c r="Q118" s="62">
        <f>VLOOKUP(Table_1[[#This Row],[AÇÕES]],'Dados Status Invest'!A:R,18,0)/100</f>
        <v/>
      </c>
      <c r="R118" s="62">
        <f>VLOOKUP(Table_1[[#This Row],[AÇÕES]],'Dados Status Invest'!A:Y,25,0)/100</f>
        <v/>
      </c>
      <c r="S118" s="62">
        <f>(1-Table_1[[#This Row],[PAYOUT]])*Table_1[[#This Row],[ROE]]</f>
        <v/>
      </c>
      <c r="T118" s="98">
        <f>AVERAGE(Table_1[[#This Row],[CAGR LUCRO 5A]],Table_1[[#This Row],[CRESCIMENTO DAMODARAN]])</f>
        <v/>
      </c>
      <c r="U118" s="64">
        <f>(Table_1[[#This Row],[PREÇO JUSTO BAZIN]]-Table_1[[#This Row],[PREÇO]])/Table_1[[#This Row],[PREÇO JUSTO BAZIN]]</f>
        <v/>
      </c>
      <c r="V118" s="129">
        <f>Table_1[[#This Row],[DPA]]/6%</f>
        <v/>
      </c>
      <c r="W118" s="129">
        <f>Table_1[[#This Row],[PREÇO JUSTO BAZIN]]/(1+Table_1[[#This Row],[MARGEM DE DESCONTO]])</f>
        <v/>
      </c>
      <c r="X118" s="64">
        <f>(Table_1[[#This Row],[PREÇO JUSTO GRAHAM]]-Table_1[[#This Row],[PREÇO]])/Table_1[[#This Row],[PREÇO JUSTO GRAHAM]]</f>
        <v/>
      </c>
      <c r="Y118" s="129">
        <f>(22.5*Table_1[[#This Row],[LPA]]*Table_1[[#This Row],[VPA]])^0.5</f>
        <v/>
      </c>
      <c r="Z118" s="129">
        <f>Table_1[[#This Row],[PREÇO JUSTO GRAHAM]]/(1+Table_1[[#This Row],[MARGEM DE DESCONTO]])</f>
        <v/>
      </c>
      <c r="AA118" s="64">
        <f>(Table_1[[#This Row],[PREÇO JUSTO GORDON]]-Table_1[[#This Row],[PREÇO]])/Table_1[[#This Row],[PREÇO JUSTO GORDON]]</f>
        <v/>
      </c>
      <c r="AB118" s="130">
        <f>Table_1[[#This Row],[DPA]]*(1+Table_1[[#This Row],[MÉDIA DE CRESCIMENTO]])</f>
        <v/>
      </c>
      <c r="AC118" s="130">
        <f>Table_1[[#This Row],[D1]]/(Table_1[[#This Row],[RISCO]]-Table_1[[#This Row],[MÉDIA DE CRESCIMENTO]])</f>
        <v/>
      </c>
      <c r="AD118" s="130">
        <f>Table_1[[#This Row],[PREÇO JUSTO GORDON]]/(1+Table_1[[#This Row],[MARGEM DE DESCONTO]])</f>
        <v/>
      </c>
      <c r="AE118" s="78">
        <f>Table_1[[#This Row],[P/L]]/Table_1[[#This Row],[MÉDIA DE CRESCIMENTO]]</f>
        <v/>
      </c>
    </row>
    <row r="119" ht="15.75" customHeight="1">
      <c r="B119" s="77">
        <f>'Dados Status Invest'!A105</f>
        <v/>
      </c>
      <c r="C119" s="60">
        <f>VLOOKUP(Table_1[[#This Row],[AÇÕES]],'Classificação B3'!A:B,2,0)</f>
        <v/>
      </c>
      <c r="D119" s="60">
        <f>VLOOKUP(Table_1[[#This Row],[AÇÕES]],'Classificação B3'!A:D,4,0)</f>
        <v/>
      </c>
      <c r="E119" s="60">
        <f>VLOOKUP(Table_1[[#This Row],[AÇÕES]],'Classificação B3'!A:F,6,0)</f>
        <v/>
      </c>
      <c r="F119" s="60">
        <f>VLOOKUP(Table_1[[#This Row],[AÇÕES]],'Classificação B3'!A:G,7,0)</f>
        <v/>
      </c>
      <c r="G119" s="61">
        <f>VLOOKUP(Table_1[[#This Row],[AÇÕES]],'Dados Status Invest'!A:B,2,0)</f>
        <v/>
      </c>
      <c r="H119" s="62">
        <f>VLOOKUP(Table_1[[#This Row],[AÇÕES]],'Dados Status Invest'!A:C,3,0)/100</f>
        <v/>
      </c>
      <c r="I119" s="62">
        <f>VLOOKUP(Table_1[[#This Row],[AÇÕES]],'Dados Status Invest'!A:D,4,0)/100</f>
        <v/>
      </c>
      <c r="J119" s="63">
        <f>VLOOKUP(Table_1[[#This Row],[AÇÕES]],'Dados Status Invest'!A:AB,28,0)</f>
        <v/>
      </c>
      <c r="K119" s="63">
        <f>VLOOKUP(Table_1[[#This Row],[AÇÕES]],'Dados Status Invest'!A:AA,27,0)</f>
        <v/>
      </c>
      <c r="L119" s="63">
        <f>Table_1[[#This Row],[PREÇO]]*Table_1[[#This Row],[DY]]</f>
        <v/>
      </c>
      <c r="M119" s="62">
        <f>$E$13</f>
        <v/>
      </c>
      <c r="N119" s="62" t="n">
        <v>0.3</v>
      </c>
      <c r="O119" s="62">
        <f>Table_1[[#This Row],[DPA]]/Table_1[[#This Row],[LPA]]</f>
        <v/>
      </c>
      <c r="P119" s="62">
        <f>IF(Table_1[[#This Row],[PAYOUT]]&lt;=40%,"CRESCIMENTO",IF(Table_1[[#This Row],[PAYOUT]]&lt;=60%,"INDEFINIDO","DIVIDENDOS"))</f>
        <v/>
      </c>
      <c r="Q119" s="62">
        <f>VLOOKUP(Table_1[[#This Row],[AÇÕES]],'Dados Status Invest'!A:R,18,0)/100</f>
        <v/>
      </c>
      <c r="R119" s="62">
        <f>VLOOKUP(Table_1[[#This Row],[AÇÕES]],'Dados Status Invest'!A:Y,25,0)/100</f>
        <v/>
      </c>
      <c r="S119" s="62">
        <f>(1-Table_1[[#This Row],[PAYOUT]])*Table_1[[#This Row],[ROE]]</f>
        <v/>
      </c>
      <c r="T119" s="98">
        <f>AVERAGE(Table_1[[#This Row],[CAGR LUCRO 5A]],Table_1[[#This Row],[CRESCIMENTO DAMODARAN]])</f>
        <v/>
      </c>
      <c r="U119" s="64">
        <f>(Table_1[[#This Row],[PREÇO JUSTO BAZIN]]-Table_1[[#This Row],[PREÇO]])/Table_1[[#This Row],[PREÇO JUSTO BAZIN]]</f>
        <v/>
      </c>
      <c r="V119" s="129">
        <f>Table_1[[#This Row],[DPA]]/6%</f>
        <v/>
      </c>
      <c r="W119" s="129">
        <f>Table_1[[#This Row],[PREÇO JUSTO BAZIN]]/(1+Table_1[[#This Row],[MARGEM DE DESCONTO]])</f>
        <v/>
      </c>
      <c r="X119" s="64">
        <f>(Table_1[[#This Row],[PREÇO JUSTO GRAHAM]]-Table_1[[#This Row],[PREÇO]])/Table_1[[#This Row],[PREÇO JUSTO GRAHAM]]</f>
        <v/>
      </c>
      <c r="Y119" s="129">
        <f>(22.5*Table_1[[#This Row],[LPA]]*Table_1[[#This Row],[VPA]])^0.5</f>
        <v/>
      </c>
      <c r="Z119" s="129">
        <f>Table_1[[#This Row],[PREÇO JUSTO GRAHAM]]/(1+Table_1[[#This Row],[MARGEM DE DESCONTO]])</f>
        <v/>
      </c>
      <c r="AA119" s="64">
        <f>(Table_1[[#This Row],[PREÇO JUSTO GORDON]]-Table_1[[#This Row],[PREÇO]])/Table_1[[#This Row],[PREÇO JUSTO GORDON]]</f>
        <v/>
      </c>
      <c r="AB119" s="130">
        <f>Table_1[[#This Row],[DPA]]*(1+Table_1[[#This Row],[MÉDIA DE CRESCIMENTO]])</f>
        <v/>
      </c>
      <c r="AC119" s="130">
        <f>Table_1[[#This Row],[D1]]/(Table_1[[#This Row],[RISCO]]-Table_1[[#This Row],[MÉDIA DE CRESCIMENTO]])</f>
        <v/>
      </c>
      <c r="AD119" s="130">
        <f>Table_1[[#This Row],[PREÇO JUSTO GORDON]]/(1+Table_1[[#This Row],[MARGEM DE DESCONTO]])</f>
        <v/>
      </c>
      <c r="AE119" s="78">
        <f>Table_1[[#This Row],[P/L]]/Table_1[[#This Row],[MÉDIA DE CRESCIMENTO]]</f>
        <v/>
      </c>
    </row>
    <row r="120" ht="15.75" customHeight="1">
      <c r="B120" s="77">
        <f>'Dados Status Invest'!A106</f>
        <v/>
      </c>
      <c r="C120" s="60">
        <f>VLOOKUP(Table_1[[#This Row],[AÇÕES]],'Classificação B3'!A:B,2,0)</f>
        <v/>
      </c>
      <c r="D120" s="60">
        <f>VLOOKUP(Table_1[[#This Row],[AÇÕES]],'Classificação B3'!A:D,4,0)</f>
        <v/>
      </c>
      <c r="E120" s="60">
        <f>VLOOKUP(Table_1[[#This Row],[AÇÕES]],'Classificação B3'!A:F,6,0)</f>
        <v/>
      </c>
      <c r="F120" s="60">
        <f>VLOOKUP(Table_1[[#This Row],[AÇÕES]],'Classificação B3'!A:G,7,0)</f>
        <v/>
      </c>
      <c r="G120" s="61">
        <f>VLOOKUP(Table_1[[#This Row],[AÇÕES]],'Dados Status Invest'!A:B,2,0)</f>
        <v/>
      </c>
      <c r="H120" s="62">
        <f>VLOOKUP(Table_1[[#This Row],[AÇÕES]],'Dados Status Invest'!A:C,3,0)/100</f>
        <v/>
      </c>
      <c r="I120" s="62">
        <f>VLOOKUP(Table_1[[#This Row],[AÇÕES]],'Dados Status Invest'!A:D,4,0)/100</f>
        <v/>
      </c>
      <c r="J120" s="63">
        <f>VLOOKUP(Table_1[[#This Row],[AÇÕES]],'Dados Status Invest'!A:AB,28,0)</f>
        <v/>
      </c>
      <c r="K120" s="63">
        <f>VLOOKUP(Table_1[[#This Row],[AÇÕES]],'Dados Status Invest'!A:AA,27,0)</f>
        <v/>
      </c>
      <c r="L120" s="63">
        <f>Table_1[[#This Row],[PREÇO]]*Table_1[[#This Row],[DY]]</f>
        <v/>
      </c>
      <c r="M120" s="62">
        <f>$E$13</f>
        <v/>
      </c>
      <c r="N120" s="62" t="n">
        <v>0.3</v>
      </c>
      <c r="O120" s="62">
        <f>Table_1[[#This Row],[DPA]]/Table_1[[#This Row],[LPA]]</f>
        <v/>
      </c>
      <c r="P120" s="62">
        <f>IF(Table_1[[#This Row],[PAYOUT]]&lt;=40%,"CRESCIMENTO",IF(Table_1[[#This Row],[PAYOUT]]&lt;=60%,"INDEFINIDO","DIVIDENDOS"))</f>
        <v/>
      </c>
      <c r="Q120" s="62">
        <f>VLOOKUP(Table_1[[#This Row],[AÇÕES]],'Dados Status Invest'!A:R,18,0)/100</f>
        <v/>
      </c>
      <c r="R120" s="62">
        <f>VLOOKUP(Table_1[[#This Row],[AÇÕES]],'Dados Status Invest'!A:Y,25,0)/100</f>
        <v/>
      </c>
      <c r="S120" s="62">
        <f>(1-Table_1[[#This Row],[PAYOUT]])*Table_1[[#This Row],[ROE]]</f>
        <v/>
      </c>
      <c r="T120" s="98">
        <f>AVERAGE(Table_1[[#This Row],[CAGR LUCRO 5A]],Table_1[[#This Row],[CRESCIMENTO DAMODARAN]])</f>
        <v/>
      </c>
      <c r="U120" s="64">
        <f>(Table_1[[#This Row],[PREÇO JUSTO BAZIN]]-Table_1[[#This Row],[PREÇO]])/Table_1[[#This Row],[PREÇO JUSTO BAZIN]]</f>
        <v/>
      </c>
      <c r="V120" s="129">
        <f>Table_1[[#This Row],[DPA]]/6%</f>
        <v/>
      </c>
      <c r="W120" s="129">
        <f>Table_1[[#This Row],[PREÇO JUSTO BAZIN]]/(1+Table_1[[#This Row],[MARGEM DE DESCONTO]])</f>
        <v/>
      </c>
      <c r="X120" s="64">
        <f>(Table_1[[#This Row],[PREÇO JUSTO GRAHAM]]-Table_1[[#This Row],[PREÇO]])/Table_1[[#This Row],[PREÇO JUSTO GRAHAM]]</f>
        <v/>
      </c>
      <c r="Y120" s="129">
        <f>(22.5*Table_1[[#This Row],[LPA]]*Table_1[[#This Row],[VPA]])^0.5</f>
        <v/>
      </c>
      <c r="Z120" s="129">
        <f>Table_1[[#This Row],[PREÇO JUSTO GRAHAM]]/(1+Table_1[[#This Row],[MARGEM DE DESCONTO]])</f>
        <v/>
      </c>
      <c r="AA120" s="64">
        <f>(Table_1[[#This Row],[PREÇO JUSTO GORDON]]-Table_1[[#This Row],[PREÇO]])/Table_1[[#This Row],[PREÇO JUSTO GORDON]]</f>
        <v/>
      </c>
      <c r="AB120" s="130">
        <f>Table_1[[#This Row],[DPA]]*(1+Table_1[[#This Row],[MÉDIA DE CRESCIMENTO]])</f>
        <v/>
      </c>
      <c r="AC120" s="130">
        <f>Table_1[[#This Row],[D1]]/(Table_1[[#This Row],[RISCO]]-Table_1[[#This Row],[MÉDIA DE CRESCIMENTO]])</f>
        <v/>
      </c>
      <c r="AD120" s="130">
        <f>Table_1[[#This Row],[PREÇO JUSTO GORDON]]/(1+Table_1[[#This Row],[MARGEM DE DESCONTO]])</f>
        <v/>
      </c>
      <c r="AE120" s="78">
        <f>Table_1[[#This Row],[P/L]]/Table_1[[#This Row],[MÉDIA DE CRESCIMENTO]]</f>
        <v/>
      </c>
    </row>
    <row r="121" ht="15.75" customHeight="1">
      <c r="B121" s="77">
        <f>'Dados Status Invest'!A107</f>
        <v/>
      </c>
      <c r="C121" s="60">
        <f>VLOOKUP(Table_1[[#This Row],[AÇÕES]],'Classificação B3'!A:B,2,0)</f>
        <v/>
      </c>
      <c r="D121" s="60">
        <f>VLOOKUP(Table_1[[#This Row],[AÇÕES]],'Classificação B3'!A:D,4,0)</f>
        <v/>
      </c>
      <c r="E121" s="60">
        <f>VLOOKUP(Table_1[[#This Row],[AÇÕES]],'Classificação B3'!A:F,6,0)</f>
        <v/>
      </c>
      <c r="F121" s="60">
        <f>VLOOKUP(Table_1[[#This Row],[AÇÕES]],'Classificação B3'!A:G,7,0)</f>
        <v/>
      </c>
      <c r="G121" s="61">
        <f>VLOOKUP(Table_1[[#This Row],[AÇÕES]],'Dados Status Invest'!A:B,2,0)</f>
        <v/>
      </c>
      <c r="H121" s="62">
        <f>VLOOKUP(Table_1[[#This Row],[AÇÕES]],'Dados Status Invest'!A:C,3,0)/100</f>
        <v/>
      </c>
      <c r="I121" s="62">
        <f>VLOOKUP(Table_1[[#This Row],[AÇÕES]],'Dados Status Invest'!A:D,4,0)/100</f>
        <v/>
      </c>
      <c r="J121" s="63">
        <f>VLOOKUP(Table_1[[#This Row],[AÇÕES]],'Dados Status Invest'!A:AB,28,0)</f>
        <v/>
      </c>
      <c r="K121" s="63">
        <f>VLOOKUP(Table_1[[#This Row],[AÇÕES]],'Dados Status Invest'!A:AA,27,0)</f>
        <v/>
      </c>
      <c r="L121" s="63">
        <f>Table_1[[#This Row],[PREÇO]]*Table_1[[#This Row],[DY]]</f>
        <v/>
      </c>
      <c r="M121" s="62">
        <f>$E$13</f>
        <v/>
      </c>
      <c r="N121" s="62" t="n">
        <v>0.3</v>
      </c>
      <c r="O121" s="62">
        <f>Table_1[[#This Row],[DPA]]/Table_1[[#This Row],[LPA]]</f>
        <v/>
      </c>
      <c r="P121" s="62">
        <f>IF(Table_1[[#This Row],[PAYOUT]]&lt;=40%,"CRESCIMENTO",IF(Table_1[[#This Row],[PAYOUT]]&lt;=60%,"INDEFINIDO","DIVIDENDOS"))</f>
        <v/>
      </c>
      <c r="Q121" s="62">
        <f>VLOOKUP(Table_1[[#This Row],[AÇÕES]],'Dados Status Invest'!A:R,18,0)/100</f>
        <v/>
      </c>
      <c r="R121" s="62">
        <f>VLOOKUP(Table_1[[#This Row],[AÇÕES]],'Dados Status Invest'!A:Y,25,0)/100</f>
        <v/>
      </c>
      <c r="S121" s="62">
        <f>(1-Table_1[[#This Row],[PAYOUT]])*Table_1[[#This Row],[ROE]]</f>
        <v/>
      </c>
      <c r="T121" s="98">
        <f>AVERAGE(Table_1[[#This Row],[CAGR LUCRO 5A]],Table_1[[#This Row],[CRESCIMENTO DAMODARAN]])</f>
        <v/>
      </c>
      <c r="U121" s="64">
        <f>(Table_1[[#This Row],[PREÇO JUSTO BAZIN]]-Table_1[[#This Row],[PREÇO]])/Table_1[[#This Row],[PREÇO JUSTO BAZIN]]</f>
        <v/>
      </c>
      <c r="V121" s="129">
        <f>Table_1[[#This Row],[DPA]]/6%</f>
        <v/>
      </c>
      <c r="W121" s="129">
        <f>Table_1[[#This Row],[PREÇO JUSTO BAZIN]]/(1+Table_1[[#This Row],[MARGEM DE DESCONTO]])</f>
        <v/>
      </c>
      <c r="X121" s="64">
        <f>(Table_1[[#This Row],[PREÇO JUSTO GRAHAM]]-Table_1[[#This Row],[PREÇO]])/Table_1[[#This Row],[PREÇO JUSTO GRAHAM]]</f>
        <v/>
      </c>
      <c r="Y121" s="129">
        <f>(22.5*Table_1[[#This Row],[LPA]]*Table_1[[#This Row],[VPA]])^0.5</f>
        <v/>
      </c>
      <c r="Z121" s="129">
        <f>Table_1[[#This Row],[PREÇO JUSTO GRAHAM]]/(1+Table_1[[#This Row],[MARGEM DE DESCONTO]])</f>
        <v/>
      </c>
      <c r="AA121" s="64">
        <f>(Table_1[[#This Row],[PREÇO JUSTO GORDON]]-Table_1[[#This Row],[PREÇO]])/Table_1[[#This Row],[PREÇO JUSTO GORDON]]</f>
        <v/>
      </c>
      <c r="AB121" s="130">
        <f>Table_1[[#This Row],[DPA]]*(1+Table_1[[#This Row],[MÉDIA DE CRESCIMENTO]])</f>
        <v/>
      </c>
      <c r="AC121" s="130">
        <f>Table_1[[#This Row],[D1]]/(Table_1[[#This Row],[RISCO]]-Table_1[[#This Row],[MÉDIA DE CRESCIMENTO]])</f>
        <v/>
      </c>
      <c r="AD121" s="130">
        <f>Table_1[[#This Row],[PREÇO JUSTO GORDON]]/(1+Table_1[[#This Row],[MARGEM DE DESCONTO]])</f>
        <v/>
      </c>
      <c r="AE121" s="78">
        <f>Table_1[[#This Row],[P/L]]/Table_1[[#This Row],[MÉDIA DE CRESCIMENTO]]</f>
        <v/>
      </c>
    </row>
    <row r="122" ht="15.75" customHeight="1">
      <c r="B122" s="77">
        <f>'Dados Status Invest'!A108</f>
        <v/>
      </c>
      <c r="C122" s="60">
        <f>VLOOKUP(Table_1[[#This Row],[AÇÕES]],'Classificação B3'!A:B,2,0)</f>
        <v/>
      </c>
      <c r="D122" s="60">
        <f>VLOOKUP(Table_1[[#This Row],[AÇÕES]],'Classificação B3'!A:D,4,0)</f>
        <v/>
      </c>
      <c r="E122" s="60">
        <f>VLOOKUP(Table_1[[#This Row],[AÇÕES]],'Classificação B3'!A:F,6,0)</f>
        <v/>
      </c>
      <c r="F122" s="60">
        <f>VLOOKUP(Table_1[[#This Row],[AÇÕES]],'Classificação B3'!A:G,7,0)</f>
        <v/>
      </c>
      <c r="G122" s="61">
        <f>VLOOKUP(Table_1[[#This Row],[AÇÕES]],'Dados Status Invest'!A:B,2,0)</f>
        <v/>
      </c>
      <c r="H122" s="62">
        <f>VLOOKUP(Table_1[[#This Row],[AÇÕES]],'Dados Status Invest'!A:C,3,0)/100</f>
        <v/>
      </c>
      <c r="I122" s="62">
        <f>VLOOKUP(Table_1[[#This Row],[AÇÕES]],'Dados Status Invest'!A:D,4,0)/100</f>
        <v/>
      </c>
      <c r="J122" s="63">
        <f>VLOOKUP(Table_1[[#This Row],[AÇÕES]],'Dados Status Invest'!A:AB,28,0)</f>
        <v/>
      </c>
      <c r="K122" s="63">
        <f>VLOOKUP(Table_1[[#This Row],[AÇÕES]],'Dados Status Invest'!A:AA,27,0)</f>
        <v/>
      </c>
      <c r="L122" s="63">
        <f>Table_1[[#This Row],[PREÇO]]*Table_1[[#This Row],[DY]]</f>
        <v/>
      </c>
      <c r="M122" s="62">
        <f>$E$13</f>
        <v/>
      </c>
      <c r="N122" s="62" t="n">
        <v>0.3</v>
      </c>
      <c r="O122" s="62">
        <f>Table_1[[#This Row],[DPA]]/Table_1[[#This Row],[LPA]]</f>
        <v/>
      </c>
      <c r="P122" s="62">
        <f>IF(Table_1[[#This Row],[PAYOUT]]&lt;=40%,"CRESCIMENTO",IF(Table_1[[#This Row],[PAYOUT]]&lt;=60%,"INDEFINIDO","DIVIDENDOS"))</f>
        <v/>
      </c>
      <c r="Q122" s="62">
        <f>VLOOKUP(Table_1[[#This Row],[AÇÕES]],'Dados Status Invest'!A:R,18,0)/100</f>
        <v/>
      </c>
      <c r="R122" s="62">
        <f>VLOOKUP(Table_1[[#This Row],[AÇÕES]],'Dados Status Invest'!A:Y,25,0)/100</f>
        <v/>
      </c>
      <c r="S122" s="62">
        <f>(1-Table_1[[#This Row],[PAYOUT]])*Table_1[[#This Row],[ROE]]</f>
        <v/>
      </c>
      <c r="T122" s="98">
        <f>AVERAGE(Table_1[[#This Row],[CAGR LUCRO 5A]],Table_1[[#This Row],[CRESCIMENTO DAMODARAN]])</f>
        <v/>
      </c>
      <c r="U122" s="64">
        <f>(Table_1[[#This Row],[PREÇO JUSTO BAZIN]]-Table_1[[#This Row],[PREÇO]])/Table_1[[#This Row],[PREÇO JUSTO BAZIN]]</f>
        <v/>
      </c>
      <c r="V122" s="129">
        <f>Table_1[[#This Row],[DPA]]/6%</f>
        <v/>
      </c>
      <c r="W122" s="129">
        <f>Table_1[[#This Row],[PREÇO JUSTO BAZIN]]/(1+Table_1[[#This Row],[MARGEM DE DESCONTO]])</f>
        <v/>
      </c>
      <c r="X122" s="64">
        <f>(Table_1[[#This Row],[PREÇO JUSTO GRAHAM]]-Table_1[[#This Row],[PREÇO]])/Table_1[[#This Row],[PREÇO JUSTO GRAHAM]]</f>
        <v/>
      </c>
      <c r="Y122" s="129">
        <f>(22.5*Table_1[[#This Row],[LPA]]*Table_1[[#This Row],[VPA]])^0.5</f>
        <v/>
      </c>
      <c r="Z122" s="129">
        <f>Table_1[[#This Row],[PREÇO JUSTO GRAHAM]]/(1+Table_1[[#This Row],[MARGEM DE DESCONTO]])</f>
        <v/>
      </c>
      <c r="AA122" s="64">
        <f>(Table_1[[#This Row],[PREÇO JUSTO GORDON]]-Table_1[[#This Row],[PREÇO]])/Table_1[[#This Row],[PREÇO JUSTO GORDON]]</f>
        <v/>
      </c>
      <c r="AB122" s="130">
        <f>Table_1[[#This Row],[DPA]]*(1+Table_1[[#This Row],[MÉDIA DE CRESCIMENTO]])</f>
        <v/>
      </c>
      <c r="AC122" s="130">
        <f>Table_1[[#This Row],[D1]]/(Table_1[[#This Row],[RISCO]]-Table_1[[#This Row],[MÉDIA DE CRESCIMENTO]])</f>
        <v/>
      </c>
      <c r="AD122" s="130">
        <f>Table_1[[#This Row],[PREÇO JUSTO GORDON]]/(1+Table_1[[#This Row],[MARGEM DE DESCONTO]])</f>
        <v/>
      </c>
      <c r="AE122" s="78">
        <f>Table_1[[#This Row],[P/L]]/Table_1[[#This Row],[MÉDIA DE CRESCIMENTO]]</f>
        <v/>
      </c>
    </row>
    <row r="123" ht="15.75" customHeight="1">
      <c r="B123" s="77">
        <f>'Dados Status Invest'!A109</f>
        <v/>
      </c>
      <c r="C123" s="60">
        <f>VLOOKUP(Table_1[[#This Row],[AÇÕES]],'Classificação B3'!A:B,2,0)</f>
        <v/>
      </c>
      <c r="D123" s="60">
        <f>VLOOKUP(Table_1[[#This Row],[AÇÕES]],'Classificação B3'!A:D,4,0)</f>
        <v/>
      </c>
      <c r="E123" s="60">
        <f>VLOOKUP(Table_1[[#This Row],[AÇÕES]],'Classificação B3'!A:F,6,0)</f>
        <v/>
      </c>
      <c r="F123" s="60">
        <f>VLOOKUP(Table_1[[#This Row],[AÇÕES]],'Classificação B3'!A:G,7,0)</f>
        <v/>
      </c>
      <c r="G123" s="61">
        <f>VLOOKUP(Table_1[[#This Row],[AÇÕES]],'Dados Status Invest'!A:B,2,0)</f>
        <v/>
      </c>
      <c r="H123" s="62">
        <f>VLOOKUP(Table_1[[#This Row],[AÇÕES]],'Dados Status Invest'!A:C,3,0)/100</f>
        <v/>
      </c>
      <c r="I123" s="62">
        <f>VLOOKUP(Table_1[[#This Row],[AÇÕES]],'Dados Status Invest'!A:D,4,0)/100</f>
        <v/>
      </c>
      <c r="J123" s="63">
        <f>VLOOKUP(Table_1[[#This Row],[AÇÕES]],'Dados Status Invest'!A:AB,28,0)</f>
        <v/>
      </c>
      <c r="K123" s="63">
        <f>VLOOKUP(Table_1[[#This Row],[AÇÕES]],'Dados Status Invest'!A:AA,27,0)</f>
        <v/>
      </c>
      <c r="L123" s="63">
        <f>Table_1[[#This Row],[PREÇO]]*Table_1[[#This Row],[DY]]</f>
        <v/>
      </c>
      <c r="M123" s="62">
        <f>$E$13</f>
        <v/>
      </c>
      <c r="N123" s="62" t="n">
        <v>0.3</v>
      </c>
      <c r="O123" s="62">
        <f>Table_1[[#This Row],[DPA]]/Table_1[[#This Row],[LPA]]</f>
        <v/>
      </c>
      <c r="P123" s="62">
        <f>IF(Table_1[[#This Row],[PAYOUT]]&lt;=40%,"CRESCIMENTO",IF(Table_1[[#This Row],[PAYOUT]]&lt;=60%,"INDEFINIDO","DIVIDENDOS"))</f>
        <v/>
      </c>
      <c r="Q123" s="62">
        <f>VLOOKUP(Table_1[[#This Row],[AÇÕES]],'Dados Status Invest'!A:R,18,0)/100</f>
        <v/>
      </c>
      <c r="R123" s="62">
        <f>VLOOKUP(Table_1[[#This Row],[AÇÕES]],'Dados Status Invest'!A:Y,25,0)/100</f>
        <v/>
      </c>
      <c r="S123" s="62">
        <f>(1-Table_1[[#This Row],[PAYOUT]])*Table_1[[#This Row],[ROE]]</f>
        <v/>
      </c>
      <c r="T123" s="98">
        <f>AVERAGE(Table_1[[#This Row],[CAGR LUCRO 5A]],Table_1[[#This Row],[CRESCIMENTO DAMODARAN]])</f>
        <v/>
      </c>
      <c r="U123" s="64">
        <f>(Table_1[[#This Row],[PREÇO JUSTO BAZIN]]-Table_1[[#This Row],[PREÇO]])/Table_1[[#This Row],[PREÇO JUSTO BAZIN]]</f>
        <v/>
      </c>
      <c r="V123" s="129">
        <f>Table_1[[#This Row],[DPA]]/6%</f>
        <v/>
      </c>
      <c r="W123" s="129">
        <f>Table_1[[#This Row],[PREÇO JUSTO BAZIN]]/(1+Table_1[[#This Row],[MARGEM DE DESCONTO]])</f>
        <v/>
      </c>
      <c r="X123" s="64">
        <f>(Table_1[[#This Row],[PREÇO JUSTO GRAHAM]]-Table_1[[#This Row],[PREÇO]])/Table_1[[#This Row],[PREÇO JUSTO GRAHAM]]</f>
        <v/>
      </c>
      <c r="Y123" s="129">
        <f>(22.5*Table_1[[#This Row],[LPA]]*Table_1[[#This Row],[VPA]])^0.5</f>
        <v/>
      </c>
      <c r="Z123" s="129">
        <f>Table_1[[#This Row],[PREÇO JUSTO GRAHAM]]/(1+Table_1[[#This Row],[MARGEM DE DESCONTO]])</f>
        <v/>
      </c>
      <c r="AA123" s="64">
        <f>(Table_1[[#This Row],[PREÇO JUSTO GORDON]]-Table_1[[#This Row],[PREÇO]])/Table_1[[#This Row],[PREÇO JUSTO GORDON]]</f>
        <v/>
      </c>
      <c r="AB123" s="130">
        <f>Table_1[[#This Row],[DPA]]*(1+Table_1[[#This Row],[MÉDIA DE CRESCIMENTO]])</f>
        <v/>
      </c>
      <c r="AC123" s="130">
        <f>Table_1[[#This Row],[D1]]/(Table_1[[#This Row],[RISCO]]-Table_1[[#This Row],[MÉDIA DE CRESCIMENTO]])</f>
        <v/>
      </c>
      <c r="AD123" s="130">
        <f>Table_1[[#This Row],[PREÇO JUSTO GORDON]]/(1+Table_1[[#This Row],[MARGEM DE DESCONTO]])</f>
        <v/>
      </c>
      <c r="AE123" s="78">
        <f>Table_1[[#This Row],[P/L]]/Table_1[[#This Row],[MÉDIA DE CRESCIMENTO]]</f>
        <v/>
      </c>
    </row>
    <row r="124" ht="15.75" customHeight="1">
      <c r="B124" s="77">
        <f>'Dados Status Invest'!A110</f>
        <v/>
      </c>
      <c r="C124" s="60">
        <f>VLOOKUP(Table_1[[#This Row],[AÇÕES]],'Classificação B3'!A:B,2,0)</f>
        <v/>
      </c>
      <c r="D124" s="60">
        <f>VLOOKUP(Table_1[[#This Row],[AÇÕES]],'Classificação B3'!A:D,4,0)</f>
        <v/>
      </c>
      <c r="E124" s="60">
        <f>VLOOKUP(Table_1[[#This Row],[AÇÕES]],'Classificação B3'!A:F,6,0)</f>
        <v/>
      </c>
      <c r="F124" s="60">
        <f>VLOOKUP(Table_1[[#This Row],[AÇÕES]],'Classificação B3'!A:G,7,0)</f>
        <v/>
      </c>
      <c r="G124" s="61">
        <f>VLOOKUP(Table_1[[#This Row],[AÇÕES]],'Dados Status Invest'!A:B,2,0)</f>
        <v/>
      </c>
      <c r="H124" s="62">
        <f>VLOOKUP(Table_1[[#This Row],[AÇÕES]],'Dados Status Invest'!A:C,3,0)/100</f>
        <v/>
      </c>
      <c r="I124" s="62">
        <f>VLOOKUP(Table_1[[#This Row],[AÇÕES]],'Dados Status Invest'!A:D,4,0)/100</f>
        <v/>
      </c>
      <c r="J124" s="63">
        <f>VLOOKUP(Table_1[[#This Row],[AÇÕES]],'Dados Status Invest'!A:AB,28,0)</f>
        <v/>
      </c>
      <c r="K124" s="63">
        <f>VLOOKUP(Table_1[[#This Row],[AÇÕES]],'Dados Status Invest'!A:AA,27,0)</f>
        <v/>
      </c>
      <c r="L124" s="63">
        <f>Table_1[[#This Row],[PREÇO]]*Table_1[[#This Row],[DY]]</f>
        <v/>
      </c>
      <c r="M124" s="62">
        <f>$E$13</f>
        <v/>
      </c>
      <c r="N124" s="62" t="n">
        <v>0.3</v>
      </c>
      <c r="O124" s="62">
        <f>Table_1[[#This Row],[DPA]]/Table_1[[#This Row],[LPA]]</f>
        <v/>
      </c>
      <c r="P124" s="62">
        <f>IF(Table_1[[#This Row],[PAYOUT]]&lt;=40%,"CRESCIMENTO",IF(Table_1[[#This Row],[PAYOUT]]&lt;=60%,"INDEFINIDO","DIVIDENDOS"))</f>
        <v/>
      </c>
      <c r="Q124" s="62">
        <f>VLOOKUP(Table_1[[#This Row],[AÇÕES]],'Dados Status Invest'!A:R,18,0)/100</f>
        <v/>
      </c>
      <c r="R124" s="62">
        <f>VLOOKUP(Table_1[[#This Row],[AÇÕES]],'Dados Status Invest'!A:Y,25,0)/100</f>
        <v/>
      </c>
      <c r="S124" s="62">
        <f>(1-Table_1[[#This Row],[PAYOUT]])*Table_1[[#This Row],[ROE]]</f>
        <v/>
      </c>
      <c r="T124" s="98">
        <f>AVERAGE(Table_1[[#This Row],[CAGR LUCRO 5A]],Table_1[[#This Row],[CRESCIMENTO DAMODARAN]])</f>
        <v/>
      </c>
      <c r="U124" s="64">
        <f>(Table_1[[#This Row],[PREÇO JUSTO BAZIN]]-Table_1[[#This Row],[PREÇO]])/Table_1[[#This Row],[PREÇO JUSTO BAZIN]]</f>
        <v/>
      </c>
      <c r="V124" s="129">
        <f>Table_1[[#This Row],[DPA]]/6%</f>
        <v/>
      </c>
      <c r="W124" s="129">
        <f>Table_1[[#This Row],[PREÇO JUSTO BAZIN]]/(1+Table_1[[#This Row],[MARGEM DE DESCONTO]])</f>
        <v/>
      </c>
      <c r="X124" s="64">
        <f>(Table_1[[#This Row],[PREÇO JUSTO GRAHAM]]-Table_1[[#This Row],[PREÇO]])/Table_1[[#This Row],[PREÇO JUSTO GRAHAM]]</f>
        <v/>
      </c>
      <c r="Y124" s="129">
        <f>(22.5*Table_1[[#This Row],[LPA]]*Table_1[[#This Row],[VPA]])^0.5</f>
        <v/>
      </c>
      <c r="Z124" s="129">
        <f>Table_1[[#This Row],[PREÇO JUSTO GRAHAM]]/(1+Table_1[[#This Row],[MARGEM DE DESCONTO]])</f>
        <v/>
      </c>
      <c r="AA124" s="64">
        <f>(Table_1[[#This Row],[PREÇO JUSTO GORDON]]-Table_1[[#This Row],[PREÇO]])/Table_1[[#This Row],[PREÇO JUSTO GORDON]]</f>
        <v/>
      </c>
      <c r="AB124" s="130">
        <f>Table_1[[#This Row],[DPA]]*(1+Table_1[[#This Row],[MÉDIA DE CRESCIMENTO]])</f>
        <v/>
      </c>
      <c r="AC124" s="130">
        <f>Table_1[[#This Row],[D1]]/(Table_1[[#This Row],[RISCO]]-Table_1[[#This Row],[MÉDIA DE CRESCIMENTO]])</f>
        <v/>
      </c>
      <c r="AD124" s="130">
        <f>Table_1[[#This Row],[PREÇO JUSTO GORDON]]/(1+Table_1[[#This Row],[MARGEM DE DESCONTO]])</f>
        <v/>
      </c>
      <c r="AE124" s="78">
        <f>Table_1[[#This Row],[P/L]]/Table_1[[#This Row],[MÉDIA DE CRESCIMENTO]]</f>
        <v/>
      </c>
    </row>
    <row r="125" ht="15.75" customHeight="1">
      <c r="B125" s="77">
        <f>'Dados Status Invest'!A111</f>
        <v/>
      </c>
      <c r="C125" s="60">
        <f>VLOOKUP(Table_1[[#This Row],[AÇÕES]],'Classificação B3'!A:B,2,0)</f>
        <v/>
      </c>
      <c r="D125" s="60">
        <f>VLOOKUP(Table_1[[#This Row],[AÇÕES]],'Classificação B3'!A:D,4,0)</f>
        <v/>
      </c>
      <c r="E125" s="60">
        <f>VLOOKUP(Table_1[[#This Row],[AÇÕES]],'Classificação B3'!A:F,6,0)</f>
        <v/>
      </c>
      <c r="F125" s="60">
        <f>VLOOKUP(Table_1[[#This Row],[AÇÕES]],'Classificação B3'!A:G,7,0)</f>
        <v/>
      </c>
      <c r="G125" s="61">
        <f>VLOOKUP(Table_1[[#This Row],[AÇÕES]],'Dados Status Invest'!A:B,2,0)</f>
        <v/>
      </c>
      <c r="H125" s="62">
        <f>VLOOKUP(Table_1[[#This Row],[AÇÕES]],'Dados Status Invest'!A:C,3,0)/100</f>
        <v/>
      </c>
      <c r="I125" s="62">
        <f>VLOOKUP(Table_1[[#This Row],[AÇÕES]],'Dados Status Invest'!A:D,4,0)/100</f>
        <v/>
      </c>
      <c r="J125" s="63">
        <f>VLOOKUP(Table_1[[#This Row],[AÇÕES]],'Dados Status Invest'!A:AB,28,0)</f>
        <v/>
      </c>
      <c r="K125" s="63">
        <f>VLOOKUP(Table_1[[#This Row],[AÇÕES]],'Dados Status Invest'!A:AA,27,0)</f>
        <v/>
      </c>
      <c r="L125" s="63">
        <f>Table_1[[#This Row],[PREÇO]]*Table_1[[#This Row],[DY]]</f>
        <v/>
      </c>
      <c r="M125" s="62">
        <f>$E$13</f>
        <v/>
      </c>
      <c r="N125" s="62" t="n">
        <v>0.3</v>
      </c>
      <c r="O125" s="62">
        <f>Table_1[[#This Row],[DPA]]/Table_1[[#This Row],[LPA]]</f>
        <v/>
      </c>
      <c r="P125" s="62">
        <f>IF(Table_1[[#This Row],[PAYOUT]]&lt;=40%,"CRESCIMENTO",IF(Table_1[[#This Row],[PAYOUT]]&lt;=60%,"INDEFINIDO","DIVIDENDOS"))</f>
        <v/>
      </c>
      <c r="Q125" s="62">
        <f>VLOOKUP(Table_1[[#This Row],[AÇÕES]],'Dados Status Invest'!A:R,18,0)/100</f>
        <v/>
      </c>
      <c r="R125" s="62">
        <f>VLOOKUP(Table_1[[#This Row],[AÇÕES]],'Dados Status Invest'!A:Y,25,0)/100</f>
        <v/>
      </c>
      <c r="S125" s="62">
        <f>(1-Table_1[[#This Row],[PAYOUT]])*Table_1[[#This Row],[ROE]]</f>
        <v/>
      </c>
      <c r="T125" s="98">
        <f>AVERAGE(Table_1[[#This Row],[CAGR LUCRO 5A]],Table_1[[#This Row],[CRESCIMENTO DAMODARAN]])</f>
        <v/>
      </c>
      <c r="U125" s="64">
        <f>(Table_1[[#This Row],[PREÇO JUSTO BAZIN]]-Table_1[[#This Row],[PREÇO]])/Table_1[[#This Row],[PREÇO JUSTO BAZIN]]</f>
        <v/>
      </c>
      <c r="V125" s="129">
        <f>Table_1[[#This Row],[DPA]]/6%</f>
        <v/>
      </c>
      <c r="W125" s="129">
        <f>Table_1[[#This Row],[PREÇO JUSTO BAZIN]]/(1+Table_1[[#This Row],[MARGEM DE DESCONTO]])</f>
        <v/>
      </c>
      <c r="X125" s="64">
        <f>(Table_1[[#This Row],[PREÇO JUSTO GRAHAM]]-Table_1[[#This Row],[PREÇO]])/Table_1[[#This Row],[PREÇO JUSTO GRAHAM]]</f>
        <v/>
      </c>
      <c r="Y125" s="129">
        <f>(22.5*Table_1[[#This Row],[LPA]]*Table_1[[#This Row],[VPA]])^0.5</f>
        <v/>
      </c>
      <c r="Z125" s="129">
        <f>Table_1[[#This Row],[PREÇO JUSTO GRAHAM]]/(1+Table_1[[#This Row],[MARGEM DE DESCONTO]])</f>
        <v/>
      </c>
      <c r="AA125" s="64">
        <f>(Table_1[[#This Row],[PREÇO JUSTO GORDON]]-Table_1[[#This Row],[PREÇO]])/Table_1[[#This Row],[PREÇO JUSTO GORDON]]</f>
        <v/>
      </c>
      <c r="AB125" s="130">
        <f>Table_1[[#This Row],[DPA]]*(1+Table_1[[#This Row],[MÉDIA DE CRESCIMENTO]])</f>
        <v/>
      </c>
      <c r="AC125" s="130">
        <f>Table_1[[#This Row],[D1]]/(Table_1[[#This Row],[RISCO]]-Table_1[[#This Row],[MÉDIA DE CRESCIMENTO]])</f>
        <v/>
      </c>
      <c r="AD125" s="130">
        <f>Table_1[[#This Row],[PREÇO JUSTO GORDON]]/(1+Table_1[[#This Row],[MARGEM DE DESCONTO]])</f>
        <v/>
      </c>
      <c r="AE125" s="78">
        <f>Table_1[[#This Row],[P/L]]/Table_1[[#This Row],[MÉDIA DE CRESCIMENTO]]</f>
        <v/>
      </c>
    </row>
    <row r="126" ht="15.75" customHeight="1">
      <c r="B126" s="77">
        <f>'Dados Status Invest'!A112</f>
        <v/>
      </c>
      <c r="C126" s="60">
        <f>VLOOKUP(Table_1[[#This Row],[AÇÕES]],'Classificação B3'!A:B,2,0)</f>
        <v/>
      </c>
      <c r="D126" s="60">
        <f>VLOOKUP(Table_1[[#This Row],[AÇÕES]],'Classificação B3'!A:D,4,0)</f>
        <v/>
      </c>
      <c r="E126" s="60">
        <f>VLOOKUP(Table_1[[#This Row],[AÇÕES]],'Classificação B3'!A:F,6,0)</f>
        <v/>
      </c>
      <c r="F126" s="60">
        <f>VLOOKUP(Table_1[[#This Row],[AÇÕES]],'Classificação B3'!A:G,7,0)</f>
        <v/>
      </c>
      <c r="G126" s="61">
        <f>VLOOKUP(Table_1[[#This Row],[AÇÕES]],'Dados Status Invest'!A:B,2,0)</f>
        <v/>
      </c>
      <c r="H126" s="62">
        <f>VLOOKUP(Table_1[[#This Row],[AÇÕES]],'Dados Status Invest'!A:C,3,0)/100</f>
        <v/>
      </c>
      <c r="I126" s="62">
        <f>VLOOKUP(Table_1[[#This Row],[AÇÕES]],'Dados Status Invest'!A:D,4,0)/100</f>
        <v/>
      </c>
      <c r="J126" s="63">
        <f>VLOOKUP(Table_1[[#This Row],[AÇÕES]],'Dados Status Invest'!A:AB,28,0)</f>
        <v/>
      </c>
      <c r="K126" s="63">
        <f>VLOOKUP(Table_1[[#This Row],[AÇÕES]],'Dados Status Invest'!A:AA,27,0)</f>
        <v/>
      </c>
      <c r="L126" s="63">
        <f>Table_1[[#This Row],[PREÇO]]*Table_1[[#This Row],[DY]]</f>
        <v/>
      </c>
      <c r="M126" s="62">
        <f>$E$13</f>
        <v/>
      </c>
      <c r="N126" s="62" t="n">
        <v>0.3</v>
      </c>
      <c r="O126" s="62">
        <f>Table_1[[#This Row],[DPA]]/Table_1[[#This Row],[LPA]]</f>
        <v/>
      </c>
      <c r="P126" s="62">
        <f>IF(Table_1[[#This Row],[PAYOUT]]&lt;=40%,"CRESCIMENTO",IF(Table_1[[#This Row],[PAYOUT]]&lt;=60%,"INDEFINIDO","DIVIDENDOS"))</f>
        <v/>
      </c>
      <c r="Q126" s="62">
        <f>VLOOKUP(Table_1[[#This Row],[AÇÕES]],'Dados Status Invest'!A:R,18,0)/100</f>
        <v/>
      </c>
      <c r="R126" s="62">
        <f>VLOOKUP(Table_1[[#This Row],[AÇÕES]],'Dados Status Invest'!A:Y,25,0)/100</f>
        <v/>
      </c>
      <c r="S126" s="62">
        <f>(1-Table_1[[#This Row],[PAYOUT]])*Table_1[[#This Row],[ROE]]</f>
        <v/>
      </c>
      <c r="T126" s="98">
        <f>AVERAGE(Table_1[[#This Row],[CAGR LUCRO 5A]],Table_1[[#This Row],[CRESCIMENTO DAMODARAN]])</f>
        <v/>
      </c>
      <c r="U126" s="64">
        <f>(Table_1[[#This Row],[PREÇO JUSTO BAZIN]]-Table_1[[#This Row],[PREÇO]])/Table_1[[#This Row],[PREÇO JUSTO BAZIN]]</f>
        <v/>
      </c>
      <c r="V126" s="129">
        <f>Table_1[[#This Row],[DPA]]/6%</f>
        <v/>
      </c>
      <c r="W126" s="129">
        <f>Table_1[[#This Row],[PREÇO JUSTO BAZIN]]/(1+Table_1[[#This Row],[MARGEM DE DESCONTO]])</f>
        <v/>
      </c>
      <c r="X126" s="64">
        <f>(Table_1[[#This Row],[PREÇO JUSTO GRAHAM]]-Table_1[[#This Row],[PREÇO]])/Table_1[[#This Row],[PREÇO JUSTO GRAHAM]]</f>
        <v/>
      </c>
      <c r="Y126" s="129">
        <f>(22.5*Table_1[[#This Row],[LPA]]*Table_1[[#This Row],[VPA]])^0.5</f>
        <v/>
      </c>
      <c r="Z126" s="129">
        <f>Table_1[[#This Row],[PREÇO JUSTO GRAHAM]]/(1+Table_1[[#This Row],[MARGEM DE DESCONTO]])</f>
        <v/>
      </c>
      <c r="AA126" s="64">
        <f>(Table_1[[#This Row],[PREÇO JUSTO GORDON]]-Table_1[[#This Row],[PREÇO]])/Table_1[[#This Row],[PREÇO JUSTO GORDON]]</f>
        <v/>
      </c>
      <c r="AB126" s="130">
        <f>Table_1[[#This Row],[DPA]]*(1+Table_1[[#This Row],[MÉDIA DE CRESCIMENTO]])</f>
        <v/>
      </c>
      <c r="AC126" s="130">
        <f>Table_1[[#This Row],[D1]]/(Table_1[[#This Row],[RISCO]]-Table_1[[#This Row],[MÉDIA DE CRESCIMENTO]])</f>
        <v/>
      </c>
      <c r="AD126" s="130">
        <f>Table_1[[#This Row],[PREÇO JUSTO GORDON]]/(1+Table_1[[#This Row],[MARGEM DE DESCONTO]])</f>
        <v/>
      </c>
      <c r="AE126" s="78">
        <f>Table_1[[#This Row],[P/L]]/Table_1[[#This Row],[MÉDIA DE CRESCIMENTO]]</f>
        <v/>
      </c>
    </row>
    <row r="127" ht="15.75" customHeight="1">
      <c r="B127" s="77">
        <f>'Dados Status Invest'!A113</f>
        <v/>
      </c>
      <c r="C127" s="60">
        <f>VLOOKUP(Table_1[[#This Row],[AÇÕES]],'Classificação B3'!A:B,2,0)</f>
        <v/>
      </c>
      <c r="D127" s="60">
        <f>VLOOKUP(Table_1[[#This Row],[AÇÕES]],'Classificação B3'!A:D,4,0)</f>
        <v/>
      </c>
      <c r="E127" s="60">
        <f>VLOOKUP(Table_1[[#This Row],[AÇÕES]],'Classificação B3'!A:F,6,0)</f>
        <v/>
      </c>
      <c r="F127" s="60">
        <f>VLOOKUP(Table_1[[#This Row],[AÇÕES]],'Classificação B3'!A:G,7,0)</f>
        <v/>
      </c>
      <c r="G127" s="61">
        <f>VLOOKUP(Table_1[[#This Row],[AÇÕES]],'Dados Status Invest'!A:B,2,0)</f>
        <v/>
      </c>
      <c r="H127" s="62">
        <f>VLOOKUP(Table_1[[#This Row],[AÇÕES]],'Dados Status Invest'!A:C,3,0)/100</f>
        <v/>
      </c>
      <c r="I127" s="62">
        <f>VLOOKUP(Table_1[[#This Row],[AÇÕES]],'Dados Status Invest'!A:D,4,0)/100</f>
        <v/>
      </c>
      <c r="J127" s="63">
        <f>VLOOKUP(Table_1[[#This Row],[AÇÕES]],'Dados Status Invest'!A:AB,28,0)</f>
        <v/>
      </c>
      <c r="K127" s="63">
        <f>VLOOKUP(Table_1[[#This Row],[AÇÕES]],'Dados Status Invest'!A:AA,27,0)</f>
        <v/>
      </c>
      <c r="L127" s="63">
        <f>Table_1[[#This Row],[PREÇO]]*Table_1[[#This Row],[DY]]</f>
        <v/>
      </c>
      <c r="M127" s="62">
        <f>$E$13</f>
        <v/>
      </c>
      <c r="N127" s="62" t="n">
        <v>0.3</v>
      </c>
      <c r="O127" s="62">
        <f>Table_1[[#This Row],[DPA]]/Table_1[[#This Row],[LPA]]</f>
        <v/>
      </c>
      <c r="P127" s="62">
        <f>IF(Table_1[[#This Row],[PAYOUT]]&lt;=40%,"CRESCIMENTO",IF(Table_1[[#This Row],[PAYOUT]]&lt;=60%,"INDEFINIDO","DIVIDENDOS"))</f>
        <v/>
      </c>
      <c r="Q127" s="62">
        <f>VLOOKUP(Table_1[[#This Row],[AÇÕES]],'Dados Status Invest'!A:R,18,0)/100</f>
        <v/>
      </c>
      <c r="R127" s="62">
        <f>VLOOKUP(Table_1[[#This Row],[AÇÕES]],'Dados Status Invest'!A:Y,25,0)/100</f>
        <v/>
      </c>
      <c r="S127" s="62">
        <f>(1-Table_1[[#This Row],[PAYOUT]])*Table_1[[#This Row],[ROE]]</f>
        <v/>
      </c>
      <c r="T127" s="98">
        <f>AVERAGE(Table_1[[#This Row],[CAGR LUCRO 5A]],Table_1[[#This Row],[CRESCIMENTO DAMODARAN]])</f>
        <v/>
      </c>
      <c r="U127" s="64">
        <f>(Table_1[[#This Row],[PREÇO JUSTO BAZIN]]-Table_1[[#This Row],[PREÇO]])/Table_1[[#This Row],[PREÇO JUSTO BAZIN]]</f>
        <v/>
      </c>
      <c r="V127" s="129">
        <f>Table_1[[#This Row],[DPA]]/6%</f>
        <v/>
      </c>
      <c r="W127" s="129">
        <f>Table_1[[#This Row],[PREÇO JUSTO BAZIN]]/(1+Table_1[[#This Row],[MARGEM DE DESCONTO]])</f>
        <v/>
      </c>
      <c r="X127" s="64">
        <f>(Table_1[[#This Row],[PREÇO JUSTO GRAHAM]]-Table_1[[#This Row],[PREÇO]])/Table_1[[#This Row],[PREÇO JUSTO GRAHAM]]</f>
        <v/>
      </c>
      <c r="Y127" s="129">
        <f>(22.5*Table_1[[#This Row],[LPA]]*Table_1[[#This Row],[VPA]])^0.5</f>
        <v/>
      </c>
      <c r="Z127" s="129">
        <f>Table_1[[#This Row],[PREÇO JUSTO GRAHAM]]/(1+Table_1[[#This Row],[MARGEM DE DESCONTO]])</f>
        <v/>
      </c>
      <c r="AA127" s="64">
        <f>(Table_1[[#This Row],[PREÇO JUSTO GORDON]]-Table_1[[#This Row],[PREÇO]])/Table_1[[#This Row],[PREÇO JUSTO GORDON]]</f>
        <v/>
      </c>
      <c r="AB127" s="130">
        <f>Table_1[[#This Row],[DPA]]*(1+Table_1[[#This Row],[MÉDIA DE CRESCIMENTO]])</f>
        <v/>
      </c>
      <c r="AC127" s="130">
        <f>Table_1[[#This Row],[D1]]/(Table_1[[#This Row],[RISCO]]-Table_1[[#This Row],[MÉDIA DE CRESCIMENTO]])</f>
        <v/>
      </c>
      <c r="AD127" s="130">
        <f>Table_1[[#This Row],[PREÇO JUSTO GORDON]]/(1+Table_1[[#This Row],[MARGEM DE DESCONTO]])</f>
        <v/>
      </c>
      <c r="AE127" s="78">
        <f>Table_1[[#This Row],[P/L]]/Table_1[[#This Row],[MÉDIA DE CRESCIMENTO]]</f>
        <v/>
      </c>
    </row>
    <row r="128" ht="15.75" customHeight="1">
      <c r="B128" s="77">
        <f>'Dados Status Invest'!A114</f>
        <v/>
      </c>
      <c r="C128" s="60">
        <f>VLOOKUP(Table_1[[#This Row],[AÇÕES]],'Classificação B3'!A:B,2,0)</f>
        <v/>
      </c>
      <c r="D128" s="60">
        <f>VLOOKUP(Table_1[[#This Row],[AÇÕES]],'Classificação B3'!A:D,4,0)</f>
        <v/>
      </c>
      <c r="E128" s="60">
        <f>VLOOKUP(Table_1[[#This Row],[AÇÕES]],'Classificação B3'!A:F,6,0)</f>
        <v/>
      </c>
      <c r="F128" s="60">
        <f>VLOOKUP(Table_1[[#This Row],[AÇÕES]],'Classificação B3'!A:G,7,0)</f>
        <v/>
      </c>
      <c r="G128" s="61">
        <f>VLOOKUP(Table_1[[#This Row],[AÇÕES]],'Dados Status Invest'!A:B,2,0)</f>
        <v/>
      </c>
      <c r="H128" s="62">
        <f>VLOOKUP(Table_1[[#This Row],[AÇÕES]],'Dados Status Invest'!A:C,3,0)/100</f>
        <v/>
      </c>
      <c r="I128" s="62">
        <f>VLOOKUP(Table_1[[#This Row],[AÇÕES]],'Dados Status Invest'!A:D,4,0)/100</f>
        <v/>
      </c>
      <c r="J128" s="63">
        <f>VLOOKUP(Table_1[[#This Row],[AÇÕES]],'Dados Status Invest'!A:AB,28,0)</f>
        <v/>
      </c>
      <c r="K128" s="63">
        <f>VLOOKUP(Table_1[[#This Row],[AÇÕES]],'Dados Status Invest'!A:AA,27,0)</f>
        <v/>
      </c>
      <c r="L128" s="63">
        <f>Table_1[[#This Row],[PREÇO]]*Table_1[[#This Row],[DY]]</f>
        <v/>
      </c>
      <c r="M128" s="62">
        <f>$E$13</f>
        <v/>
      </c>
      <c r="N128" s="62" t="n">
        <v>0.3</v>
      </c>
      <c r="O128" s="62">
        <f>Table_1[[#This Row],[DPA]]/Table_1[[#This Row],[LPA]]</f>
        <v/>
      </c>
      <c r="P128" s="62">
        <f>IF(Table_1[[#This Row],[PAYOUT]]&lt;=40%,"CRESCIMENTO",IF(Table_1[[#This Row],[PAYOUT]]&lt;=60%,"INDEFINIDO","DIVIDENDOS"))</f>
        <v/>
      </c>
      <c r="Q128" s="62">
        <f>VLOOKUP(Table_1[[#This Row],[AÇÕES]],'Dados Status Invest'!A:R,18,0)/100</f>
        <v/>
      </c>
      <c r="R128" s="62">
        <f>VLOOKUP(Table_1[[#This Row],[AÇÕES]],'Dados Status Invest'!A:Y,25,0)/100</f>
        <v/>
      </c>
      <c r="S128" s="62">
        <f>(1-Table_1[[#This Row],[PAYOUT]])*Table_1[[#This Row],[ROE]]</f>
        <v/>
      </c>
      <c r="T128" s="98">
        <f>AVERAGE(Table_1[[#This Row],[CAGR LUCRO 5A]],Table_1[[#This Row],[CRESCIMENTO DAMODARAN]])</f>
        <v/>
      </c>
      <c r="U128" s="64">
        <f>(Table_1[[#This Row],[PREÇO JUSTO BAZIN]]-Table_1[[#This Row],[PREÇO]])/Table_1[[#This Row],[PREÇO JUSTO BAZIN]]</f>
        <v/>
      </c>
      <c r="V128" s="129">
        <f>Table_1[[#This Row],[DPA]]/6%</f>
        <v/>
      </c>
      <c r="W128" s="129">
        <f>Table_1[[#This Row],[PREÇO JUSTO BAZIN]]/(1+Table_1[[#This Row],[MARGEM DE DESCONTO]])</f>
        <v/>
      </c>
      <c r="X128" s="64">
        <f>(Table_1[[#This Row],[PREÇO JUSTO GRAHAM]]-Table_1[[#This Row],[PREÇO]])/Table_1[[#This Row],[PREÇO JUSTO GRAHAM]]</f>
        <v/>
      </c>
      <c r="Y128" s="129">
        <f>(22.5*Table_1[[#This Row],[LPA]]*Table_1[[#This Row],[VPA]])^0.5</f>
        <v/>
      </c>
      <c r="Z128" s="129">
        <f>Table_1[[#This Row],[PREÇO JUSTO GRAHAM]]/(1+Table_1[[#This Row],[MARGEM DE DESCONTO]])</f>
        <v/>
      </c>
      <c r="AA128" s="64">
        <f>(Table_1[[#This Row],[PREÇO JUSTO GORDON]]-Table_1[[#This Row],[PREÇO]])/Table_1[[#This Row],[PREÇO JUSTO GORDON]]</f>
        <v/>
      </c>
      <c r="AB128" s="130">
        <f>Table_1[[#This Row],[DPA]]*(1+Table_1[[#This Row],[MÉDIA DE CRESCIMENTO]])</f>
        <v/>
      </c>
      <c r="AC128" s="130">
        <f>Table_1[[#This Row],[D1]]/(Table_1[[#This Row],[RISCO]]-Table_1[[#This Row],[MÉDIA DE CRESCIMENTO]])</f>
        <v/>
      </c>
      <c r="AD128" s="130">
        <f>Table_1[[#This Row],[PREÇO JUSTO GORDON]]/(1+Table_1[[#This Row],[MARGEM DE DESCONTO]])</f>
        <v/>
      </c>
      <c r="AE128" s="78">
        <f>Table_1[[#This Row],[P/L]]/Table_1[[#This Row],[MÉDIA DE CRESCIMENTO]]</f>
        <v/>
      </c>
    </row>
    <row r="129" ht="15.75" customHeight="1">
      <c r="B129" s="77">
        <f>'Dados Status Invest'!A115</f>
        <v/>
      </c>
      <c r="C129" s="60">
        <f>VLOOKUP(Table_1[[#This Row],[AÇÕES]],'Classificação B3'!A:B,2,0)</f>
        <v/>
      </c>
      <c r="D129" s="60">
        <f>VLOOKUP(Table_1[[#This Row],[AÇÕES]],'Classificação B3'!A:D,4,0)</f>
        <v/>
      </c>
      <c r="E129" s="60">
        <f>VLOOKUP(Table_1[[#This Row],[AÇÕES]],'Classificação B3'!A:F,6,0)</f>
        <v/>
      </c>
      <c r="F129" s="60">
        <f>VLOOKUP(Table_1[[#This Row],[AÇÕES]],'Classificação B3'!A:G,7,0)</f>
        <v/>
      </c>
      <c r="G129" s="61">
        <f>VLOOKUP(Table_1[[#This Row],[AÇÕES]],'Dados Status Invest'!A:B,2,0)</f>
        <v/>
      </c>
      <c r="H129" s="62">
        <f>VLOOKUP(Table_1[[#This Row],[AÇÕES]],'Dados Status Invest'!A:C,3,0)/100</f>
        <v/>
      </c>
      <c r="I129" s="62">
        <f>VLOOKUP(Table_1[[#This Row],[AÇÕES]],'Dados Status Invest'!A:D,4,0)/100</f>
        <v/>
      </c>
      <c r="J129" s="63">
        <f>VLOOKUP(Table_1[[#This Row],[AÇÕES]],'Dados Status Invest'!A:AB,28,0)</f>
        <v/>
      </c>
      <c r="K129" s="63">
        <f>VLOOKUP(Table_1[[#This Row],[AÇÕES]],'Dados Status Invest'!A:AA,27,0)</f>
        <v/>
      </c>
      <c r="L129" s="63">
        <f>Table_1[[#This Row],[PREÇO]]*Table_1[[#This Row],[DY]]</f>
        <v/>
      </c>
      <c r="M129" s="62">
        <f>$E$13</f>
        <v/>
      </c>
      <c r="N129" s="62" t="n">
        <v>0.3</v>
      </c>
      <c r="O129" s="62">
        <f>Table_1[[#This Row],[DPA]]/Table_1[[#This Row],[LPA]]</f>
        <v/>
      </c>
      <c r="P129" s="62">
        <f>IF(Table_1[[#This Row],[PAYOUT]]&lt;=40%,"CRESCIMENTO",IF(Table_1[[#This Row],[PAYOUT]]&lt;=60%,"INDEFINIDO","DIVIDENDOS"))</f>
        <v/>
      </c>
      <c r="Q129" s="62">
        <f>VLOOKUP(Table_1[[#This Row],[AÇÕES]],'Dados Status Invest'!A:R,18,0)/100</f>
        <v/>
      </c>
      <c r="R129" s="62">
        <f>VLOOKUP(Table_1[[#This Row],[AÇÕES]],'Dados Status Invest'!A:Y,25,0)/100</f>
        <v/>
      </c>
      <c r="S129" s="62">
        <f>(1-Table_1[[#This Row],[PAYOUT]])*Table_1[[#This Row],[ROE]]</f>
        <v/>
      </c>
      <c r="T129" s="98">
        <f>AVERAGE(Table_1[[#This Row],[CAGR LUCRO 5A]],Table_1[[#This Row],[CRESCIMENTO DAMODARAN]])</f>
        <v/>
      </c>
      <c r="U129" s="64">
        <f>(Table_1[[#This Row],[PREÇO JUSTO BAZIN]]-Table_1[[#This Row],[PREÇO]])/Table_1[[#This Row],[PREÇO JUSTO BAZIN]]</f>
        <v/>
      </c>
      <c r="V129" s="129">
        <f>Table_1[[#This Row],[DPA]]/6%</f>
        <v/>
      </c>
      <c r="W129" s="129">
        <f>Table_1[[#This Row],[PREÇO JUSTO BAZIN]]/(1+Table_1[[#This Row],[MARGEM DE DESCONTO]])</f>
        <v/>
      </c>
      <c r="X129" s="64">
        <f>(Table_1[[#This Row],[PREÇO JUSTO GRAHAM]]-Table_1[[#This Row],[PREÇO]])/Table_1[[#This Row],[PREÇO JUSTO GRAHAM]]</f>
        <v/>
      </c>
      <c r="Y129" s="129">
        <f>(22.5*Table_1[[#This Row],[LPA]]*Table_1[[#This Row],[VPA]])^0.5</f>
        <v/>
      </c>
      <c r="Z129" s="129">
        <f>Table_1[[#This Row],[PREÇO JUSTO GRAHAM]]/(1+Table_1[[#This Row],[MARGEM DE DESCONTO]])</f>
        <v/>
      </c>
      <c r="AA129" s="64">
        <f>(Table_1[[#This Row],[PREÇO JUSTO GORDON]]-Table_1[[#This Row],[PREÇO]])/Table_1[[#This Row],[PREÇO JUSTO GORDON]]</f>
        <v/>
      </c>
      <c r="AB129" s="130">
        <f>Table_1[[#This Row],[DPA]]*(1+Table_1[[#This Row],[MÉDIA DE CRESCIMENTO]])</f>
        <v/>
      </c>
      <c r="AC129" s="130">
        <f>Table_1[[#This Row],[D1]]/(Table_1[[#This Row],[RISCO]]-Table_1[[#This Row],[MÉDIA DE CRESCIMENTO]])</f>
        <v/>
      </c>
      <c r="AD129" s="130">
        <f>Table_1[[#This Row],[PREÇO JUSTO GORDON]]/(1+Table_1[[#This Row],[MARGEM DE DESCONTO]])</f>
        <v/>
      </c>
      <c r="AE129" s="78">
        <f>Table_1[[#This Row],[P/L]]/Table_1[[#This Row],[MÉDIA DE CRESCIMENTO]]</f>
        <v/>
      </c>
    </row>
    <row r="130" ht="15.75" customHeight="1">
      <c r="B130" s="77">
        <f>'Dados Status Invest'!A116</f>
        <v/>
      </c>
      <c r="C130" s="60">
        <f>VLOOKUP(Table_1[[#This Row],[AÇÕES]],'Classificação B3'!A:B,2,0)</f>
        <v/>
      </c>
      <c r="D130" s="60">
        <f>VLOOKUP(Table_1[[#This Row],[AÇÕES]],'Classificação B3'!A:D,4,0)</f>
        <v/>
      </c>
      <c r="E130" s="60">
        <f>VLOOKUP(Table_1[[#This Row],[AÇÕES]],'Classificação B3'!A:F,6,0)</f>
        <v/>
      </c>
      <c r="F130" s="60">
        <f>VLOOKUP(Table_1[[#This Row],[AÇÕES]],'Classificação B3'!A:G,7,0)</f>
        <v/>
      </c>
      <c r="G130" s="61">
        <f>VLOOKUP(Table_1[[#This Row],[AÇÕES]],'Dados Status Invest'!A:B,2,0)</f>
        <v/>
      </c>
      <c r="H130" s="62">
        <f>VLOOKUP(Table_1[[#This Row],[AÇÕES]],'Dados Status Invest'!A:C,3,0)/100</f>
        <v/>
      </c>
      <c r="I130" s="62">
        <f>VLOOKUP(Table_1[[#This Row],[AÇÕES]],'Dados Status Invest'!A:D,4,0)/100</f>
        <v/>
      </c>
      <c r="J130" s="63">
        <f>VLOOKUP(Table_1[[#This Row],[AÇÕES]],'Dados Status Invest'!A:AB,28,0)</f>
        <v/>
      </c>
      <c r="K130" s="63">
        <f>VLOOKUP(Table_1[[#This Row],[AÇÕES]],'Dados Status Invest'!A:AA,27,0)</f>
        <v/>
      </c>
      <c r="L130" s="63">
        <f>Table_1[[#This Row],[PREÇO]]*Table_1[[#This Row],[DY]]</f>
        <v/>
      </c>
      <c r="M130" s="62">
        <f>$E$13</f>
        <v/>
      </c>
      <c r="N130" s="62" t="n">
        <v>0.3</v>
      </c>
      <c r="O130" s="62">
        <f>Table_1[[#This Row],[DPA]]/Table_1[[#This Row],[LPA]]</f>
        <v/>
      </c>
      <c r="P130" s="62">
        <f>IF(Table_1[[#This Row],[PAYOUT]]&lt;=40%,"CRESCIMENTO",IF(Table_1[[#This Row],[PAYOUT]]&lt;=60%,"INDEFINIDO","DIVIDENDOS"))</f>
        <v/>
      </c>
      <c r="Q130" s="62">
        <f>VLOOKUP(Table_1[[#This Row],[AÇÕES]],'Dados Status Invest'!A:R,18,0)/100</f>
        <v/>
      </c>
      <c r="R130" s="62">
        <f>VLOOKUP(Table_1[[#This Row],[AÇÕES]],'Dados Status Invest'!A:Y,25,0)/100</f>
        <v/>
      </c>
      <c r="S130" s="62">
        <f>(1-Table_1[[#This Row],[PAYOUT]])*Table_1[[#This Row],[ROE]]</f>
        <v/>
      </c>
      <c r="T130" s="98">
        <f>AVERAGE(Table_1[[#This Row],[CAGR LUCRO 5A]],Table_1[[#This Row],[CRESCIMENTO DAMODARAN]])</f>
        <v/>
      </c>
      <c r="U130" s="64">
        <f>(Table_1[[#This Row],[PREÇO JUSTO BAZIN]]-Table_1[[#This Row],[PREÇO]])/Table_1[[#This Row],[PREÇO JUSTO BAZIN]]</f>
        <v/>
      </c>
      <c r="V130" s="129">
        <f>Table_1[[#This Row],[DPA]]/6%</f>
        <v/>
      </c>
      <c r="W130" s="129">
        <f>Table_1[[#This Row],[PREÇO JUSTO BAZIN]]/(1+Table_1[[#This Row],[MARGEM DE DESCONTO]])</f>
        <v/>
      </c>
      <c r="X130" s="64">
        <f>(Table_1[[#This Row],[PREÇO JUSTO GRAHAM]]-Table_1[[#This Row],[PREÇO]])/Table_1[[#This Row],[PREÇO JUSTO GRAHAM]]</f>
        <v/>
      </c>
      <c r="Y130" s="129">
        <f>(22.5*Table_1[[#This Row],[LPA]]*Table_1[[#This Row],[VPA]])^0.5</f>
        <v/>
      </c>
      <c r="Z130" s="129">
        <f>Table_1[[#This Row],[PREÇO JUSTO GRAHAM]]/(1+Table_1[[#This Row],[MARGEM DE DESCONTO]])</f>
        <v/>
      </c>
      <c r="AA130" s="64">
        <f>(Table_1[[#This Row],[PREÇO JUSTO GORDON]]-Table_1[[#This Row],[PREÇO]])/Table_1[[#This Row],[PREÇO JUSTO GORDON]]</f>
        <v/>
      </c>
      <c r="AB130" s="130">
        <f>Table_1[[#This Row],[DPA]]*(1+Table_1[[#This Row],[MÉDIA DE CRESCIMENTO]])</f>
        <v/>
      </c>
      <c r="AC130" s="130">
        <f>Table_1[[#This Row],[D1]]/(Table_1[[#This Row],[RISCO]]-Table_1[[#This Row],[MÉDIA DE CRESCIMENTO]])</f>
        <v/>
      </c>
      <c r="AD130" s="130">
        <f>Table_1[[#This Row],[PREÇO JUSTO GORDON]]/(1+Table_1[[#This Row],[MARGEM DE DESCONTO]])</f>
        <v/>
      </c>
      <c r="AE130" s="78">
        <f>Table_1[[#This Row],[P/L]]/Table_1[[#This Row],[MÉDIA DE CRESCIMENTO]]</f>
        <v/>
      </c>
    </row>
    <row r="131" ht="15.75" customHeight="1">
      <c r="B131" s="77">
        <f>'Dados Status Invest'!A117</f>
        <v/>
      </c>
      <c r="C131" s="60">
        <f>VLOOKUP(Table_1[[#This Row],[AÇÕES]],'Classificação B3'!A:B,2,0)</f>
        <v/>
      </c>
      <c r="D131" s="60">
        <f>VLOOKUP(Table_1[[#This Row],[AÇÕES]],'Classificação B3'!A:D,4,0)</f>
        <v/>
      </c>
      <c r="E131" s="60">
        <f>VLOOKUP(Table_1[[#This Row],[AÇÕES]],'Classificação B3'!A:F,6,0)</f>
        <v/>
      </c>
      <c r="F131" s="60">
        <f>VLOOKUP(Table_1[[#This Row],[AÇÕES]],'Classificação B3'!A:G,7,0)</f>
        <v/>
      </c>
      <c r="G131" s="61">
        <f>VLOOKUP(Table_1[[#This Row],[AÇÕES]],'Dados Status Invest'!A:B,2,0)</f>
        <v/>
      </c>
      <c r="H131" s="62">
        <f>VLOOKUP(Table_1[[#This Row],[AÇÕES]],'Dados Status Invest'!A:C,3,0)/100</f>
        <v/>
      </c>
      <c r="I131" s="62">
        <f>VLOOKUP(Table_1[[#This Row],[AÇÕES]],'Dados Status Invest'!A:D,4,0)/100</f>
        <v/>
      </c>
      <c r="J131" s="63">
        <f>VLOOKUP(Table_1[[#This Row],[AÇÕES]],'Dados Status Invest'!A:AB,28,0)</f>
        <v/>
      </c>
      <c r="K131" s="63">
        <f>VLOOKUP(Table_1[[#This Row],[AÇÕES]],'Dados Status Invest'!A:AA,27,0)</f>
        <v/>
      </c>
      <c r="L131" s="63">
        <f>Table_1[[#This Row],[PREÇO]]*Table_1[[#This Row],[DY]]</f>
        <v/>
      </c>
      <c r="M131" s="62">
        <f>$E$13</f>
        <v/>
      </c>
      <c r="N131" s="62" t="n">
        <v>0.3</v>
      </c>
      <c r="O131" s="62">
        <f>Table_1[[#This Row],[DPA]]/Table_1[[#This Row],[LPA]]</f>
        <v/>
      </c>
      <c r="P131" s="62">
        <f>IF(Table_1[[#This Row],[PAYOUT]]&lt;=40%,"CRESCIMENTO",IF(Table_1[[#This Row],[PAYOUT]]&lt;=60%,"INDEFINIDO","DIVIDENDOS"))</f>
        <v/>
      </c>
      <c r="Q131" s="62">
        <f>VLOOKUP(Table_1[[#This Row],[AÇÕES]],'Dados Status Invest'!A:R,18,0)/100</f>
        <v/>
      </c>
      <c r="R131" s="62">
        <f>VLOOKUP(Table_1[[#This Row],[AÇÕES]],'Dados Status Invest'!A:Y,25,0)/100</f>
        <v/>
      </c>
      <c r="S131" s="62">
        <f>(1-Table_1[[#This Row],[PAYOUT]])*Table_1[[#This Row],[ROE]]</f>
        <v/>
      </c>
      <c r="T131" s="98">
        <f>AVERAGE(Table_1[[#This Row],[CAGR LUCRO 5A]],Table_1[[#This Row],[CRESCIMENTO DAMODARAN]])</f>
        <v/>
      </c>
      <c r="U131" s="64">
        <f>(Table_1[[#This Row],[PREÇO JUSTO BAZIN]]-Table_1[[#This Row],[PREÇO]])/Table_1[[#This Row],[PREÇO JUSTO BAZIN]]</f>
        <v/>
      </c>
      <c r="V131" s="129">
        <f>Table_1[[#This Row],[DPA]]/6%</f>
        <v/>
      </c>
      <c r="W131" s="129">
        <f>Table_1[[#This Row],[PREÇO JUSTO BAZIN]]/(1+Table_1[[#This Row],[MARGEM DE DESCONTO]])</f>
        <v/>
      </c>
      <c r="X131" s="64">
        <f>(Table_1[[#This Row],[PREÇO JUSTO GRAHAM]]-Table_1[[#This Row],[PREÇO]])/Table_1[[#This Row],[PREÇO JUSTO GRAHAM]]</f>
        <v/>
      </c>
      <c r="Y131" s="129">
        <f>(22.5*Table_1[[#This Row],[LPA]]*Table_1[[#This Row],[VPA]])^0.5</f>
        <v/>
      </c>
      <c r="Z131" s="129">
        <f>Table_1[[#This Row],[PREÇO JUSTO GRAHAM]]/(1+Table_1[[#This Row],[MARGEM DE DESCONTO]])</f>
        <v/>
      </c>
      <c r="AA131" s="64">
        <f>(Table_1[[#This Row],[PREÇO JUSTO GORDON]]-Table_1[[#This Row],[PREÇO]])/Table_1[[#This Row],[PREÇO JUSTO GORDON]]</f>
        <v/>
      </c>
      <c r="AB131" s="130">
        <f>Table_1[[#This Row],[DPA]]*(1+Table_1[[#This Row],[MÉDIA DE CRESCIMENTO]])</f>
        <v/>
      </c>
      <c r="AC131" s="130">
        <f>Table_1[[#This Row],[D1]]/(Table_1[[#This Row],[RISCO]]-Table_1[[#This Row],[MÉDIA DE CRESCIMENTO]])</f>
        <v/>
      </c>
      <c r="AD131" s="130">
        <f>Table_1[[#This Row],[PREÇO JUSTO GORDON]]/(1+Table_1[[#This Row],[MARGEM DE DESCONTO]])</f>
        <v/>
      </c>
      <c r="AE131" s="78">
        <f>Table_1[[#This Row],[P/L]]/Table_1[[#This Row],[MÉDIA DE CRESCIMENTO]]</f>
        <v/>
      </c>
    </row>
    <row r="132" ht="15.75" customHeight="1">
      <c r="B132" s="77">
        <f>'Dados Status Invest'!A118</f>
        <v/>
      </c>
      <c r="C132" s="60">
        <f>VLOOKUP(Table_1[[#This Row],[AÇÕES]],'Classificação B3'!A:B,2,0)</f>
        <v/>
      </c>
      <c r="D132" s="60">
        <f>VLOOKUP(Table_1[[#This Row],[AÇÕES]],'Classificação B3'!A:D,4,0)</f>
        <v/>
      </c>
      <c r="E132" s="60">
        <f>VLOOKUP(Table_1[[#This Row],[AÇÕES]],'Classificação B3'!A:F,6,0)</f>
        <v/>
      </c>
      <c r="F132" s="60">
        <f>VLOOKUP(Table_1[[#This Row],[AÇÕES]],'Classificação B3'!A:G,7,0)</f>
        <v/>
      </c>
      <c r="G132" s="61">
        <f>VLOOKUP(Table_1[[#This Row],[AÇÕES]],'Dados Status Invest'!A:B,2,0)</f>
        <v/>
      </c>
      <c r="H132" s="62">
        <f>VLOOKUP(Table_1[[#This Row],[AÇÕES]],'Dados Status Invest'!A:C,3,0)/100</f>
        <v/>
      </c>
      <c r="I132" s="62">
        <f>VLOOKUP(Table_1[[#This Row],[AÇÕES]],'Dados Status Invest'!A:D,4,0)/100</f>
        <v/>
      </c>
      <c r="J132" s="63">
        <f>VLOOKUP(Table_1[[#This Row],[AÇÕES]],'Dados Status Invest'!A:AB,28,0)</f>
        <v/>
      </c>
      <c r="K132" s="63">
        <f>VLOOKUP(Table_1[[#This Row],[AÇÕES]],'Dados Status Invest'!A:AA,27,0)</f>
        <v/>
      </c>
      <c r="L132" s="63">
        <f>Table_1[[#This Row],[PREÇO]]*Table_1[[#This Row],[DY]]</f>
        <v/>
      </c>
      <c r="M132" s="62">
        <f>$E$13</f>
        <v/>
      </c>
      <c r="N132" s="62" t="n">
        <v>0.3</v>
      </c>
      <c r="O132" s="62">
        <f>Table_1[[#This Row],[DPA]]/Table_1[[#This Row],[LPA]]</f>
        <v/>
      </c>
      <c r="P132" s="62">
        <f>IF(Table_1[[#This Row],[PAYOUT]]&lt;=40%,"CRESCIMENTO",IF(Table_1[[#This Row],[PAYOUT]]&lt;=60%,"INDEFINIDO","DIVIDENDOS"))</f>
        <v/>
      </c>
      <c r="Q132" s="62">
        <f>VLOOKUP(Table_1[[#This Row],[AÇÕES]],'Dados Status Invest'!A:R,18,0)/100</f>
        <v/>
      </c>
      <c r="R132" s="62">
        <f>VLOOKUP(Table_1[[#This Row],[AÇÕES]],'Dados Status Invest'!A:Y,25,0)/100</f>
        <v/>
      </c>
      <c r="S132" s="62">
        <f>(1-Table_1[[#This Row],[PAYOUT]])*Table_1[[#This Row],[ROE]]</f>
        <v/>
      </c>
      <c r="T132" s="98">
        <f>AVERAGE(Table_1[[#This Row],[CAGR LUCRO 5A]],Table_1[[#This Row],[CRESCIMENTO DAMODARAN]])</f>
        <v/>
      </c>
      <c r="U132" s="64">
        <f>(Table_1[[#This Row],[PREÇO JUSTO BAZIN]]-Table_1[[#This Row],[PREÇO]])/Table_1[[#This Row],[PREÇO JUSTO BAZIN]]</f>
        <v/>
      </c>
      <c r="V132" s="129">
        <f>Table_1[[#This Row],[DPA]]/6%</f>
        <v/>
      </c>
      <c r="W132" s="129">
        <f>Table_1[[#This Row],[PREÇO JUSTO BAZIN]]/(1+Table_1[[#This Row],[MARGEM DE DESCONTO]])</f>
        <v/>
      </c>
      <c r="X132" s="64">
        <f>(Table_1[[#This Row],[PREÇO JUSTO GRAHAM]]-Table_1[[#This Row],[PREÇO]])/Table_1[[#This Row],[PREÇO JUSTO GRAHAM]]</f>
        <v/>
      </c>
      <c r="Y132" s="129">
        <f>(22.5*Table_1[[#This Row],[LPA]]*Table_1[[#This Row],[VPA]])^0.5</f>
        <v/>
      </c>
      <c r="Z132" s="129">
        <f>Table_1[[#This Row],[PREÇO JUSTO GRAHAM]]/(1+Table_1[[#This Row],[MARGEM DE DESCONTO]])</f>
        <v/>
      </c>
      <c r="AA132" s="64">
        <f>(Table_1[[#This Row],[PREÇO JUSTO GORDON]]-Table_1[[#This Row],[PREÇO]])/Table_1[[#This Row],[PREÇO JUSTO GORDON]]</f>
        <v/>
      </c>
      <c r="AB132" s="130">
        <f>Table_1[[#This Row],[DPA]]*(1+Table_1[[#This Row],[MÉDIA DE CRESCIMENTO]])</f>
        <v/>
      </c>
      <c r="AC132" s="130">
        <f>Table_1[[#This Row],[D1]]/(Table_1[[#This Row],[RISCO]]-Table_1[[#This Row],[MÉDIA DE CRESCIMENTO]])</f>
        <v/>
      </c>
      <c r="AD132" s="130">
        <f>Table_1[[#This Row],[PREÇO JUSTO GORDON]]/(1+Table_1[[#This Row],[MARGEM DE DESCONTO]])</f>
        <v/>
      </c>
      <c r="AE132" s="78">
        <f>Table_1[[#This Row],[P/L]]/Table_1[[#This Row],[MÉDIA DE CRESCIMENTO]]</f>
        <v/>
      </c>
    </row>
    <row r="133" ht="15.75" customHeight="1">
      <c r="B133" s="77">
        <f>'Dados Status Invest'!A119</f>
        <v/>
      </c>
      <c r="C133" s="60">
        <f>VLOOKUP(Table_1[[#This Row],[AÇÕES]],'Classificação B3'!A:B,2,0)</f>
        <v/>
      </c>
      <c r="D133" s="60">
        <f>VLOOKUP(Table_1[[#This Row],[AÇÕES]],'Classificação B3'!A:D,4,0)</f>
        <v/>
      </c>
      <c r="E133" s="60">
        <f>VLOOKUP(Table_1[[#This Row],[AÇÕES]],'Classificação B3'!A:F,6,0)</f>
        <v/>
      </c>
      <c r="F133" s="60">
        <f>VLOOKUP(Table_1[[#This Row],[AÇÕES]],'Classificação B3'!A:G,7,0)</f>
        <v/>
      </c>
      <c r="G133" s="61">
        <f>VLOOKUP(Table_1[[#This Row],[AÇÕES]],'Dados Status Invest'!A:B,2,0)</f>
        <v/>
      </c>
      <c r="H133" s="62">
        <f>VLOOKUP(Table_1[[#This Row],[AÇÕES]],'Dados Status Invest'!A:C,3,0)/100</f>
        <v/>
      </c>
      <c r="I133" s="62">
        <f>VLOOKUP(Table_1[[#This Row],[AÇÕES]],'Dados Status Invest'!A:D,4,0)/100</f>
        <v/>
      </c>
      <c r="J133" s="63">
        <f>VLOOKUP(Table_1[[#This Row],[AÇÕES]],'Dados Status Invest'!A:AB,28,0)</f>
        <v/>
      </c>
      <c r="K133" s="63">
        <f>VLOOKUP(Table_1[[#This Row],[AÇÕES]],'Dados Status Invest'!A:AA,27,0)</f>
        <v/>
      </c>
      <c r="L133" s="63">
        <f>Table_1[[#This Row],[PREÇO]]*Table_1[[#This Row],[DY]]</f>
        <v/>
      </c>
      <c r="M133" s="62">
        <f>$E$13</f>
        <v/>
      </c>
      <c r="N133" s="62" t="n">
        <v>0.3</v>
      </c>
      <c r="O133" s="62">
        <f>Table_1[[#This Row],[DPA]]/Table_1[[#This Row],[LPA]]</f>
        <v/>
      </c>
      <c r="P133" s="62">
        <f>IF(Table_1[[#This Row],[PAYOUT]]&lt;=40%,"CRESCIMENTO",IF(Table_1[[#This Row],[PAYOUT]]&lt;=60%,"INDEFINIDO","DIVIDENDOS"))</f>
        <v/>
      </c>
      <c r="Q133" s="62">
        <f>VLOOKUP(Table_1[[#This Row],[AÇÕES]],'Dados Status Invest'!A:R,18,0)/100</f>
        <v/>
      </c>
      <c r="R133" s="62">
        <f>VLOOKUP(Table_1[[#This Row],[AÇÕES]],'Dados Status Invest'!A:Y,25,0)/100</f>
        <v/>
      </c>
      <c r="S133" s="62">
        <f>(1-Table_1[[#This Row],[PAYOUT]])*Table_1[[#This Row],[ROE]]</f>
        <v/>
      </c>
      <c r="T133" s="98">
        <f>AVERAGE(Table_1[[#This Row],[CAGR LUCRO 5A]],Table_1[[#This Row],[CRESCIMENTO DAMODARAN]])</f>
        <v/>
      </c>
      <c r="U133" s="64">
        <f>(Table_1[[#This Row],[PREÇO JUSTO BAZIN]]-Table_1[[#This Row],[PREÇO]])/Table_1[[#This Row],[PREÇO JUSTO BAZIN]]</f>
        <v/>
      </c>
      <c r="V133" s="129">
        <f>Table_1[[#This Row],[DPA]]/6%</f>
        <v/>
      </c>
      <c r="W133" s="129">
        <f>Table_1[[#This Row],[PREÇO JUSTO BAZIN]]/(1+Table_1[[#This Row],[MARGEM DE DESCONTO]])</f>
        <v/>
      </c>
      <c r="X133" s="64">
        <f>(Table_1[[#This Row],[PREÇO JUSTO GRAHAM]]-Table_1[[#This Row],[PREÇO]])/Table_1[[#This Row],[PREÇO JUSTO GRAHAM]]</f>
        <v/>
      </c>
      <c r="Y133" s="129">
        <f>(22.5*Table_1[[#This Row],[LPA]]*Table_1[[#This Row],[VPA]])^0.5</f>
        <v/>
      </c>
      <c r="Z133" s="129">
        <f>Table_1[[#This Row],[PREÇO JUSTO GRAHAM]]/(1+Table_1[[#This Row],[MARGEM DE DESCONTO]])</f>
        <v/>
      </c>
      <c r="AA133" s="64">
        <f>(Table_1[[#This Row],[PREÇO JUSTO GORDON]]-Table_1[[#This Row],[PREÇO]])/Table_1[[#This Row],[PREÇO JUSTO GORDON]]</f>
        <v/>
      </c>
      <c r="AB133" s="130">
        <f>Table_1[[#This Row],[DPA]]*(1+Table_1[[#This Row],[MÉDIA DE CRESCIMENTO]])</f>
        <v/>
      </c>
      <c r="AC133" s="130">
        <f>Table_1[[#This Row],[D1]]/(Table_1[[#This Row],[RISCO]]-Table_1[[#This Row],[MÉDIA DE CRESCIMENTO]])</f>
        <v/>
      </c>
      <c r="AD133" s="130">
        <f>Table_1[[#This Row],[PREÇO JUSTO GORDON]]/(1+Table_1[[#This Row],[MARGEM DE DESCONTO]])</f>
        <v/>
      </c>
      <c r="AE133" s="78">
        <f>Table_1[[#This Row],[P/L]]/Table_1[[#This Row],[MÉDIA DE CRESCIMENTO]]</f>
        <v/>
      </c>
    </row>
    <row r="134" ht="15.75" customHeight="1">
      <c r="B134" s="77">
        <f>'Dados Status Invest'!A120</f>
        <v/>
      </c>
      <c r="C134" s="60">
        <f>VLOOKUP(Table_1[[#This Row],[AÇÕES]],'Classificação B3'!A:B,2,0)</f>
        <v/>
      </c>
      <c r="D134" s="60">
        <f>VLOOKUP(Table_1[[#This Row],[AÇÕES]],'Classificação B3'!A:D,4,0)</f>
        <v/>
      </c>
      <c r="E134" s="60">
        <f>VLOOKUP(Table_1[[#This Row],[AÇÕES]],'Classificação B3'!A:F,6,0)</f>
        <v/>
      </c>
      <c r="F134" s="60">
        <f>VLOOKUP(Table_1[[#This Row],[AÇÕES]],'Classificação B3'!A:G,7,0)</f>
        <v/>
      </c>
      <c r="G134" s="61">
        <f>VLOOKUP(Table_1[[#This Row],[AÇÕES]],'Dados Status Invest'!A:B,2,0)</f>
        <v/>
      </c>
      <c r="H134" s="62">
        <f>VLOOKUP(Table_1[[#This Row],[AÇÕES]],'Dados Status Invest'!A:C,3,0)/100</f>
        <v/>
      </c>
      <c r="I134" s="62">
        <f>VLOOKUP(Table_1[[#This Row],[AÇÕES]],'Dados Status Invest'!A:D,4,0)/100</f>
        <v/>
      </c>
      <c r="J134" s="63">
        <f>VLOOKUP(Table_1[[#This Row],[AÇÕES]],'Dados Status Invest'!A:AB,28,0)</f>
        <v/>
      </c>
      <c r="K134" s="63">
        <f>VLOOKUP(Table_1[[#This Row],[AÇÕES]],'Dados Status Invest'!A:AA,27,0)</f>
        <v/>
      </c>
      <c r="L134" s="63">
        <f>Table_1[[#This Row],[PREÇO]]*Table_1[[#This Row],[DY]]</f>
        <v/>
      </c>
      <c r="M134" s="62">
        <f>$E$13</f>
        <v/>
      </c>
      <c r="N134" s="62" t="n">
        <v>0.3</v>
      </c>
      <c r="O134" s="62">
        <f>Table_1[[#This Row],[DPA]]/Table_1[[#This Row],[LPA]]</f>
        <v/>
      </c>
      <c r="P134" s="62">
        <f>IF(Table_1[[#This Row],[PAYOUT]]&lt;=40%,"CRESCIMENTO",IF(Table_1[[#This Row],[PAYOUT]]&lt;=60%,"INDEFINIDO","DIVIDENDOS"))</f>
        <v/>
      </c>
      <c r="Q134" s="62">
        <f>VLOOKUP(Table_1[[#This Row],[AÇÕES]],'Dados Status Invest'!A:R,18,0)/100</f>
        <v/>
      </c>
      <c r="R134" s="62">
        <f>VLOOKUP(Table_1[[#This Row],[AÇÕES]],'Dados Status Invest'!A:Y,25,0)/100</f>
        <v/>
      </c>
      <c r="S134" s="62">
        <f>(1-Table_1[[#This Row],[PAYOUT]])*Table_1[[#This Row],[ROE]]</f>
        <v/>
      </c>
      <c r="T134" s="98">
        <f>AVERAGE(Table_1[[#This Row],[CAGR LUCRO 5A]],Table_1[[#This Row],[CRESCIMENTO DAMODARAN]])</f>
        <v/>
      </c>
      <c r="U134" s="64">
        <f>(Table_1[[#This Row],[PREÇO JUSTO BAZIN]]-Table_1[[#This Row],[PREÇO]])/Table_1[[#This Row],[PREÇO JUSTO BAZIN]]</f>
        <v/>
      </c>
      <c r="V134" s="129">
        <f>Table_1[[#This Row],[DPA]]/6%</f>
        <v/>
      </c>
      <c r="W134" s="129">
        <f>Table_1[[#This Row],[PREÇO JUSTO BAZIN]]/(1+Table_1[[#This Row],[MARGEM DE DESCONTO]])</f>
        <v/>
      </c>
      <c r="X134" s="64">
        <f>(Table_1[[#This Row],[PREÇO JUSTO GRAHAM]]-Table_1[[#This Row],[PREÇO]])/Table_1[[#This Row],[PREÇO JUSTO GRAHAM]]</f>
        <v/>
      </c>
      <c r="Y134" s="129">
        <f>(22.5*Table_1[[#This Row],[LPA]]*Table_1[[#This Row],[VPA]])^0.5</f>
        <v/>
      </c>
      <c r="Z134" s="129">
        <f>Table_1[[#This Row],[PREÇO JUSTO GRAHAM]]/(1+Table_1[[#This Row],[MARGEM DE DESCONTO]])</f>
        <v/>
      </c>
      <c r="AA134" s="64">
        <f>(Table_1[[#This Row],[PREÇO JUSTO GORDON]]-Table_1[[#This Row],[PREÇO]])/Table_1[[#This Row],[PREÇO JUSTO GORDON]]</f>
        <v/>
      </c>
      <c r="AB134" s="130">
        <f>Table_1[[#This Row],[DPA]]*(1+Table_1[[#This Row],[MÉDIA DE CRESCIMENTO]])</f>
        <v/>
      </c>
      <c r="AC134" s="130">
        <f>Table_1[[#This Row],[D1]]/(Table_1[[#This Row],[RISCO]]-Table_1[[#This Row],[MÉDIA DE CRESCIMENTO]])</f>
        <v/>
      </c>
      <c r="AD134" s="130">
        <f>Table_1[[#This Row],[PREÇO JUSTO GORDON]]/(1+Table_1[[#This Row],[MARGEM DE DESCONTO]])</f>
        <v/>
      </c>
      <c r="AE134" s="78">
        <f>Table_1[[#This Row],[P/L]]/Table_1[[#This Row],[MÉDIA DE CRESCIMENTO]]</f>
        <v/>
      </c>
    </row>
    <row r="135" ht="15.75" customHeight="1">
      <c r="B135" s="77">
        <f>'Dados Status Invest'!A121</f>
        <v/>
      </c>
      <c r="C135" s="60">
        <f>VLOOKUP(Table_1[[#This Row],[AÇÕES]],'Classificação B3'!A:B,2,0)</f>
        <v/>
      </c>
      <c r="D135" s="60">
        <f>VLOOKUP(Table_1[[#This Row],[AÇÕES]],'Classificação B3'!A:D,4,0)</f>
        <v/>
      </c>
      <c r="E135" s="60">
        <f>VLOOKUP(Table_1[[#This Row],[AÇÕES]],'Classificação B3'!A:F,6,0)</f>
        <v/>
      </c>
      <c r="F135" s="60">
        <f>VLOOKUP(Table_1[[#This Row],[AÇÕES]],'Classificação B3'!A:G,7,0)</f>
        <v/>
      </c>
      <c r="G135" s="61">
        <f>VLOOKUP(Table_1[[#This Row],[AÇÕES]],'Dados Status Invest'!A:B,2,0)</f>
        <v/>
      </c>
      <c r="H135" s="62">
        <f>VLOOKUP(Table_1[[#This Row],[AÇÕES]],'Dados Status Invest'!A:C,3,0)/100</f>
        <v/>
      </c>
      <c r="I135" s="62">
        <f>VLOOKUP(Table_1[[#This Row],[AÇÕES]],'Dados Status Invest'!A:D,4,0)/100</f>
        <v/>
      </c>
      <c r="J135" s="63">
        <f>VLOOKUP(Table_1[[#This Row],[AÇÕES]],'Dados Status Invest'!A:AB,28,0)</f>
        <v/>
      </c>
      <c r="K135" s="63">
        <f>VLOOKUP(Table_1[[#This Row],[AÇÕES]],'Dados Status Invest'!A:AA,27,0)</f>
        <v/>
      </c>
      <c r="L135" s="63">
        <f>Table_1[[#This Row],[PREÇO]]*Table_1[[#This Row],[DY]]</f>
        <v/>
      </c>
      <c r="M135" s="62">
        <f>$E$13</f>
        <v/>
      </c>
      <c r="N135" s="62" t="n">
        <v>0.3</v>
      </c>
      <c r="O135" s="62">
        <f>Table_1[[#This Row],[DPA]]/Table_1[[#This Row],[LPA]]</f>
        <v/>
      </c>
      <c r="P135" s="62">
        <f>IF(Table_1[[#This Row],[PAYOUT]]&lt;=40%,"CRESCIMENTO",IF(Table_1[[#This Row],[PAYOUT]]&lt;=60%,"INDEFINIDO","DIVIDENDOS"))</f>
        <v/>
      </c>
      <c r="Q135" s="62">
        <f>VLOOKUP(Table_1[[#This Row],[AÇÕES]],'Dados Status Invest'!A:R,18,0)/100</f>
        <v/>
      </c>
      <c r="R135" s="62">
        <f>VLOOKUP(Table_1[[#This Row],[AÇÕES]],'Dados Status Invest'!A:Y,25,0)/100</f>
        <v/>
      </c>
      <c r="S135" s="62">
        <f>(1-Table_1[[#This Row],[PAYOUT]])*Table_1[[#This Row],[ROE]]</f>
        <v/>
      </c>
      <c r="T135" s="98">
        <f>AVERAGE(Table_1[[#This Row],[CAGR LUCRO 5A]],Table_1[[#This Row],[CRESCIMENTO DAMODARAN]])</f>
        <v/>
      </c>
      <c r="U135" s="64">
        <f>(Table_1[[#This Row],[PREÇO JUSTO BAZIN]]-Table_1[[#This Row],[PREÇO]])/Table_1[[#This Row],[PREÇO JUSTO BAZIN]]</f>
        <v/>
      </c>
      <c r="V135" s="129">
        <f>Table_1[[#This Row],[DPA]]/6%</f>
        <v/>
      </c>
      <c r="W135" s="129">
        <f>Table_1[[#This Row],[PREÇO JUSTO BAZIN]]/(1+Table_1[[#This Row],[MARGEM DE DESCONTO]])</f>
        <v/>
      </c>
      <c r="X135" s="64">
        <f>(Table_1[[#This Row],[PREÇO JUSTO GRAHAM]]-Table_1[[#This Row],[PREÇO]])/Table_1[[#This Row],[PREÇO JUSTO GRAHAM]]</f>
        <v/>
      </c>
      <c r="Y135" s="129">
        <f>(22.5*Table_1[[#This Row],[LPA]]*Table_1[[#This Row],[VPA]])^0.5</f>
        <v/>
      </c>
      <c r="Z135" s="129">
        <f>Table_1[[#This Row],[PREÇO JUSTO GRAHAM]]/(1+Table_1[[#This Row],[MARGEM DE DESCONTO]])</f>
        <v/>
      </c>
      <c r="AA135" s="64">
        <f>(Table_1[[#This Row],[PREÇO JUSTO GORDON]]-Table_1[[#This Row],[PREÇO]])/Table_1[[#This Row],[PREÇO JUSTO GORDON]]</f>
        <v/>
      </c>
      <c r="AB135" s="130">
        <f>Table_1[[#This Row],[DPA]]*(1+Table_1[[#This Row],[MÉDIA DE CRESCIMENTO]])</f>
        <v/>
      </c>
      <c r="AC135" s="130">
        <f>Table_1[[#This Row],[D1]]/(Table_1[[#This Row],[RISCO]]-Table_1[[#This Row],[MÉDIA DE CRESCIMENTO]])</f>
        <v/>
      </c>
      <c r="AD135" s="130">
        <f>Table_1[[#This Row],[PREÇO JUSTO GORDON]]/(1+Table_1[[#This Row],[MARGEM DE DESCONTO]])</f>
        <v/>
      </c>
      <c r="AE135" s="78">
        <f>Table_1[[#This Row],[P/L]]/Table_1[[#This Row],[MÉDIA DE CRESCIMENTO]]</f>
        <v/>
      </c>
    </row>
    <row r="136" ht="15.75" customHeight="1">
      <c r="B136" s="77">
        <f>'Dados Status Invest'!A122</f>
        <v/>
      </c>
      <c r="C136" s="60">
        <f>VLOOKUP(Table_1[[#This Row],[AÇÕES]],'Classificação B3'!A:B,2,0)</f>
        <v/>
      </c>
      <c r="D136" s="60">
        <f>VLOOKUP(Table_1[[#This Row],[AÇÕES]],'Classificação B3'!A:D,4,0)</f>
        <v/>
      </c>
      <c r="E136" s="60">
        <f>VLOOKUP(Table_1[[#This Row],[AÇÕES]],'Classificação B3'!A:F,6,0)</f>
        <v/>
      </c>
      <c r="F136" s="60">
        <f>VLOOKUP(Table_1[[#This Row],[AÇÕES]],'Classificação B3'!A:G,7,0)</f>
        <v/>
      </c>
      <c r="G136" s="61">
        <f>VLOOKUP(Table_1[[#This Row],[AÇÕES]],'Dados Status Invest'!A:B,2,0)</f>
        <v/>
      </c>
      <c r="H136" s="62">
        <f>VLOOKUP(Table_1[[#This Row],[AÇÕES]],'Dados Status Invest'!A:C,3,0)/100</f>
        <v/>
      </c>
      <c r="I136" s="62">
        <f>VLOOKUP(Table_1[[#This Row],[AÇÕES]],'Dados Status Invest'!A:D,4,0)/100</f>
        <v/>
      </c>
      <c r="J136" s="63">
        <f>VLOOKUP(Table_1[[#This Row],[AÇÕES]],'Dados Status Invest'!A:AB,28,0)</f>
        <v/>
      </c>
      <c r="K136" s="63">
        <f>VLOOKUP(Table_1[[#This Row],[AÇÕES]],'Dados Status Invest'!A:AA,27,0)</f>
        <v/>
      </c>
      <c r="L136" s="63">
        <f>Table_1[[#This Row],[PREÇO]]*Table_1[[#This Row],[DY]]</f>
        <v/>
      </c>
      <c r="M136" s="62">
        <f>$E$13</f>
        <v/>
      </c>
      <c r="N136" s="62" t="n">
        <v>0.3</v>
      </c>
      <c r="O136" s="62">
        <f>Table_1[[#This Row],[DPA]]/Table_1[[#This Row],[LPA]]</f>
        <v/>
      </c>
      <c r="P136" s="62">
        <f>IF(Table_1[[#This Row],[PAYOUT]]&lt;=40%,"CRESCIMENTO",IF(Table_1[[#This Row],[PAYOUT]]&lt;=60%,"INDEFINIDO","DIVIDENDOS"))</f>
        <v/>
      </c>
      <c r="Q136" s="62">
        <f>VLOOKUP(Table_1[[#This Row],[AÇÕES]],'Dados Status Invest'!A:R,18,0)/100</f>
        <v/>
      </c>
      <c r="R136" s="62">
        <f>VLOOKUP(Table_1[[#This Row],[AÇÕES]],'Dados Status Invest'!A:Y,25,0)/100</f>
        <v/>
      </c>
      <c r="S136" s="62">
        <f>(1-Table_1[[#This Row],[PAYOUT]])*Table_1[[#This Row],[ROE]]</f>
        <v/>
      </c>
      <c r="T136" s="98">
        <f>AVERAGE(Table_1[[#This Row],[CAGR LUCRO 5A]],Table_1[[#This Row],[CRESCIMENTO DAMODARAN]])</f>
        <v/>
      </c>
      <c r="U136" s="64">
        <f>(Table_1[[#This Row],[PREÇO JUSTO BAZIN]]-Table_1[[#This Row],[PREÇO]])/Table_1[[#This Row],[PREÇO JUSTO BAZIN]]</f>
        <v/>
      </c>
      <c r="V136" s="129">
        <f>Table_1[[#This Row],[DPA]]/6%</f>
        <v/>
      </c>
      <c r="W136" s="129">
        <f>Table_1[[#This Row],[PREÇO JUSTO BAZIN]]/(1+Table_1[[#This Row],[MARGEM DE DESCONTO]])</f>
        <v/>
      </c>
      <c r="X136" s="64">
        <f>(Table_1[[#This Row],[PREÇO JUSTO GRAHAM]]-Table_1[[#This Row],[PREÇO]])/Table_1[[#This Row],[PREÇO JUSTO GRAHAM]]</f>
        <v/>
      </c>
      <c r="Y136" s="129">
        <f>(22.5*Table_1[[#This Row],[LPA]]*Table_1[[#This Row],[VPA]])^0.5</f>
        <v/>
      </c>
      <c r="Z136" s="129">
        <f>Table_1[[#This Row],[PREÇO JUSTO GRAHAM]]/(1+Table_1[[#This Row],[MARGEM DE DESCONTO]])</f>
        <v/>
      </c>
      <c r="AA136" s="64">
        <f>(Table_1[[#This Row],[PREÇO JUSTO GORDON]]-Table_1[[#This Row],[PREÇO]])/Table_1[[#This Row],[PREÇO JUSTO GORDON]]</f>
        <v/>
      </c>
      <c r="AB136" s="130">
        <f>Table_1[[#This Row],[DPA]]*(1+Table_1[[#This Row],[MÉDIA DE CRESCIMENTO]])</f>
        <v/>
      </c>
      <c r="AC136" s="130">
        <f>Table_1[[#This Row],[D1]]/(Table_1[[#This Row],[RISCO]]-Table_1[[#This Row],[MÉDIA DE CRESCIMENTO]])</f>
        <v/>
      </c>
      <c r="AD136" s="130">
        <f>Table_1[[#This Row],[PREÇO JUSTO GORDON]]/(1+Table_1[[#This Row],[MARGEM DE DESCONTO]])</f>
        <v/>
      </c>
      <c r="AE136" s="78">
        <f>Table_1[[#This Row],[P/L]]/Table_1[[#This Row],[MÉDIA DE CRESCIMENTO]]</f>
        <v/>
      </c>
    </row>
    <row r="137" ht="15.75" customHeight="1">
      <c r="B137" s="77">
        <f>'Dados Status Invest'!A123</f>
        <v/>
      </c>
      <c r="C137" s="60">
        <f>VLOOKUP(Table_1[[#This Row],[AÇÕES]],'Classificação B3'!A:B,2,0)</f>
        <v/>
      </c>
      <c r="D137" s="60">
        <f>VLOOKUP(Table_1[[#This Row],[AÇÕES]],'Classificação B3'!A:D,4,0)</f>
        <v/>
      </c>
      <c r="E137" s="60">
        <f>VLOOKUP(Table_1[[#This Row],[AÇÕES]],'Classificação B3'!A:F,6,0)</f>
        <v/>
      </c>
      <c r="F137" s="60">
        <f>VLOOKUP(Table_1[[#This Row],[AÇÕES]],'Classificação B3'!A:G,7,0)</f>
        <v/>
      </c>
      <c r="G137" s="61">
        <f>VLOOKUP(Table_1[[#This Row],[AÇÕES]],'Dados Status Invest'!A:B,2,0)</f>
        <v/>
      </c>
      <c r="H137" s="62">
        <f>VLOOKUP(Table_1[[#This Row],[AÇÕES]],'Dados Status Invest'!A:C,3,0)/100</f>
        <v/>
      </c>
      <c r="I137" s="62">
        <f>VLOOKUP(Table_1[[#This Row],[AÇÕES]],'Dados Status Invest'!A:D,4,0)/100</f>
        <v/>
      </c>
      <c r="J137" s="63">
        <f>VLOOKUP(Table_1[[#This Row],[AÇÕES]],'Dados Status Invest'!A:AB,28,0)</f>
        <v/>
      </c>
      <c r="K137" s="63">
        <f>VLOOKUP(Table_1[[#This Row],[AÇÕES]],'Dados Status Invest'!A:AA,27,0)</f>
        <v/>
      </c>
      <c r="L137" s="63">
        <f>Table_1[[#This Row],[PREÇO]]*Table_1[[#This Row],[DY]]</f>
        <v/>
      </c>
      <c r="M137" s="62">
        <f>$E$13</f>
        <v/>
      </c>
      <c r="N137" s="62" t="n">
        <v>0.3</v>
      </c>
      <c r="O137" s="62">
        <f>Table_1[[#This Row],[DPA]]/Table_1[[#This Row],[LPA]]</f>
        <v/>
      </c>
      <c r="P137" s="62">
        <f>IF(Table_1[[#This Row],[PAYOUT]]&lt;=40%,"CRESCIMENTO",IF(Table_1[[#This Row],[PAYOUT]]&lt;=60%,"INDEFINIDO","DIVIDENDOS"))</f>
        <v/>
      </c>
      <c r="Q137" s="62">
        <f>VLOOKUP(Table_1[[#This Row],[AÇÕES]],'Dados Status Invest'!A:R,18,0)/100</f>
        <v/>
      </c>
      <c r="R137" s="62">
        <f>VLOOKUP(Table_1[[#This Row],[AÇÕES]],'Dados Status Invest'!A:Y,25,0)/100</f>
        <v/>
      </c>
      <c r="S137" s="62">
        <f>(1-Table_1[[#This Row],[PAYOUT]])*Table_1[[#This Row],[ROE]]</f>
        <v/>
      </c>
      <c r="T137" s="98">
        <f>AVERAGE(Table_1[[#This Row],[CAGR LUCRO 5A]],Table_1[[#This Row],[CRESCIMENTO DAMODARAN]])</f>
        <v/>
      </c>
      <c r="U137" s="64">
        <f>(Table_1[[#This Row],[PREÇO JUSTO BAZIN]]-Table_1[[#This Row],[PREÇO]])/Table_1[[#This Row],[PREÇO JUSTO BAZIN]]</f>
        <v/>
      </c>
      <c r="V137" s="129">
        <f>Table_1[[#This Row],[DPA]]/6%</f>
        <v/>
      </c>
      <c r="W137" s="129">
        <f>Table_1[[#This Row],[PREÇO JUSTO BAZIN]]/(1+Table_1[[#This Row],[MARGEM DE DESCONTO]])</f>
        <v/>
      </c>
      <c r="X137" s="64">
        <f>(Table_1[[#This Row],[PREÇO JUSTO GRAHAM]]-Table_1[[#This Row],[PREÇO]])/Table_1[[#This Row],[PREÇO JUSTO GRAHAM]]</f>
        <v/>
      </c>
      <c r="Y137" s="129">
        <f>(22.5*Table_1[[#This Row],[LPA]]*Table_1[[#This Row],[VPA]])^0.5</f>
        <v/>
      </c>
      <c r="Z137" s="129">
        <f>Table_1[[#This Row],[PREÇO JUSTO GRAHAM]]/(1+Table_1[[#This Row],[MARGEM DE DESCONTO]])</f>
        <v/>
      </c>
      <c r="AA137" s="64">
        <f>(Table_1[[#This Row],[PREÇO JUSTO GORDON]]-Table_1[[#This Row],[PREÇO]])/Table_1[[#This Row],[PREÇO JUSTO GORDON]]</f>
        <v/>
      </c>
      <c r="AB137" s="130">
        <f>Table_1[[#This Row],[DPA]]*(1+Table_1[[#This Row],[MÉDIA DE CRESCIMENTO]])</f>
        <v/>
      </c>
      <c r="AC137" s="130">
        <f>Table_1[[#This Row],[D1]]/(Table_1[[#This Row],[RISCO]]-Table_1[[#This Row],[MÉDIA DE CRESCIMENTO]])</f>
        <v/>
      </c>
      <c r="AD137" s="130">
        <f>Table_1[[#This Row],[PREÇO JUSTO GORDON]]/(1+Table_1[[#This Row],[MARGEM DE DESCONTO]])</f>
        <v/>
      </c>
      <c r="AE137" s="78">
        <f>Table_1[[#This Row],[P/L]]/Table_1[[#This Row],[MÉDIA DE CRESCIMENTO]]</f>
        <v/>
      </c>
    </row>
    <row r="138" ht="15.75" customHeight="1">
      <c r="B138" s="77">
        <f>'Dados Status Invest'!A124</f>
        <v/>
      </c>
      <c r="C138" s="60">
        <f>VLOOKUP(Table_1[[#This Row],[AÇÕES]],'Classificação B3'!A:B,2,0)</f>
        <v/>
      </c>
      <c r="D138" s="60">
        <f>VLOOKUP(Table_1[[#This Row],[AÇÕES]],'Classificação B3'!A:D,4,0)</f>
        <v/>
      </c>
      <c r="E138" s="60">
        <f>VLOOKUP(Table_1[[#This Row],[AÇÕES]],'Classificação B3'!A:F,6,0)</f>
        <v/>
      </c>
      <c r="F138" s="60">
        <f>VLOOKUP(Table_1[[#This Row],[AÇÕES]],'Classificação B3'!A:G,7,0)</f>
        <v/>
      </c>
      <c r="G138" s="61">
        <f>VLOOKUP(Table_1[[#This Row],[AÇÕES]],'Dados Status Invest'!A:B,2,0)</f>
        <v/>
      </c>
      <c r="H138" s="62">
        <f>VLOOKUP(Table_1[[#This Row],[AÇÕES]],'Dados Status Invest'!A:C,3,0)/100</f>
        <v/>
      </c>
      <c r="I138" s="62">
        <f>VLOOKUP(Table_1[[#This Row],[AÇÕES]],'Dados Status Invest'!A:D,4,0)/100</f>
        <v/>
      </c>
      <c r="J138" s="63">
        <f>VLOOKUP(Table_1[[#This Row],[AÇÕES]],'Dados Status Invest'!A:AB,28,0)</f>
        <v/>
      </c>
      <c r="K138" s="63">
        <f>VLOOKUP(Table_1[[#This Row],[AÇÕES]],'Dados Status Invest'!A:AA,27,0)</f>
        <v/>
      </c>
      <c r="L138" s="63">
        <f>Table_1[[#This Row],[PREÇO]]*Table_1[[#This Row],[DY]]</f>
        <v/>
      </c>
      <c r="M138" s="62">
        <f>$E$13</f>
        <v/>
      </c>
      <c r="N138" s="62" t="n">
        <v>0.3</v>
      </c>
      <c r="O138" s="62">
        <f>Table_1[[#This Row],[DPA]]/Table_1[[#This Row],[LPA]]</f>
        <v/>
      </c>
      <c r="P138" s="62">
        <f>IF(Table_1[[#This Row],[PAYOUT]]&lt;=40%,"CRESCIMENTO",IF(Table_1[[#This Row],[PAYOUT]]&lt;=60%,"INDEFINIDO","DIVIDENDOS"))</f>
        <v/>
      </c>
      <c r="Q138" s="62">
        <f>VLOOKUP(Table_1[[#This Row],[AÇÕES]],'Dados Status Invest'!A:R,18,0)/100</f>
        <v/>
      </c>
      <c r="R138" s="62">
        <f>VLOOKUP(Table_1[[#This Row],[AÇÕES]],'Dados Status Invest'!A:Y,25,0)/100</f>
        <v/>
      </c>
      <c r="S138" s="62">
        <f>(1-Table_1[[#This Row],[PAYOUT]])*Table_1[[#This Row],[ROE]]</f>
        <v/>
      </c>
      <c r="T138" s="98">
        <f>AVERAGE(Table_1[[#This Row],[CAGR LUCRO 5A]],Table_1[[#This Row],[CRESCIMENTO DAMODARAN]])</f>
        <v/>
      </c>
      <c r="U138" s="64">
        <f>(Table_1[[#This Row],[PREÇO JUSTO BAZIN]]-Table_1[[#This Row],[PREÇO]])/Table_1[[#This Row],[PREÇO JUSTO BAZIN]]</f>
        <v/>
      </c>
      <c r="V138" s="129">
        <f>Table_1[[#This Row],[DPA]]/6%</f>
        <v/>
      </c>
      <c r="W138" s="129">
        <f>Table_1[[#This Row],[PREÇO JUSTO BAZIN]]/(1+Table_1[[#This Row],[MARGEM DE DESCONTO]])</f>
        <v/>
      </c>
      <c r="X138" s="64">
        <f>(Table_1[[#This Row],[PREÇO JUSTO GRAHAM]]-Table_1[[#This Row],[PREÇO]])/Table_1[[#This Row],[PREÇO JUSTO GRAHAM]]</f>
        <v/>
      </c>
      <c r="Y138" s="129">
        <f>(22.5*Table_1[[#This Row],[LPA]]*Table_1[[#This Row],[VPA]])^0.5</f>
        <v/>
      </c>
      <c r="Z138" s="129">
        <f>Table_1[[#This Row],[PREÇO JUSTO GRAHAM]]/(1+Table_1[[#This Row],[MARGEM DE DESCONTO]])</f>
        <v/>
      </c>
      <c r="AA138" s="64">
        <f>(Table_1[[#This Row],[PREÇO JUSTO GORDON]]-Table_1[[#This Row],[PREÇO]])/Table_1[[#This Row],[PREÇO JUSTO GORDON]]</f>
        <v/>
      </c>
      <c r="AB138" s="130">
        <f>Table_1[[#This Row],[DPA]]*(1+Table_1[[#This Row],[MÉDIA DE CRESCIMENTO]])</f>
        <v/>
      </c>
      <c r="AC138" s="130">
        <f>Table_1[[#This Row],[D1]]/(Table_1[[#This Row],[RISCO]]-Table_1[[#This Row],[MÉDIA DE CRESCIMENTO]])</f>
        <v/>
      </c>
      <c r="AD138" s="130">
        <f>Table_1[[#This Row],[PREÇO JUSTO GORDON]]/(1+Table_1[[#This Row],[MARGEM DE DESCONTO]])</f>
        <v/>
      </c>
      <c r="AE138" s="78">
        <f>Table_1[[#This Row],[P/L]]/Table_1[[#This Row],[MÉDIA DE CRESCIMENTO]]</f>
        <v/>
      </c>
    </row>
    <row r="139" ht="15.75" customHeight="1">
      <c r="B139" s="77">
        <f>'Dados Status Invest'!A125</f>
        <v/>
      </c>
      <c r="C139" s="60">
        <f>VLOOKUP(Table_1[[#This Row],[AÇÕES]],'Classificação B3'!A:B,2,0)</f>
        <v/>
      </c>
      <c r="D139" s="60">
        <f>VLOOKUP(Table_1[[#This Row],[AÇÕES]],'Classificação B3'!A:D,4,0)</f>
        <v/>
      </c>
      <c r="E139" s="60">
        <f>VLOOKUP(Table_1[[#This Row],[AÇÕES]],'Classificação B3'!A:F,6,0)</f>
        <v/>
      </c>
      <c r="F139" s="60">
        <f>VLOOKUP(Table_1[[#This Row],[AÇÕES]],'Classificação B3'!A:G,7,0)</f>
        <v/>
      </c>
      <c r="G139" s="61">
        <f>VLOOKUP(Table_1[[#This Row],[AÇÕES]],'Dados Status Invest'!A:B,2,0)</f>
        <v/>
      </c>
      <c r="H139" s="62">
        <f>VLOOKUP(Table_1[[#This Row],[AÇÕES]],'Dados Status Invest'!A:C,3,0)/100</f>
        <v/>
      </c>
      <c r="I139" s="62">
        <f>VLOOKUP(Table_1[[#This Row],[AÇÕES]],'Dados Status Invest'!A:D,4,0)/100</f>
        <v/>
      </c>
      <c r="J139" s="63">
        <f>VLOOKUP(Table_1[[#This Row],[AÇÕES]],'Dados Status Invest'!A:AB,28,0)</f>
        <v/>
      </c>
      <c r="K139" s="63">
        <f>VLOOKUP(Table_1[[#This Row],[AÇÕES]],'Dados Status Invest'!A:AA,27,0)</f>
        <v/>
      </c>
      <c r="L139" s="63">
        <f>Table_1[[#This Row],[PREÇO]]*Table_1[[#This Row],[DY]]</f>
        <v/>
      </c>
      <c r="M139" s="62">
        <f>$E$13</f>
        <v/>
      </c>
      <c r="N139" s="62" t="n">
        <v>0.3</v>
      </c>
      <c r="O139" s="62">
        <f>Table_1[[#This Row],[DPA]]/Table_1[[#This Row],[LPA]]</f>
        <v/>
      </c>
      <c r="P139" s="62">
        <f>IF(Table_1[[#This Row],[PAYOUT]]&lt;=40%,"CRESCIMENTO",IF(Table_1[[#This Row],[PAYOUT]]&lt;=60%,"INDEFINIDO","DIVIDENDOS"))</f>
        <v/>
      </c>
      <c r="Q139" s="62">
        <f>VLOOKUP(Table_1[[#This Row],[AÇÕES]],'Dados Status Invest'!A:R,18,0)/100</f>
        <v/>
      </c>
      <c r="R139" s="62">
        <f>VLOOKUP(Table_1[[#This Row],[AÇÕES]],'Dados Status Invest'!A:Y,25,0)/100</f>
        <v/>
      </c>
      <c r="S139" s="62">
        <f>(1-Table_1[[#This Row],[PAYOUT]])*Table_1[[#This Row],[ROE]]</f>
        <v/>
      </c>
      <c r="T139" s="98">
        <f>AVERAGE(Table_1[[#This Row],[CAGR LUCRO 5A]],Table_1[[#This Row],[CRESCIMENTO DAMODARAN]])</f>
        <v/>
      </c>
      <c r="U139" s="64">
        <f>(Table_1[[#This Row],[PREÇO JUSTO BAZIN]]-Table_1[[#This Row],[PREÇO]])/Table_1[[#This Row],[PREÇO JUSTO BAZIN]]</f>
        <v/>
      </c>
      <c r="V139" s="129">
        <f>Table_1[[#This Row],[DPA]]/6%</f>
        <v/>
      </c>
      <c r="W139" s="129">
        <f>Table_1[[#This Row],[PREÇO JUSTO BAZIN]]/(1+Table_1[[#This Row],[MARGEM DE DESCONTO]])</f>
        <v/>
      </c>
      <c r="X139" s="64">
        <f>(Table_1[[#This Row],[PREÇO JUSTO GRAHAM]]-Table_1[[#This Row],[PREÇO]])/Table_1[[#This Row],[PREÇO JUSTO GRAHAM]]</f>
        <v/>
      </c>
      <c r="Y139" s="129">
        <f>(22.5*Table_1[[#This Row],[LPA]]*Table_1[[#This Row],[VPA]])^0.5</f>
        <v/>
      </c>
      <c r="Z139" s="129">
        <f>Table_1[[#This Row],[PREÇO JUSTO GRAHAM]]/(1+Table_1[[#This Row],[MARGEM DE DESCONTO]])</f>
        <v/>
      </c>
      <c r="AA139" s="64">
        <f>(Table_1[[#This Row],[PREÇO JUSTO GORDON]]-Table_1[[#This Row],[PREÇO]])/Table_1[[#This Row],[PREÇO JUSTO GORDON]]</f>
        <v/>
      </c>
      <c r="AB139" s="130">
        <f>Table_1[[#This Row],[DPA]]*(1+Table_1[[#This Row],[MÉDIA DE CRESCIMENTO]])</f>
        <v/>
      </c>
      <c r="AC139" s="130">
        <f>Table_1[[#This Row],[D1]]/(Table_1[[#This Row],[RISCO]]-Table_1[[#This Row],[MÉDIA DE CRESCIMENTO]])</f>
        <v/>
      </c>
      <c r="AD139" s="130">
        <f>Table_1[[#This Row],[PREÇO JUSTO GORDON]]/(1+Table_1[[#This Row],[MARGEM DE DESCONTO]])</f>
        <v/>
      </c>
      <c r="AE139" s="78">
        <f>Table_1[[#This Row],[P/L]]/Table_1[[#This Row],[MÉDIA DE CRESCIMENTO]]</f>
        <v/>
      </c>
    </row>
    <row r="140" ht="15.75" customHeight="1">
      <c r="B140" s="77">
        <f>'Dados Status Invest'!A126</f>
        <v/>
      </c>
      <c r="C140" s="60">
        <f>VLOOKUP(Table_1[[#This Row],[AÇÕES]],'Classificação B3'!A:B,2,0)</f>
        <v/>
      </c>
      <c r="D140" s="60">
        <f>VLOOKUP(Table_1[[#This Row],[AÇÕES]],'Classificação B3'!A:D,4,0)</f>
        <v/>
      </c>
      <c r="E140" s="60">
        <f>VLOOKUP(Table_1[[#This Row],[AÇÕES]],'Classificação B3'!A:F,6,0)</f>
        <v/>
      </c>
      <c r="F140" s="60">
        <f>VLOOKUP(Table_1[[#This Row],[AÇÕES]],'Classificação B3'!A:G,7,0)</f>
        <v/>
      </c>
      <c r="G140" s="61">
        <f>VLOOKUP(Table_1[[#This Row],[AÇÕES]],'Dados Status Invest'!A:B,2,0)</f>
        <v/>
      </c>
      <c r="H140" s="62">
        <f>VLOOKUP(Table_1[[#This Row],[AÇÕES]],'Dados Status Invest'!A:C,3,0)/100</f>
        <v/>
      </c>
      <c r="I140" s="62">
        <f>VLOOKUP(Table_1[[#This Row],[AÇÕES]],'Dados Status Invest'!A:D,4,0)/100</f>
        <v/>
      </c>
      <c r="J140" s="63">
        <f>VLOOKUP(Table_1[[#This Row],[AÇÕES]],'Dados Status Invest'!A:AB,28,0)</f>
        <v/>
      </c>
      <c r="K140" s="63">
        <f>VLOOKUP(Table_1[[#This Row],[AÇÕES]],'Dados Status Invest'!A:AA,27,0)</f>
        <v/>
      </c>
      <c r="L140" s="63">
        <f>Table_1[[#This Row],[PREÇO]]*Table_1[[#This Row],[DY]]</f>
        <v/>
      </c>
      <c r="M140" s="62">
        <f>$E$13</f>
        <v/>
      </c>
      <c r="N140" s="62" t="n">
        <v>0.3</v>
      </c>
      <c r="O140" s="62">
        <f>Table_1[[#This Row],[DPA]]/Table_1[[#This Row],[LPA]]</f>
        <v/>
      </c>
      <c r="P140" s="62">
        <f>IF(Table_1[[#This Row],[PAYOUT]]&lt;=40%,"CRESCIMENTO",IF(Table_1[[#This Row],[PAYOUT]]&lt;=60%,"INDEFINIDO","DIVIDENDOS"))</f>
        <v/>
      </c>
      <c r="Q140" s="62">
        <f>VLOOKUP(Table_1[[#This Row],[AÇÕES]],'Dados Status Invest'!A:R,18,0)/100</f>
        <v/>
      </c>
      <c r="R140" s="62">
        <f>VLOOKUP(Table_1[[#This Row],[AÇÕES]],'Dados Status Invest'!A:Y,25,0)/100</f>
        <v/>
      </c>
      <c r="S140" s="62">
        <f>(1-Table_1[[#This Row],[PAYOUT]])*Table_1[[#This Row],[ROE]]</f>
        <v/>
      </c>
      <c r="T140" s="98">
        <f>AVERAGE(Table_1[[#This Row],[CAGR LUCRO 5A]],Table_1[[#This Row],[CRESCIMENTO DAMODARAN]])</f>
        <v/>
      </c>
      <c r="U140" s="64">
        <f>(Table_1[[#This Row],[PREÇO JUSTO BAZIN]]-Table_1[[#This Row],[PREÇO]])/Table_1[[#This Row],[PREÇO JUSTO BAZIN]]</f>
        <v/>
      </c>
      <c r="V140" s="129">
        <f>Table_1[[#This Row],[DPA]]/6%</f>
        <v/>
      </c>
      <c r="W140" s="129">
        <f>Table_1[[#This Row],[PREÇO JUSTO BAZIN]]/(1+Table_1[[#This Row],[MARGEM DE DESCONTO]])</f>
        <v/>
      </c>
      <c r="X140" s="64">
        <f>(Table_1[[#This Row],[PREÇO JUSTO GRAHAM]]-Table_1[[#This Row],[PREÇO]])/Table_1[[#This Row],[PREÇO JUSTO GRAHAM]]</f>
        <v/>
      </c>
      <c r="Y140" s="129">
        <f>(22.5*Table_1[[#This Row],[LPA]]*Table_1[[#This Row],[VPA]])^0.5</f>
        <v/>
      </c>
      <c r="Z140" s="129">
        <f>Table_1[[#This Row],[PREÇO JUSTO GRAHAM]]/(1+Table_1[[#This Row],[MARGEM DE DESCONTO]])</f>
        <v/>
      </c>
      <c r="AA140" s="64">
        <f>(Table_1[[#This Row],[PREÇO JUSTO GORDON]]-Table_1[[#This Row],[PREÇO]])/Table_1[[#This Row],[PREÇO JUSTO GORDON]]</f>
        <v/>
      </c>
      <c r="AB140" s="130">
        <f>Table_1[[#This Row],[DPA]]*(1+Table_1[[#This Row],[MÉDIA DE CRESCIMENTO]])</f>
        <v/>
      </c>
      <c r="AC140" s="130">
        <f>Table_1[[#This Row],[D1]]/(Table_1[[#This Row],[RISCO]]-Table_1[[#This Row],[MÉDIA DE CRESCIMENTO]])</f>
        <v/>
      </c>
      <c r="AD140" s="130">
        <f>Table_1[[#This Row],[PREÇO JUSTO GORDON]]/(1+Table_1[[#This Row],[MARGEM DE DESCONTO]])</f>
        <v/>
      </c>
      <c r="AE140" s="78">
        <f>Table_1[[#This Row],[P/L]]/Table_1[[#This Row],[MÉDIA DE CRESCIMENTO]]</f>
        <v/>
      </c>
    </row>
    <row r="141" ht="15.75" customHeight="1">
      <c r="B141" s="77">
        <f>'Dados Status Invest'!A127</f>
        <v/>
      </c>
      <c r="C141" s="60">
        <f>VLOOKUP(Table_1[[#This Row],[AÇÕES]],'Classificação B3'!A:B,2,0)</f>
        <v/>
      </c>
      <c r="D141" s="60">
        <f>VLOOKUP(Table_1[[#This Row],[AÇÕES]],'Classificação B3'!A:D,4,0)</f>
        <v/>
      </c>
      <c r="E141" s="60">
        <f>VLOOKUP(Table_1[[#This Row],[AÇÕES]],'Classificação B3'!A:F,6,0)</f>
        <v/>
      </c>
      <c r="F141" s="60">
        <f>VLOOKUP(Table_1[[#This Row],[AÇÕES]],'Classificação B3'!A:G,7,0)</f>
        <v/>
      </c>
      <c r="G141" s="61">
        <f>VLOOKUP(Table_1[[#This Row],[AÇÕES]],'Dados Status Invest'!A:B,2,0)</f>
        <v/>
      </c>
      <c r="H141" s="62">
        <f>VLOOKUP(Table_1[[#This Row],[AÇÕES]],'Dados Status Invest'!A:C,3,0)/100</f>
        <v/>
      </c>
      <c r="I141" s="62">
        <f>VLOOKUP(Table_1[[#This Row],[AÇÕES]],'Dados Status Invest'!A:D,4,0)/100</f>
        <v/>
      </c>
      <c r="J141" s="63">
        <f>VLOOKUP(Table_1[[#This Row],[AÇÕES]],'Dados Status Invest'!A:AB,28,0)</f>
        <v/>
      </c>
      <c r="K141" s="63">
        <f>VLOOKUP(Table_1[[#This Row],[AÇÕES]],'Dados Status Invest'!A:AA,27,0)</f>
        <v/>
      </c>
      <c r="L141" s="63">
        <f>Table_1[[#This Row],[PREÇO]]*Table_1[[#This Row],[DY]]</f>
        <v/>
      </c>
      <c r="M141" s="62">
        <f>$E$13</f>
        <v/>
      </c>
      <c r="N141" s="62" t="n">
        <v>0.3</v>
      </c>
      <c r="O141" s="62">
        <f>Table_1[[#This Row],[DPA]]/Table_1[[#This Row],[LPA]]</f>
        <v/>
      </c>
      <c r="P141" s="62">
        <f>IF(Table_1[[#This Row],[PAYOUT]]&lt;=40%,"CRESCIMENTO",IF(Table_1[[#This Row],[PAYOUT]]&lt;=60%,"INDEFINIDO","DIVIDENDOS"))</f>
        <v/>
      </c>
      <c r="Q141" s="62">
        <f>VLOOKUP(Table_1[[#This Row],[AÇÕES]],'Dados Status Invest'!A:R,18,0)/100</f>
        <v/>
      </c>
      <c r="R141" s="62">
        <f>VLOOKUP(Table_1[[#This Row],[AÇÕES]],'Dados Status Invest'!A:Y,25,0)/100</f>
        <v/>
      </c>
      <c r="S141" s="62">
        <f>(1-Table_1[[#This Row],[PAYOUT]])*Table_1[[#This Row],[ROE]]</f>
        <v/>
      </c>
      <c r="T141" s="98">
        <f>AVERAGE(Table_1[[#This Row],[CAGR LUCRO 5A]],Table_1[[#This Row],[CRESCIMENTO DAMODARAN]])</f>
        <v/>
      </c>
      <c r="U141" s="64">
        <f>(Table_1[[#This Row],[PREÇO JUSTO BAZIN]]-Table_1[[#This Row],[PREÇO]])/Table_1[[#This Row],[PREÇO JUSTO BAZIN]]</f>
        <v/>
      </c>
      <c r="V141" s="129">
        <f>Table_1[[#This Row],[DPA]]/6%</f>
        <v/>
      </c>
      <c r="W141" s="129">
        <f>Table_1[[#This Row],[PREÇO JUSTO BAZIN]]/(1+Table_1[[#This Row],[MARGEM DE DESCONTO]])</f>
        <v/>
      </c>
      <c r="X141" s="64">
        <f>(Table_1[[#This Row],[PREÇO JUSTO GRAHAM]]-Table_1[[#This Row],[PREÇO]])/Table_1[[#This Row],[PREÇO JUSTO GRAHAM]]</f>
        <v/>
      </c>
      <c r="Y141" s="129">
        <f>(22.5*Table_1[[#This Row],[LPA]]*Table_1[[#This Row],[VPA]])^0.5</f>
        <v/>
      </c>
      <c r="Z141" s="129">
        <f>Table_1[[#This Row],[PREÇO JUSTO GRAHAM]]/(1+Table_1[[#This Row],[MARGEM DE DESCONTO]])</f>
        <v/>
      </c>
      <c r="AA141" s="64">
        <f>(Table_1[[#This Row],[PREÇO JUSTO GORDON]]-Table_1[[#This Row],[PREÇO]])/Table_1[[#This Row],[PREÇO JUSTO GORDON]]</f>
        <v/>
      </c>
      <c r="AB141" s="130">
        <f>Table_1[[#This Row],[DPA]]*(1+Table_1[[#This Row],[MÉDIA DE CRESCIMENTO]])</f>
        <v/>
      </c>
      <c r="AC141" s="130">
        <f>Table_1[[#This Row],[D1]]/(Table_1[[#This Row],[RISCO]]-Table_1[[#This Row],[MÉDIA DE CRESCIMENTO]])</f>
        <v/>
      </c>
      <c r="AD141" s="130">
        <f>Table_1[[#This Row],[PREÇO JUSTO GORDON]]/(1+Table_1[[#This Row],[MARGEM DE DESCONTO]])</f>
        <v/>
      </c>
      <c r="AE141" s="78">
        <f>Table_1[[#This Row],[P/L]]/Table_1[[#This Row],[MÉDIA DE CRESCIMENTO]]</f>
        <v/>
      </c>
    </row>
    <row r="142" ht="15.75" customHeight="1">
      <c r="B142" s="77">
        <f>'Dados Status Invest'!A128</f>
        <v/>
      </c>
      <c r="C142" s="60">
        <f>VLOOKUP(Table_1[[#This Row],[AÇÕES]],'Classificação B3'!A:B,2,0)</f>
        <v/>
      </c>
      <c r="D142" s="60">
        <f>VLOOKUP(Table_1[[#This Row],[AÇÕES]],'Classificação B3'!A:D,4,0)</f>
        <v/>
      </c>
      <c r="E142" s="60">
        <f>VLOOKUP(Table_1[[#This Row],[AÇÕES]],'Classificação B3'!A:F,6,0)</f>
        <v/>
      </c>
      <c r="F142" s="60">
        <f>VLOOKUP(Table_1[[#This Row],[AÇÕES]],'Classificação B3'!A:G,7,0)</f>
        <v/>
      </c>
      <c r="G142" s="61">
        <f>VLOOKUP(Table_1[[#This Row],[AÇÕES]],'Dados Status Invest'!A:B,2,0)</f>
        <v/>
      </c>
      <c r="H142" s="62">
        <f>VLOOKUP(Table_1[[#This Row],[AÇÕES]],'Dados Status Invest'!A:C,3,0)/100</f>
        <v/>
      </c>
      <c r="I142" s="62">
        <f>VLOOKUP(Table_1[[#This Row],[AÇÕES]],'Dados Status Invest'!A:D,4,0)/100</f>
        <v/>
      </c>
      <c r="J142" s="63">
        <f>VLOOKUP(Table_1[[#This Row],[AÇÕES]],'Dados Status Invest'!A:AB,28,0)</f>
        <v/>
      </c>
      <c r="K142" s="63">
        <f>VLOOKUP(Table_1[[#This Row],[AÇÕES]],'Dados Status Invest'!A:AA,27,0)</f>
        <v/>
      </c>
      <c r="L142" s="63">
        <f>Table_1[[#This Row],[PREÇO]]*Table_1[[#This Row],[DY]]</f>
        <v/>
      </c>
      <c r="M142" s="62">
        <f>$E$13</f>
        <v/>
      </c>
      <c r="N142" s="62" t="n">
        <v>0.3</v>
      </c>
      <c r="O142" s="62">
        <f>Table_1[[#This Row],[DPA]]/Table_1[[#This Row],[LPA]]</f>
        <v/>
      </c>
      <c r="P142" s="62">
        <f>IF(Table_1[[#This Row],[PAYOUT]]&lt;=40%,"CRESCIMENTO",IF(Table_1[[#This Row],[PAYOUT]]&lt;=60%,"INDEFINIDO","DIVIDENDOS"))</f>
        <v/>
      </c>
      <c r="Q142" s="62">
        <f>VLOOKUP(Table_1[[#This Row],[AÇÕES]],'Dados Status Invest'!A:R,18,0)/100</f>
        <v/>
      </c>
      <c r="R142" s="62">
        <f>VLOOKUP(Table_1[[#This Row],[AÇÕES]],'Dados Status Invest'!A:Y,25,0)/100</f>
        <v/>
      </c>
      <c r="S142" s="62">
        <f>(1-Table_1[[#This Row],[PAYOUT]])*Table_1[[#This Row],[ROE]]</f>
        <v/>
      </c>
      <c r="T142" s="98">
        <f>AVERAGE(Table_1[[#This Row],[CAGR LUCRO 5A]],Table_1[[#This Row],[CRESCIMENTO DAMODARAN]])</f>
        <v/>
      </c>
      <c r="U142" s="64">
        <f>(Table_1[[#This Row],[PREÇO JUSTO BAZIN]]-Table_1[[#This Row],[PREÇO]])/Table_1[[#This Row],[PREÇO JUSTO BAZIN]]</f>
        <v/>
      </c>
      <c r="V142" s="129">
        <f>Table_1[[#This Row],[DPA]]/6%</f>
        <v/>
      </c>
      <c r="W142" s="129">
        <f>Table_1[[#This Row],[PREÇO JUSTO BAZIN]]/(1+Table_1[[#This Row],[MARGEM DE DESCONTO]])</f>
        <v/>
      </c>
      <c r="X142" s="64">
        <f>(Table_1[[#This Row],[PREÇO JUSTO GRAHAM]]-Table_1[[#This Row],[PREÇO]])/Table_1[[#This Row],[PREÇO JUSTO GRAHAM]]</f>
        <v/>
      </c>
      <c r="Y142" s="129">
        <f>(22.5*Table_1[[#This Row],[LPA]]*Table_1[[#This Row],[VPA]])^0.5</f>
        <v/>
      </c>
      <c r="Z142" s="129">
        <f>Table_1[[#This Row],[PREÇO JUSTO GRAHAM]]/(1+Table_1[[#This Row],[MARGEM DE DESCONTO]])</f>
        <v/>
      </c>
      <c r="AA142" s="64">
        <f>(Table_1[[#This Row],[PREÇO JUSTO GORDON]]-Table_1[[#This Row],[PREÇO]])/Table_1[[#This Row],[PREÇO JUSTO GORDON]]</f>
        <v/>
      </c>
      <c r="AB142" s="130">
        <f>Table_1[[#This Row],[DPA]]*(1+Table_1[[#This Row],[MÉDIA DE CRESCIMENTO]])</f>
        <v/>
      </c>
      <c r="AC142" s="130">
        <f>Table_1[[#This Row],[D1]]/(Table_1[[#This Row],[RISCO]]-Table_1[[#This Row],[MÉDIA DE CRESCIMENTO]])</f>
        <v/>
      </c>
      <c r="AD142" s="130">
        <f>Table_1[[#This Row],[PREÇO JUSTO GORDON]]/(1+Table_1[[#This Row],[MARGEM DE DESCONTO]])</f>
        <v/>
      </c>
      <c r="AE142" s="78">
        <f>Table_1[[#This Row],[P/L]]/Table_1[[#This Row],[MÉDIA DE CRESCIMENTO]]</f>
        <v/>
      </c>
    </row>
    <row r="143" ht="15.75" customHeight="1">
      <c r="B143" s="77">
        <f>'Dados Status Invest'!A129</f>
        <v/>
      </c>
      <c r="C143" s="60">
        <f>VLOOKUP(Table_1[[#This Row],[AÇÕES]],'Classificação B3'!A:B,2,0)</f>
        <v/>
      </c>
      <c r="D143" s="60">
        <f>VLOOKUP(Table_1[[#This Row],[AÇÕES]],'Classificação B3'!A:D,4,0)</f>
        <v/>
      </c>
      <c r="E143" s="60">
        <f>VLOOKUP(Table_1[[#This Row],[AÇÕES]],'Classificação B3'!A:F,6,0)</f>
        <v/>
      </c>
      <c r="F143" s="60">
        <f>VLOOKUP(Table_1[[#This Row],[AÇÕES]],'Classificação B3'!A:G,7,0)</f>
        <v/>
      </c>
      <c r="G143" s="61">
        <f>VLOOKUP(Table_1[[#This Row],[AÇÕES]],'Dados Status Invest'!A:B,2,0)</f>
        <v/>
      </c>
      <c r="H143" s="62">
        <f>VLOOKUP(Table_1[[#This Row],[AÇÕES]],'Dados Status Invest'!A:C,3,0)/100</f>
        <v/>
      </c>
      <c r="I143" s="62">
        <f>VLOOKUP(Table_1[[#This Row],[AÇÕES]],'Dados Status Invest'!A:D,4,0)/100</f>
        <v/>
      </c>
      <c r="J143" s="63">
        <f>VLOOKUP(Table_1[[#This Row],[AÇÕES]],'Dados Status Invest'!A:AB,28,0)</f>
        <v/>
      </c>
      <c r="K143" s="63">
        <f>VLOOKUP(Table_1[[#This Row],[AÇÕES]],'Dados Status Invest'!A:AA,27,0)</f>
        <v/>
      </c>
      <c r="L143" s="63">
        <f>Table_1[[#This Row],[PREÇO]]*Table_1[[#This Row],[DY]]</f>
        <v/>
      </c>
      <c r="M143" s="62">
        <f>$E$13</f>
        <v/>
      </c>
      <c r="N143" s="62" t="n">
        <v>0.3</v>
      </c>
      <c r="O143" s="62">
        <f>Table_1[[#This Row],[DPA]]/Table_1[[#This Row],[LPA]]</f>
        <v/>
      </c>
      <c r="P143" s="62">
        <f>IF(Table_1[[#This Row],[PAYOUT]]&lt;=40%,"CRESCIMENTO",IF(Table_1[[#This Row],[PAYOUT]]&lt;=60%,"INDEFINIDO","DIVIDENDOS"))</f>
        <v/>
      </c>
      <c r="Q143" s="62">
        <f>VLOOKUP(Table_1[[#This Row],[AÇÕES]],'Dados Status Invest'!A:R,18,0)/100</f>
        <v/>
      </c>
      <c r="R143" s="62">
        <f>VLOOKUP(Table_1[[#This Row],[AÇÕES]],'Dados Status Invest'!A:Y,25,0)/100</f>
        <v/>
      </c>
      <c r="S143" s="62">
        <f>(1-Table_1[[#This Row],[PAYOUT]])*Table_1[[#This Row],[ROE]]</f>
        <v/>
      </c>
      <c r="T143" s="98">
        <f>AVERAGE(Table_1[[#This Row],[CAGR LUCRO 5A]],Table_1[[#This Row],[CRESCIMENTO DAMODARAN]])</f>
        <v/>
      </c>
      <c r="U143" s="64">
        <f>(Table_1[[#This Row],[PREÇO JUSTO BAZIN]]-Table_1[[#This Row],[PREÇO]])/Table_1[[#This Row],[PREÇO JUSTO BAZIN]]</f>
        <v/>
      </c>
      <c r="V143" s="129">
        <f>Table_1[[#This Row],[DPA]]/6%</f>
        <v/>
      </c>
      <c r="W143" s="129">
        <f>Table_1[[#This Row],[PREÇO JUSTO BAZIN]]/(1+Table_1[[#This Row],[MARGEM DE DESCONTO]])</f>
        <v/>
      </c>
      <c r="X143" s="64">
        <f>(Table_1[[#This Row],[PREÇO JUSTO GRAHAM]]-Table_1[[#This Row],[PREÇO]])/Table_1[[#This Row],[PREÇO JUSTO GRAHAM]]</f>
        <v/>
      </c>
      <c r="Y143" s="129">
        <f>(22.5*Table_1[[#This Row],[LPA]]*Table_1[[#This Row],[VPA]])^0.5</f>
        <v/>
      </c>
      <c r="Z143" s="129">
        <f>Table_1[[#This Row],[PREÇO JUSTO GRAHAM]]/(1+Table_1[[#This Row],[MARGEM DE DESCONTO]])</f>
        <v/>
      </c>
      <c r="AA143" s="64">
        <f>(Table_1[[#This Row],[PREÇO JUSTO GORDON]]-Table_1[[#This Row],[PREÇO]])/Table_1[[#This Row],[PREÇO JUSTO GORDON]]</f>
        <v/>
      </c>
      <c r="AB143" s="130">
        <f>Table_1[[#This Row],[DPA]]*(1+Table_1[[#This Row],[MÉDIA DE CRESCIMENTO]])</f>
        <v/>
      </c>
      <c r="AC143" s="130">
        <f>Table_1[[#This Row],[D1]]/(Table_1[[#This Row],[RISCO]]-Table_1[[#This Row],[MÉDIA DE CRESCIMENTO]])</f>
        <v/>
      </c>
      <c r="AD143" s="130">
        <f>Table_1[[#This Row],[PREÇO JUSTO GORDON]]/(1+Table_1[[#This Row],[MARGEM DE DESCONTO]])</f>
        <v/>
      </c>
      <c r="AE143" s="78">
        <f>Table_1[[#This Row],[P/L]]/Table_1[[#This Row],[MÉDIA DE CRESCIMENTO]]</f>
        <v/>
      </c>
    </row>
    <row r="144" ht="15.75" customHeight="1">
      <c r="B144" s="77">
        <f>'Dados Status Invest'!A130</f>
        <v/>
      </c>
      <c r="C144" s="60">
        <f>VLOOKUP(Table_1[[#This Row],[AÇÕES]],'Classificação B3'!A:B,2,0)</f>
        <v/>
      </c>
      <c r="D144" s="60">
        <f>VLOOKUP(Table_1[[#This Row],[AÇÕES]],'Classificação B3'!A:D,4,0)</f>
        <v/>
      </c>
      <c r="E144" s="60">
        <f>VLOOKUP(Table_1[[#This Row],[AÇÕES]],'Classificação B3'!A:F,6,0)</f>
        <v/>
      </c>
      <c r="F144" s="60">
        <f>VLOOKUP(Table_1[[#This Row],[AÇÕES]],'Classificação B3'!A:G,7,0)</f>
        <v/>
      </c>
      <c r="G144" s="61">
        <f>VLOOKUP(Table_1[[#This Row],[AÇÕES]],'Dados Status Invest'!A:B,2,0)</f>
        <v/>
      </c>
      <c r="H144" s="62">
        <f>VLOOKUP(Table_1[[#This Row],[AÇÕES]],'Dados Status Invest'!A:C,3,0)/100</f>
        <v/>
      </c>
      <c r="I144" s="62">
        <f>VLOOKUP(Table_1[[#This Row],[AÇÕES]],'Dados Status Invest'!A:D,4,0)/100</f>
        <v/>
      </c>
      <c r="J144" s="63">
        <f>VLOOKUP(Table_1[[#This Row],[AÇÕES]],'Dados Status Invest'!A:AB,28,0)</f>
        <v/>
      </c>
      <c r="K144" s="63">
        <f>VLOOKUP(Table_1[[#This Row],[AÇÕES]],'Dados Status Invest'!A:AA,27,0)</f>
        <v/>
      </c>
      <c r="L144" s="63">
        <f>Table_1[[#This Row],[PREÇO]]*Table_1[[#This Row],[DY]]</f>
        <v/>
      </c>
      <c r="M144" s="62">
        <f>$E$13</f>
        <v/>
      </c>
      <c r="N144" s="62" t="n">
        <v>0.3</v>
      </c>
      <c r="O144" s="62">
        <f>Table_1[[#This Row],[DPA]]/Table_1[[#This Row],[LPA]]</f>
        <v/>
      </c>
      <c r="P144" s="62">
        <f>IF(Table_1[[#This Row],[PAYOUT]]&lt;=40%,"CRESCIMENTO",IF(Table_1[[#This Row],[PAYOUT]]&lt;=60%,"INDEFINIDO","DIVIDENDOS"))</f>
        <v/>
      </c>
      <c r="Q144" s="62">
        <f>VLOOKUP(Table_1[[#This Row],[AÇÕES]],'Dados Status Invest'!A:R,18,0)/100</f>
        <v/>
      </c>
      <c r="R144" s="62">
        <f>VLOOKUP(Table_1[[#This Row],[AÇÕES]],'Dados Status Invest'!A:Y,25,0)/100</f>
        <v/>
      </c>
      <c r="S144" s="62">
        <f>(1-Table_1[[#This Row],[PAYOUT]])*Table_1[[#This Row],[ROE]]</f>
        <v/>
      </c>
      <c r="T144" s="98">
        <f>AVERAGE(Table_1[[#This Row],[CAGR LUCRO 5A]],Table_1[[#This Row],[CRESCIMENTO DAMODARAN]])</f>
        <v/>
      </c>
      <c r="U144" s="64">
        <f>(Table_1[[#This Row],[PREÇO JUSTO BAZIN]]-Table_1[[#This Row],[PREÇO]])/Table_1[[#This Row],[PREÇO JUSTO BAZIN]]</f>
        <v/>
      </c>
      <c r="V144" s="129">
        <f>Table_1[[#This Row],[DPA]]/6%</f>
        <v/>
      </c>
      <c r="W144" s="129">
        <f>Table_1[[#This Row],[PREÇO JUSTO BAZIN]]/(1+Table_1[[#This Row],[MARGEM DE DESCONTO]])</f>
        <v/>
      </c>
      <c r="X144" s="64">
        <f>(Table_1[[#This Row],[PREÇO JUSTO GRAHAM]]-Table_1[[#This Row],[PREÇO]])/Table_1[[#This Row],[PREÇO JUSTO GRAHAM]]</f>
        <v/>
      </c>
      <c r="Y144" s="129">
        <f>(22.5*Table_1[[#This Row],[LPA]]*Table_1[[#This Row],[VPA]])^0.5</f>
        <v/>
      </c>
      <c r="Z144" s="129">
        <f>Table_1[[#This Row],[PREÇO JUSTO GRAHAM]]/(1+Table_1[[#This Row],[MARGEM DE DESCONTO]])</f>
        <v/>
      </c>
      <c r="AA144" s="64">
        <f>(Table_1[[#This Row],[PREÇO JUSTO GORDON]]-Table_1[[#This Row],[PREÇO]])/Table_1[[#This Row],[PREÇO JUSTO GORDON]]</f>
        <v/>
      </c>
      <c r="AB144" s="130">
        <f>Table_1[[#This Row],[DPA]]*(1+Table_1[[#This Row],[MÉDIA DE CRESCIMENTO]])</f>
        <v/>
      </c>
      <c r="AC144" s="130">
        <f>Table_1[[#This Row],[D1]]/(Table_1[[#This Row],[RISCO]]-Table_1[[#This Row],[MÉDIA DE CRESCIMENTO]])</f>
        <v/>
      </c>
      <c r="AD144" s="130">
        <f>Table_1[[#This Row],[PREÇO JUSTO GORDON]]/(1+Table_1[[#This Row],[MARGEM DE DESCONTO]])</f>
        <v/>
      </c>
      <c r="AE144" s="78">
        <f>Table_1[[#This Row],[P/L]]/Table_1[[#This Row],[MÉDIA DE CRESCIMENTO]]</f>
        <v/>
      </c>
    </row>
    <row r="145" ht="15.75" customHeight="1">
      <c r="B145" s="77">
        <f>'Dados Status Invest'!A131</f>
        <v/>
      </c>
      <c r="C145" s="60">
        <f>VLOOKUP(Table_1[[#This Row],[AÇÕES]],'Classificação B3'!A:B,2,0)</f>
        <v/>
      </c>
      <c r="D145" s="60">
        <f>VLOOKUP(Table_1[[#This Row],[AÇÕES]],'Classificação B3'!A:D,4,0)</f>
        <v/>
      </c>
      <c r="E145" s="60">
        <f>VLOOKUP(Table_1[[#This Row],[AÇÕES]],'Classificação B3'!A:F,6,0)</f>
        <v/>
      </c>
      <c r="F145" s="60">
        <f>VLOOKUP(Table_1[[#This Row],[AÇÕES]],'Classificação B3'!A:G,7,0)</f>
        <v/>
      </c>
      <c r="G145" s="61">
        <f>VLOOKUP(Table_1[[#This Row],[AÇÕES]],'Dados Status Invest'!A:B,2,0)</f>
        <v/>
      </c>
      <c r="H145" s="62">
        <f>VLOOKUP(Table_1[[#This Row],[AÇÕES]],'Dados Status Invest'!A:C,3,0)/100</f>
        <v/>
      </c>
      <c r="I145" s="62">
        <f>VLOOKUP(Table_1[[#This Row],[AÇÕES]],'Dados Status Invest'!A:D,4,0)/100</f>
        <v/>
      </c>
      <c r="J145" s="63">
        <f>VLOOKUP(Table_1[[#This Row],[AÇÕES]],'Dados Status Invest'!A:AB,28,0)</f>
        <v/>
      </c>
      <c r="K145" s="63">
        <f>VLOOKUP(Table_1[[#This Row],[AÇÕES]],'Dados Status Invest'!A:AA,27,0)</f>
        <v/>
      </c>
      <c r="L145" s="63">
        <f>Table_1[[#This Row],[PREÇO]]*Table_1[[#This Row],[DY]]</f>
        <v/>
      </c>
      <c r="M145" s="62">
        <f>$E$13</f>
        <v/>
      </c>
      <c r="N145" s="62" t="n">
        <v>0.3</v>
      </c>
      <c r="O145" s="62">
        <f>Table_1[[#This Row],[DPA]]/Table_1[[#This Row],[LPA]]</f>
        <v/>
      </c>
      <c r="P145" s="62">
        <f>IF(Table_1[[#This Row],[PAYOUT]]&lt;=40%,"CRESCIMENTO",IF(Table_1[[#This Row],[PAYOUT]]&lt;=60%,"INDEFINIDO","DIVIDENDOS"))</f>
        <v/>
      </c>
      <c r="Q145" s="62">
        <f>VLOOKUP(Table_1[[#This Row],[AÇÕES]],'Dados Status Invest'!A:R,18,0)/100</f>
        <v/>
      </c>
      <c r="R145" s="62">
        <f>VLOOKUP(Table_1[[#This Row],[AÇÕES]],'Dados Status Invest'!A:Y,25,0)/100</f>
        <v/>
      </c>
      <c r="S145" s="62">
        <f>(1-Table_1[[#This Row],[PAYOUT]])*Table_1[[#This Row],[ROE]]</f>
        <v/>
      </c>
      <c r="T145" s="98">
        <f>AVERAGE(Table_1[[#This Row],[CAGR LUCRO 5A]],Table_1[[#This Row],[CRESCIMENTO DAMODARAN]])</f>
        <v/>
      </c>
      <c r="U145" s="64">
        <f>(Table_1[[#This Row],[PREÇO JUSTO BAZIN]]-Table_1[[#This Row],[PREÇO]])/Table_1[[#This Row],[PREÇO JUSTO BAZIN]]</f>
        <v/>
      </c>
      <c r="V145" s="129">
        <f>Table_1[[#This Row],[DPA]]/6%</f>
        <v/>
      </c>
      <c r="W145" s="129">
        <f>Table_1[[#This Row],[PREÇO JUSTO BAZIN]]/(1+Table_1[[#This Row],[MARGEM DE DESCONTO]])</f>
        <v/>
      </c>
      <c r="X145" s="64">
        <f>(Table_1[[#This Row],[PREÇO JUSTO GRAHAM]]-Table_1[[#This Row],[PREÇO]])/Table_1[[#This Row],[PREÇO JUSTO GRAHAM]]</f>
        <v/>
      </c>
      <c r="Y145" s="129">
        <f>(22.5*Table_1[[#This Row],[LPA]]*Table_1[[#This Row],[VPA]])^0.5</f>
        <v/>
      </c>
      <c r="Z145" s="129">
        <f>Table_1[[#This Row],[PREÇO JUSTO GRAHAM]]/(1+Table_1[[#This Row],[MARGEM DE DESCONTO]])</f>
        <v/>
      </c>
      <c r="AA145" s="64">
        <f>(Table_1[[#This Row],[PREÇO JUSTO GORDON]]-Table_1[[#This Row],[PREÇO]])/Table_1[[#This Row],[PREÇO JUSTO GORDON]]</f>
        <v/>
      </c>
      <c r="AB145" s="130">
        <f>Table_1[[#This Row],[DPA]]*(1+Table_1[[#This Row],[MÉDIA DE CRESCIMENTO]])</f>
        <v/>
      </c>
      <c r="AC145" s="130">
        <f>Table_1[[#This Row],[D1]]/(Table_1[[#This Row],[RISCO]]-Table_1[[#This Row],[MÉDIA DE CRESCIMENTO]])</f>
        <v/>
      </c>
      <c r="AD145" s="130">
        <f>Table_1[[#This Row],[PREÇO JUSTO GORDON]]/(1+Table_1[[#This Row],[MARGEM DE DESCONTO]])</f>
        <v/>
      </c>
      <c r="AE145" s="78">
        <f>Table_1[[#This Row],[P/L]]/Table_1[[#This Row],[MÉDIA DE CRESCIMENTO]]</f>
        <v/>
      </c>
    </row>
    <row r="146" ht="15.75" customHeight="1">
      <c r="B146" s="77">
        <f>'Dados Status Invest'!A132</f>
        <v/>
      </c>
      <c r="C146" s="60">
        <f>VLOOKUP(Table_1[[#This Row],[AÇÕES]],'Classificação B3'!A:B,2,0)</f>
        <v/>
      </c>
      <c r="D146" s="60">
        <f>VLOOKUP(Table_1[[#This Row],[AÇÕES]],'Classificação B3'!A:D,4,0)</f>
        <v/>
      </c>
      <c r="E146" s="60">
        <f>VLOOKUP(Table_1[[#This Row],[AÇÕES]],'Classificação B3'!A:F,6,0)</f>
        <v/>
      </c>
      <c r="F146" s="60">
        <f>VLOOKUP(Table_1[[#This Row],[AÇÕES]],'Classificação B3'!A:G,7,0)</f>
        <v/>
      </c>
      <c r="G146" s="61">
        <f>VLOOKUP(Table_1[[#This Row],[AÇÕES]],'Dados Status Invest'!A:B,2,0)</f>
        <v/>
      </c>
      <c r="H146" s="62">
        <f>VLOOKUP(Table_1[[#This Row],[AÇÕES]],'Dados Status Invest'!A:C,3,0)/100</f>
        <v/>
      </c>
      <c r="I146" s="62">
        <f>VLOOKUP(Table_1[[#This Row],[AÇÕES]],'Dados Status Invest'!A:D,4,0)/100</f>
        <v/>
      </c>
      <c r="J146" s="63">
        <f>VLOOKUP(Table_1[[#This Row],[AÇÕES]],'Dados Status Invest'!A:AB,28,0)</f>
        <v/>
      </c>
      <c r="K146" s="63">
        <f>VLOOKUP(Table_1[[#This Row],[AÇÕES]],'Dados Status Invest'!A:AA,27,0)</f>
        <v/>
      </c>
      <c r="L146" s="63">
        <f>Table_1[[#This Row],[PREÇO]]*Table_1[[#This Row],[DY]]</f>
        <v/>
      </c>
      <c r="M146" s="62">
        <f>$E$13</f>
        <v/>
      </c>
      <c r="N146" s="62" t="n">
        <v>0.3</v>
      </c>
      <c r="O146" s="62">
        <f>Table_1[[#This Row],[DPA]]/Table_1[[#This Row],[LPA]]</f>
        <v/>
      </c>
      <c r="P146" s="62">
        <f>IF(Table_1[[#This Row],[PAYOUT]]&lt;=40%,"CRESCIMENTO",IF(Table_1[[#This Row],[PAYOUT]]&lt;=60%,"INDEFINIDO","DIVIDENDOS"))</f>
        <v/>
      </c>
      <c r="Q146" s="62">
        <f>VLOOKUP(Table_1[[#This Row],[AÇÕES]],'Dados Status Invest'!A:R,18,0)/100</f>
        <v/>
      </c>
      <c r="R146" s="62">
        <f>VLOOKUP(Table_1[[#This Row],[AÇÕES]],'Dados Status Invest'!A:Y,25,0)/100</f>
        <v/>
      </c>
      <c r="S146" s="62">
        <f>(1-Table_1[[#This Row],[PAYOUT]])*Table_1[[#This Row],[ROE]]</f>
        <v/>
      </c>
      <c r="T146" s="98">
        <f>AVERAGE(Table_1[[#This Row],[CAGR LUCRO 5A]],Table_1[[#This Row],[CRESCIMENTO DAMODARAN]])</f>
        <v/>
      </c>
      <c r="U146" s="64">
        <f>(Table_1[[#This Row],[PREÇO JUSTO BAZIN]]-Table_1[[#This Row],[PREÇO]])/Table_1[[#This Row],[PREÇO JUSTO BAZIN]]</f>
        <v/>
      </c>
      <c r="V146" s="129">
        <f>Table_1[[#This Row],[DPA]]/6%</f>
        <v/>
      </c>
      <c r="W146" s="129">
        <f>Table_1[[#This Row],[PREÇO JUSTO BAZIN]]/(1+Table_1[[#This Row],[MARGEM DE DESCONTO]])</f>
        <v/>
      </c>
      <c r="X146" s="64">
        <f>(Table_1[[#This Row],[PREÇO JUSTO GRAHAM]]-Table_1[[#This Row],[PREÇO]])/Table_1[[#This Row],[PREÇO JUSTO GRAHAM]]</f>
        <v/>
      </c>
      <c r="Y146" s="129">
        <f>(22.5*Table_1[[#This Row],[LPA]]*Table_1[[#This Row],[VPA]])^0.5</f>
        <v/>
      </c>
      <c r="Z146" s="129">
        <f>Table_1[[#This Row],[PREÇO JUSTO GRAHAM]]/(1+Table_1[[#This Row],[MARGEM DE DESCONTO]])</f>
        <v/>
      </c>
      <c r="AA146" s="64">
        <f>(Table_1[[#This Row],[PREÇO JUSTO GORDON]]-Table_1[[#This Row],[PREÇO]])/Table_1[[#This Row],[PREÇO JUSTO GORDON]]</f>
        <v/>
      </c>
      <c r="AB146" s="130">
        <f>Table_1[[#This Row],[DPA]]*(1+Table_1[[#This Row],[MÉDIA DE CRESCIMENTO]])</f>
        <v/>
      </c>
      <c r="AC146" s="130">
        <f>Table_1[[#This Row],[D1]]/(Table_1[[#This Row],[RISCO]]-Table_1[[#This Row],[MÉDIA DE CRESCIMENTO]])</f>
        <v/>
      </c>
      <c r="AD146" s="130">
        <f>Table_1[[#This Row],[PREÇO JUSTO GORDON]]/(1+Table_1[[#This Row],[MARGEM DE DESCONTO]])</f>
        <v/>
      </c>
      <c r="AE146" s="78">
        <f>Table_1[[#This Row],[P/L]]/Table_1[[#This Row],[MÉDIA DE CRESCIMENTO]]</f>
        <v/>
      </c>
    </row>
    <row r="147" ht="15.75" customHeight="1">
      <c r="B147" s="77">
        <f>'Dados Status Invest'!A133</f>
        <v/>
      </c>
      <c r="C147" s="60">
        <f>VLOOKUP(Table_1[[#This Row],[AÇÕES]],'Classificação B3'!A:B,2,0)</f>
        <v/>
      </c>
      <c r="D147" s="60">
        <f>VLOOKUP(Table_1[[#This Row],[AÇÕES]],'Classificação B3'!A:D,4,0)</f>
        <v/>
      </c>
      <c r="E147" s="60">
        <f>VLOOKUP(Table_1[[#This Row],[AÇÕES]],'Classificação B3'!A:F,6,0)</f>
        <v/>
      </c>
      <c r="F147" s="60">
        <f>VLOOKUP(Table_1[[#This Row],[AÇÕES]],'Classificação B3'!A:G,7,0)</f>
        <v/>
      </c>
      <c r="G147" s="61">
        <f>VLOOKUP(Table_1[[#This Row],[AÇÕES]],'Dados Status Invest'!A:B,2,0)</f>
        <v/>
      </c>
      <c r="H147" s="62">
        <f>VLOOKUP(Table_1[[#This Row],[AÇÕES]],'Dados Status Invest'!A:C,3,0)/100</f>
        <v/>
      </c>
      <c r="I147" s="62">
        <f>VLOOKUP(Table_1[[#This Row],[AÇÕES]],'Dados Status Invest'!A:D,4,0)/100</f>
        <v/>
      </c>
      <c r="J147" s="63">
        <f>VLOOKUP(Table_1[[#This Row],[AÇÕES]],'Dados Status Invest'!A:AB,28,0)</f>
        <v/>
      </c>
      <c r="K147" s="63">
        <f>VLOOKUP(Table_1[[#This Row],[AÇÕES]],'Dados Status Invest'!A:AA,27,0)</f>
        <v/>
      </c>
      <c r="L147" s="63">
        <f>Table_1[[#This Row],[PREÇO]]*Table_1[[#This Row],[DY]]</f>
        <v/>
      </c>
      <c r="M147" s="62">
        <f>$E$13</f>
        <v/>
      </c>
      <c r="N147" s="62" t="n">
        <v>0.3</v>
      </c>
      <c r="O147" s="62">
        <f>Table_1[[#This Row],[DPA]]/Table_1[[#This Row],[LPA]]</f>
        <v/>
      </c>
      <c r="P147" s="62">
        <f>IF(Table_1[[#This Row],[PAYOUT]]&lt;=40%,"CRESCIMENTO",IF(Table_1[[#This Row],[PAYOUT]]&lt;=60%,"INDEFINIDO","DIVIDENDOS"))</f>
        <v/>
      </c>
      <c r="Q147" s="62">
        <f>VLOOKUP(Table_1[[#This Row],[AÇÕES]],'Dados Status Invest'!A:R,18,0)/100</f>
        <v/>
      </c>
      <c r="R147" s="62">
        <f>VLOOKUP(Table_1[[#This Row],[AÇÕES]],'Dados Status Invest'!A:Y,25,0)/100</f>
        <v/>
      </c>
      <c r="S147" s="62">
        <f>(1-Table_1[[#This Row],[PAYOUT]])*Table_1[[#This Row],[ROE]]</f>
        <v/>
      </c>
      <c r="T147" s="98">
        <f>AVERAGE(Table_1[[#This Row],[CAGR LUCRO 5A]],Table_1[[#This Row],[CRESCIMENTO DAMODARAN]])</f>
        <v/>
      </c>
      <c r="U147" s="64">
        <f>(Table_1[[#This Row],[PREÇO JUSTO BAZIN]]-Table_1[[#This Row],[PREÇO]])/Table_1[[#This Row],[PREÇO JUSTO BAZIN]]</f>
        <v/>
      </c>
      <c r="V147" s="129">
        <f>Table_1[[#This Row],[DPA]]/6%</f>
        <v/>
      </c>
      <c r="W147" s="129">
        <f>Table_1[[#This Row],[PREÇO JUSTO BAZIN]]/(1+Table_1[[#This Row],[MARGEM DE DESCONTO]])</f>
        <v/>
      </c>
      <c r="X147" s="64">
        <f>(Table_1[[#This Row],[PREÇO JUSTO GRAHAM]]-Table_1[[#This Row],[PREÇO]])/Table_1[[#This Row],[PREÇO JUSTO GRAHAM]]</f>
        <v/>
      </c>
      <c r="Y147" s="129">
        <f>(22.5*Table_1[[#This Row],[LPA]]*Table_1[[#This Row],[VPA]])^0.5</f>
        <v/>
      </c>
      <c r="Z147" s="129">
        <f>Table_1[[#This Row],[PREÇO JUSTO GRAHAM]]/(1+Table_1[[#This Row],[MARGEM DE DESCONTO]])</f>
        <v/>
      </c>
      <c r="AA147" s="64">
        <f>(Table_1[[#This Row],[PREÇO JUSTO GORDON]]-Table_1[[#This Row],[PREÇO]])/Table_1[[#This Row],[PREÇO JUSTO GORDON]]</f>
        <v/>
      </c>
      <c r="AB147" s="130">
        <f>Table_1[[#This Row],[DPA]]*(1+Table_1[[#This Row],[MÉDIA DE CRESCIMENTO]])</f>
        <v/>
      </c>
      <c r="AC147" s="130">
        <f>Table_1[[#This Row],[D1]]/(Table_1[[#This Row],[RISCO]]-Table_1[[#This Row],[MÉDIA DE CRESCIMENTO]])</f>
        <v/>
      </c>
      <c r="AD147" s="130">
        <f>Table_1[[#This Row],[PREÇO JUSTO GORDON]]/(1+Table_1[[#This Row],[MARGEM DE DESCONTO]])</f>
        <v/>
      </c>
      <c r="AE147" s="78">
        <f>Table_1[[#This Row],[P/L]]/Table_1[[#This Row],[MÉDIA DE CRESCIMENTO]]</f>
        <v/>
      </c>
    </row>
    <row r="148" ht="15.75" customHeight="1">
      <c r="B148" s="77">
        <f>'Dados Status Invest'!A134</f>
        <v/>
      </c>
      <c r="C148" s="60">
        <f>VLOOKUP(Table_1[[#This Row],[AÇÕES]],'Classificação B3'!A:B,2,0)</f>
        <v/>
      </c>
      <c r="D148" s="60">
        <f>VLOOKUP(Table_1[[#This Row],[AÇÕES]],'Classificação B3'!A:D,4,0)</f>
        <v/>
      </c>
      <c r="E148" s="60">
        <f>VLOOKUP(Table_1[[#This Row],[AÇÕES]],'Classificação B3'!A:F,6,0)</f>
        <v/>
      </c>
      <c r="F148" s="60">
        <f>VLOOKUP(Table_1[[#This Row],[AÇÕES]],'Classificação B3'!A:G,7,0)</f>
        <v/>
      </c>
      <c r="G148" s="61">
        <f>VLOOKUP(Table_1[[#This Row],[AÇÕES]],'Dados Status Invest'!A:B,2,0)</f>
        <v/>
      </c>
      <c r="H148" s="62">
        <f>VLOOKUP(Table_1[[#This Row],[AÇÕES]],'Dados Status Invest'!A:C,3,0)/100</f>
        <v/>
      </c>
      <c r="I148" s="62">
        <f>VLOOKUP(Table_1[[#This Row],[AÇÕES]],'Dados Status Invest'!A:D,4,0)/100</f>
        <v/>
      </c>
      <c r="J148" s="63">
        <f>VLOOKUP(Table_1[[#This Row],[AÇÕES]],'Dados Status Invest'!A:AB,28,0)</f>
        <v/>
      </c>
      <c r="K148" s="63">
        <f>VLOOKUP(Table_1[[#This Row],[AÇÕES]],'Dados Status Invest'!A:AA,27,0)</f>
        <v/>
      </c>
      <c r="L148" s="63">
        <f>Table_1[[#This Row],[PREÇO]]*Table_1[[#This Row],[DY]]</f>
        <v/>
      </c>
      <c r="M148" s="62">
        <f>$E$13</f>
        <v/>
      </c>
      <c r="N148" s="62" t="n">
        <v>0.3</v>
      </c>
      <c r="O148" s="62">
        <f>Table_1[[#This Row],[DPA]]/Table_1[[#This Row],[LPA]]</f>
        <v/>
      </c>
      <c r="P148" s="62">
        <f>IF(Table_1[[#This Row],[PAYOUT]]&lt;=40%,"CRESCIMENTO",IF(Table_1[[#This Row],[PAYOUT]]&lt;=60%,"INDEFINIDO","DIVIDENDOS"))</f>
        <v/>
      </c>
      <c r="Q148" s="62">
        <f>VLOOKUP(Table_1[[#This Row],[AÇÕES]],'Dados Status Invest'!A:R,18,0)/100</f>
        <v/>
      </c>
      <c r="R148" s="62">
        <f>VLOOKUP(Table_1[[#This Row],[AÇÕES]],'Dados Status Invest'!A:Y,25,0)/100</f>
        <v/>
      </c>
      <c r="S148" s="62">
        <f>(1-Table_1[[#This Row],[PAYOUT]])*Table_1[[#This Row],[ROE]]</f>
        <v/>
      </c>
      <c r="T148" s="98">
        <f>AVERAGE(Table_1[[#This Row],[CAGR LUCRO 5A]],Table_1[[#This Row],[CRESCIMENTO DAMODARAN]])</f>
        <v/>
      </c>
      <c r="U148" s="64">
        <f>(Table_1[[#This Row],[PREÇO JUSTO BAZIN]]-Table_1[[#This Row],[PREÇO]])/Table_1[[#This Row],[PREÇO JUSTO BAZIN]]</f>
        <v/>
      </c>
      <c r="V148" s="129">
        <f>Table_1[[#This Row],[DPA]]/6%</f>
        <v/>
      </c>
      <c r="W148" s="129">
        <f>Table_1[[#This Row],[PREÇO JUSTO BAZIN]]/(1+Table_1[[#This Row],[MARGEM DE DESCONTO]])</f>
        <v/>
      </c>
      <c r="X148" s="64">
        <f>(Table_1[[#This Row],[PREÇO JUSTO GRAHAM]]-Table_1[[#This Row],[PREÇO]])/Table_1[[#This Row],[PREÇO JUSTO GRAHAM]]</f>
        <v/>
      </c>
      <c r="Y148" s="129">
        <f>(22.5*Table_1[[#This Row],[LPA]]*Table_1[[#This Row],[VPA]])^0.5</f>
        <v/>
      </c>
      <c r="Z148" s="129">
        <f>Table_1[[#This Row],[PREÇO JUSTO GRAHAM]]/(1+Table_1[[#This Row],[MARGEM DE DESCONTO]])</f>
        <v/>
      </c>
      <c r="AA148" s="64">
        <f>(Table_1[[#This Row],[PREÇO JUSTO GORDON]]-Table_1[[#This Row],[PREÇO]])/Table_1[[#This Row],[PREÇO JUSTO GORDON]]</f>
        <v/>
      </c>
      <c r="AB148" s="130">
        <f>Table_1[[#This Row],[DPA]]*(1+Table_1[[#This Row],[MÉDIA DE CRESCIMENTO]])</f>
        <v/>
      </c>
      <c r="AC148" s="130">
        <f>Table_1[[#This Row],[D1]]/(Table_1[[#This Row],[RISCO]]-Table_1[[#This Row],[MÉDIA DE CRESCIMENTO]])</f>
        <v/>
      </c>
      <c r="AD148" s="130">
        <f>Table_1[[#This Row],[PREÇO JUSTO GORDON]]/(1+Table_1[[#This Row],[MARGEM DE DESCONTO]])</f>
        <v/>
      </c>
      <c r="AE148" s="78">
        <f>Table_1[[#This Row],[P/L]]/Table_1[[#This Row],[MÉDIA DE CRESCIMENTO]]</f>
        <v/>
      </c>
    </row>
    <row r="149" ht="15.75" customHeight="1">
      <c r="B149" s="77">
        <f>'Dados Status Invest'!A135</f>
        <v/>
      </c>
      <c r="C149" s="60">
        <f>VLOOKUP(Table_1[[#This Row],[AÇÕES]],'Classificação B3'!A:B,2,0)</f>
        <v/>
      </c>
      <c r="D149" s="60">
        <f>VLOOKUP(Table_1[[#This Row],[AÇÕES]],'Classificação B3'!A:D,4,0)</f>
        <v/>
      </c>
      <c r="E149" s="60">
        <f>VLOOKUP(Table_1[[#This Row],[AÇÕES]],'Classificação B3'!A:F,6,0)</f>
        <v/>
      </c>
      <c r="F149" s="60">
        <f>VLOOKUP(Table_1[[#This Row],[AÇÕES]],'Classificação B3'!A:G,7,0)</f>
        <v/>
      </c>
      <c r="G149" s="61">
        <f>VLOOKUP(Table_1[[#This Row],[AÇÕES]],'Dados Status Invest'!A:B,2,0)</f>
        <v/>
      </c>
      <c r="H149" s="62">
        <f>VLOOKUP(Table_1[[#This Row],[AÇÕES]],'Dados Status Invest'!A:C,3,0)/100</f>
        <v/>
      </c>
      <c r="I149" s="62">
        <f>VLOOKUP(Table_1[[#This Row],[AÇÕES]],'Dados Status Invest'!A:D,4,0)/100</f>
        <v/>
      </c>
      <c r="J149" s="63">
        <f>VLOOKUP(Table_1[[#This Row],[AÇÕES]],'Dados Status Invest'!A:AB,28,0)</f>
        <v/>
      </c>
      <c r="K149" s="63">
        <f>VLOOKUP(Table_1[[#This Row],[AÇÕES]],'Dados Status Invest'!A:AA,27,0)</f>
        <v/>
      </c>
      <c r="L149" s="63">
        <f>Table_1[[#This Row],[PREÇO]]*Table_1[[#This Row],[DY]]</f>
        <v/>
      </c>
      <c r="M149" s="62">
        <f>$E$13</f>
        <v/>
      </c>
      <c r="N149" s="62" t="n">
        <v>0.3</v>
      </c>
      <c r="O149" s="62">
        <f>Table_1[[#This Row],[DPA]]/Table_1[[#This Row],[LPA]]</f>
        <v/>
      </c>
      <c r="P149" s="62">
        <f>IF(Table_1[[#This Row],[PAYOUT]]&lt;=40%,"CRESCIMENTO",IF(Table_1[[#This Row],[PAYOUT]]&lt;=60%,"INDEFINIDO","DIVIDENDOS"))</f>
        <v/>
      </c>
      <c r="Q149" s="62">
        <f>VLOOKUP(Table_1[[#This Row],[AÇÕES]],'Dados Status Invest'!A:R,18,0)/100</f>
        <v/>
      </c>
      <c r="R149" s="62">
        <f>VLOOKUP(Table_1[[#This Row],[AÇÕES]],'Dados Status Invest'!A:Y,25,0)/100</f>
        <v/>
      </c>
      <c r="S149" s="62">
        <f>(1-Table_1[[#This Row],[PAYOUT]])*Table_1[[#This Row],[ROE]]</f>
        <v/>
      </c>
      <c r="T149" s="98">
        <f>AVERAGE(Table_1[[#This Row],[CAGR LUCRO 5A]],Table_1[[#This Row],[CRESCIMENTO DAMODARAN]])</f>
        <v/>
      </c>
      <c r="U149" s="64">
        <f>(Table_1[[#This Row],[PREÇO JUSTO BAZIN]]-Table_1[[#This Row],[PREÇO]])/Table_1[[#This Row],[PREÇO JUSTO BAZIN]]</f>
        <v/>
      </c>
      <c r="V149" s="129">
        <f>Table_1[[#This Row],[DPA]]/6%</f>
        <v/>
      </c>
      <c r="W149" s="129">
        <f>Table_1[[#This Row],[PREÇO JUSTO BAZIN]]/(1+Table_1[[#This Row],[MARGEM DE DESCONTO]])</f>
        <v/>
      </c>
      <c r="X149" s="64">
        <f>(Table_1[[#This Row],[PREÇO JUSTO GRAHAM]]-Table_1[[#This Row],[PREÇO]])/Table_1[[#This Row],[PREÇO JUSTO GRAHAM]]</f>
        <v/>
      </c>
      <c r="Y149" s="129">
        <f>(22.5*Table_1[[#This Row],[LPA]]*Table_1[[#This Row],[VPA]])^0.5</f>
        <v/>
      </c>
      <c r="Z149" s="129">
        <f>Table_1[[#This Row],[PREÇO JUSTO GRAHAM]]/(1+Table_1[[#This Row],[MARGEM DE DESCONTO]])</f>
        <v/>
      </c>
      <c r="AA149" s="64">
        <f>(Table_1[[#This Row],[PREÇO JUSTO GORDON]]-Table_1[[#This Row],[PREÇO]])/Table_1[[#This Row],[PREÇO JUSTO GORDON]]</f>
        <v/>
      </c>
      <c r="AB149" s="130">
        <f>Table_1[[#This Row],[DPA]]*(1+Table_1[[#This Row],[MÉDIA DE CRESCIMENTO]])</f>
        <v/>
      </c>
      <c r="AC149" s="130">
        <f>Table_1[[#This Row],[D1]]/(Table_1[[#This Row],[RISCO]]-Table_1[[#This Row],[MÉDIA DE CRESCIMENTO]])</f>
        <v/>
      </c>
      <c r="AD149" s="130">
        <f>Table_1[[#This Row],[PREÇO JUSTO GORDON]]/(1+Table_1[[#This Row],[MARGEM DE DESCONTO]])</f>
        <v/>
      </c>
      <c r="AE149" s="78">
        <f>Table_1[[#This Row],[P/L]]/Table_1[[#This Row],[MÉDIA DE CRESCIMENTO]]</f>
        <v/>
      </c>
    </row>
    <row r="150" ht="15.75" customHeight="1">
      <c r="B150" s="77">
        <f>'Dados Status Invest'!A136</f>
        <v/>
      </c>
      <c r="C150" s="60">
        <f>VLOOKUP(Table_1[[#This Row],[AÇÕES]],'Classificação B3'!A:B,2,0)</f>
        <v/>
      </c>
      <c r="D150" s="60">
        <f>VLOOKUP(Table_1[[#This Row],[AÇÕES]],'Classificação B3'!A:D,4,0)</f>
        <v/>
      </c>
      <c r="E150" s="60">
        <f>VLOOKUP(Table_1[[#This Row],[AÇÕES]],'Classificação B3'!A:F,6,0)</f>
        <v/>
      </c>
      <c r="F150" s="60">
        <f>VLOOKUP(Table_1[[#This Row],[AÇÕES]],'Classificação B3'!A:G,7,0)</f>
        <v/>
      </c>
      <c r="G150" s="61">
        <f>VLOOKUP(Table_1[[#This Row],[AÇÕES]],'Dados Status Invest'!A:B,2,0)</f>
        <v/>
      </c>
      <c r="H150" s="62">
        <f>VLOOKUP(Table_1[[#This Row],[AÇÕES]],'Dados Status Invest'!A:C,3,0)/100</f>
        <v/>
      </c>
      <c r="I150" s="62">
        <f>VLOOKUP(Table_1[[#This Row],[AÇÕES]],'Dados Status Invest'!A:D,4,0)/100</f>
        <v/>
      </c>
      <c r="J150" s="63">
        <f>VLOOKUP(Table_1[[#This Row],[AÇÕES]],'Dados Status Invest'!A:AB,28,0)</f>
        <v/>
      </c>
      <c r="K150" s="63">
        <f>VLOOKUP(Table_1[[#This Row],[AÇÕES]],'Dados Status Invest'!A:AA,27,0)</f>
        <v/>
      </c>
      <c r="L150" s="63">
        <f>Table_1[[#This Row],[PREÇO]]*Table_1[[#This Row],[DY]]</f>
        <v/>
      </c>
      <c r="M150" s="62">
        <f>$E$13</f>
        <v/>
      </c>
      <c r="N150" s="62" t="n">
        <v>0.3</v>
      </c>
      <c r="O150" s="62">
        <f>Table_1[[#This Row],[DPA]]/Table_1[[#This Row],[LPA]]</f>
        <v/>
      </c>
      <c r="P150" s="62">
        <f>IF(Table_1[[#This Row],[PAYOUT]]&lt;=40%,"CRESCIMENTO",IF(Table_1[[#This Row],[PAYOUT]]&lt;=60%,"INDEFINIDO","DIVIDENDOS"))</f>
        <v/>
      </c>
      <c r="Q150" s="62">
        <f>VLOOKUP(Table_1[[#This Row],[AÇÕES]],'Dados Status Invest'!A:R,18,0)/100</f>
        <v/>
      </c>
      <c r="R150" s="62">
        <f>VLOOKUP(Table_1[[#This Row],[AÇÕES]],'Dados Status Invest'!A:Y,25,0)/100</f>
        <v/>
      </c>
      <c r="S150" s="62">
        <f>(1-Table_1[[#This Row],[PAYOUT]])*Table_1[[#This Row],[ROE]]</f>
        <v/>
      </c>
      <c r="T150" s="98">
        <f>AVERAGE(Table_1[[#This Row],[CAGR LUCRO 5A]],Table_1[[#This Row],[CRESCIMENTO DAMODARAN]])</f>
        <v/>
      </c>
      <c r="U150" s="64">
        <f>(Table_1[[#This Row],[PREÇO JUSTO BAZIN]]-Table_1[[#This Row],[PREÇO]])/Table_1[[#This Row],[PREÇO JUSTO BAZIN]]</f>
        <v/>
      </c>
      <c r="V150" s="129">
        <f>Table_1[[#This Row],[DPA]]/6%</f>
        <v/>
      </c>
      <c r="W150" s="129">
        <f>Table_1[[#This Row],[PREÇO JUSTO BAZIN]]/(1+Table_1[[#This Row],[MARGEM DE DESCONTO]])</f>
        <v/>
      </c>
      <c r="X150" s="64">
        <f>(Table_1[[#This Row],[PREÇO JUSTO GRAHAM]]-Table_1[[#This Row],[PREÇO]])/Table_1[[#This Row],[PREÇO JUSTO GRAHAM]]</f>
        <v/>
      </c>
      <c r="Y150" s="129">
        <f>(22.5*Table_1[[#This Row],[LPA]]*Table_1[[#This Row],[VPA]])^0.5</f>
        <v/>
      </c>
      <c r="Z150" s="129">
        <f>Table_1[[#This Row],[PREÇO JUSTO GRAHAM]]/(1+Table_1[[#This Row],[MARGEM DE DESCONTO]])</f>
        <v/>
      </c>
      <c r="AA150" s="64">
        <f>(Table_1[[#This Row],[PREÇO JUSTO GORDON]]-Table_1[[#This Row],[PREÇO]])/Table_1[[#This Row],[PREÇO JUSTO GORDON]]</f>
        <v/>
      </c>
      <c r="AB150" s="130">
        <f>Table_1[[#This Row],[DPA]]*(1+Table_1[[#This Row],[MÉDIA DE CRESCIMENTO]])</f>
        <v/>
      </c>
      <c r="AC150" s="130">
        <f>Table_1[[#This Row],[D1]]/(Table_1[[#This Row],[RISCO]]-Table_1[[#This Row],[MÉDIA DE CRESCIMENTO]])</f>
        <v/>
      </c>
      <c r="AD150" s="130">
        <f>Table_1[[#This Row],[PREÇO JUSTO GORDON]]/(1+Table_1[[#This Row],[MARGEM DE DESCONTO]])</f>
        <v/>
      </c>
      <c r="AE150" s="78">
        <f>Table_1[[#This Row],[P/L]]/Table_1[[#This Row],[MÉDIA DE CRESCIMENTO]]</f>
        <v/>
      </c>
    </row>
    <row r="151" ht="15.75" customHeight="1">
      <c r="B151" s="77">
        <f>'Dados Status Invest'!A137</f>
        <v/>
      </c>
      <c r="C151" s="60">
        <f>VLOOKUP(Table_1[[#This Row],[AÇÕES]],'Classificação B3'!A:B,2,0)</f>
        <v/>
      </c>
      <c r="D151" s="60">
        <f>VLOOKUP(Table_1[[#This Row],[AÇÕES]],'Classificação B3'!A:D,4,0)</f>
        <v/>
      </c>
      <c r="E151" s="60">
        <f>VLOOKUP(Table_1[[#This Row],[AÇÕES]],'Classificação B3'!A:F,6,0)</f>
        <v/>
      </c>
      <c r="F151" s="60">
        <f>VLOOKUP(Table_1[[#This Row],[AÇÕES]],'Classificação B3'!A:G,7,0)</f>
        <v/>
      </c>
      <c r="G151" s="61">
        <f>VLOOKUP(Table_1[[#This Row],[AÇÕES]],'Dados Status Invest'!A:B,2,0)</f>
        <v/>
      </c>
      <c r="H151" s="62">
        <f>VLOOKUP(Table_1[[#This Row],[AÇÕES]],'Dados Status Invest'!A:C,3,0)/100</f>
        <v/>
      </c>
      <c r="I151" s="62">
        <f>VLOOKUP(Table_1[[#This Row],[AÇÕES]],'Dados Status Invest'!A:D,4,0)/100</f>
        <v/>
      </c>
      <c r="J151" s="63">
        <f>VLOOKUP(Table_1[[#This Row],[AÇÕES]],'Dados Status Invest'!A:AB,28,0)</f>
        <v/>
      </c>
      <c r="K151" s="63">
        <f>VLOOKUP(Table_1[[#This Row],[AÇÕES]],'Dados Status Invest'!A:AA,27,0)</f>
        <v/>
      </c>
      <c r="L151" s="63">
        <f>Table_1[[#This Row],[PREÇO]]*Table_1[[#This Row],[DY]]</f>
        <v/>
      </c>
      <c r="M151" s="62">
        <f>$E$13</f>
        <v/>
      </c>
      <c r="N151" s="62" t="n">
        <v>0.3</v>
      </c>
      <c r="O151" s="62">
        <f>Table_1[[#This Row],[DPA]]/Table_1[[#This Row],[LPA]]</f>
        <v/>
      </c>
      <c r="P151" s="62">
        <f>IF(Table_1[[#This Row],[PAYOUT]]&lt;=40%,"CRESCIMENTO",IF(Table_1[[#This Row],[PAYOUT]]&lt;=60%,"INDEFINIDO","DIVIDENDOS"))</f>
        <v/>
      </c>
      <c r="Q151" s="62">
        <f>VLOOKUP(Table_1[[#This Row],[AÇÕES]],'Dados Status Invest'!A:R,18,0)/100</f>
        <v/>
      </c>
      <c r="R151" s="62">
        <f>VLOOKUP(Table_1[[#This Row],[AÇÕES]],'Dados Status Invest'!A:Y,25,0)/100</f>
        <v/>
      </c>
      <c r="S151" s="62">
        <f>(1-Table_1[[#This Row],[PAYOUT]])*Table_1[[#This Row],[ROE]]</f>
        <v/>
      </c>
      <c r="T151" s="98">
        <f>AVERAGE(Table_1[[#This Row],[CAGR LUCRO 5A]],Table_1[[#This Row],[CRESCIMENTO DAMODARAN]])</f>
        <v/>
      </c>
      <c r="U151" s="64">
        <f>(Table_1[[#This Row],[PREÇO JUSTO BAZIN]]-Table_1[[#This Row],[PREÇO]])/Table_1[[#This Row],[PREÇO JUSTO BAZIN]]</f>
        <v/>
      </c>
      <c r="V151" s="129">
        <f>Table_1[[#This Row],[DPA]]/6%</f>
        <v/>
      </c>
      <c r="W151" s="129">
        <f>Table_1[[#This Row],[PREÇO JUSTO BAZIN]]/(1+Table_1[[#This Row],[MARGEM DE DESCONTO]])</f>
        <v/>
      </c>
      <c r="X151" s="64">
        <f>(Table_1[[#This Row],[PREÇO JUSTO GRAHAM]]-Table_1[[#This Row],[PREÇO]])/Table_1[[#This Row],[PREÇO JUSTO GRAHAM]]</f>
        <v/>
      </c>
      <c r="Y151" s="129">
        <f>(22.5*Table_1[[#This Row],[LPA]]*Table_1[[#This Row],[VPA]])^0.5</f>
        <v/>
      </c>
      <c r="Z151" s="129">
        <f>Table_1[[#This Row],[PREÇO JUSTO GRAHAM]]/(1+Table_1[[#This Row],[MARGEM DE DESCONTO]])</f>
        <v/>
      </c>
      <c r="AA151" s="64">
        <f>(Table_1[[#This Row],[PREÇO JUSTO GORDON]]-Table_1[[#This Row],[PREÇO]])/Table_1[[#This Row],[PREÇO JUSTO GORDON]]</f>
        <v/>
      </c>
      <c r="AB151" s="130">
        <f>Table_1[[#This Row],[DPA]]*(1+Table_1[[#This Row],[MÉDIA DE CRESCIMENTO]])</f>
        <v/>
      </c>
      <c r="AC151" s="130">
        <f>Table_1[[#This Row],[D1]]/(Table_1[[#This Row],[RISCO]]-Table_1[[#This Row],[MÉDIA DE CRESCIMENTO]])</f>
        <v/>
      </c>
      <c r="AD151" s="130">
        <f>Table_1[[#This Row],[PREÇO JUSTO GORDON]]/(1+Table_1[[#This Row],[MARGEM DE DESCONTO]])</f>
        <v/>
      </c>
      <c r="AE151" s="78">
        <f>Table_1[[#This Row],[P/L]]/Table_1[[#This Row],[MÉDIA DE CRESCIMENTO]]</f>
        <v/>
      </c>
    </row>
    <row r="152" ht="15.75" customHeight="1">
      <c r="B152" s="77">
        <f>'Dados Status Invest'!A138</f>
        <v/>
      </c>
      <c r="C152" s="60">
        <f>VLOOKUP(Table_1[[#This Row],[AÇÕES]],'Classificação B3'!A:B,2,0)</f>
        <v/>
      </c>
      <c r="D152" s="60">
        <f>VLOOKUP(Table_1[[#This Row],[AÇÕES]],'Classificação B3'!A:D,4,0)</f>
        <v/>
      </c>
      <c r="E152" s="60">
        <f>VLOOKUP(Table_1[[#This Row],[AÇÕES]],'Classificação B3'!A:F,6,0)</f>
        <v/>
      </c>
      <c r="F152" s="60">
        <f>VLOOKUP(Table_1[[#This Row],[AÇÕES]],'Classificação B3'!A:G,7,0)</f>
        <v/>
      </c>
      <c r="G152" s="61">
        <f>VLOOKUP(Table_1[[#This Row],[AÇÕES]],'Dados Status Invest'!A:B,2,0)</f>
        <v/>
      </c>
      <c r="H152" s="62">
        <f>VLOOKUP(Table_1[[#This Row],[AÇÕES]],'Dados Status Invest'!A:C,3,0)/100</f>
        <v/>
      </c>
      <c r="I152" s="62">
        <f>VLOOKUP(Table_1[[#This Row],[AÇÕES]],'Dados Status Invest'!A:D,4,0)/100</f>
        <v/>
      </c>
      <c r="J152" s="63">
        <f>VLOOKUP(Table_1[[#This Row],[AÇÕES]],'Dados Status Invest'!A:AB,28,0)</f>
        <v/>
      </c>
      <c r="K152" s="63">
        <f>VLOOKUP(Table_1[[#This Row],[AÇÕES]],'Dados Status Invest'!A:AA,27,0)</f>
        <v/>
      </c>
      <c r="L152" s="63">
        <f>Table_1[[#This Row],[PREÇO]]*Table_1[[#This Row],[DY]]</f>
        <v/>
      </c>
      <c r="M152" s="62">
        <f>$E$13</f>
        <v/>
      </c>
      <c r="N152" s="62" t="n">
        <v>0.3</v>
      </c>
      <c r="O152" s="62">
        <f>Table_1[[#This Row],[DPA]]/Table_1[[#This Row],[LPA]]</f>
        <v/>
      </c>
      <c r="P152" s="62">
        <f>IF(Table_1[[#This Row],[PAYOUT]]&lt;=40%,"CRESCIMENTO",IF(Table_1[[#This Row],[PAYOUT]]&lt;=60%,"INDEFINIDO","DIVIDENDOS"))</f>
        <v/>
      </c>
      <c r="Q152" s="62">
        <f>VLOOKUP(Table_1[[#This Row],[AÇÕES]],'Dados Status Invest'!A:R,18,0)/100</f>
        <v/>
      </c>
      <c r="R152" s="62">
        <f>VLOOKUP(Table_1[[#This Row],[AÇÕES]],'Dados Status Invest'!A:Y,25,0)/100</f>
        <v/>
      </c>
      <c r="S152" s="62">
        <f>(1-Table_1[[#This Row],[PAYOUT]])*Table_1[[#This Row],[ROE]]</f>
        <v/>
      </c>
      <c r="T152" s="98">
        <f>AVERAGE(Table_1[[#This Row],[CAGR LUCRO 5A]],Table_1[[#This Row],[CRESCIMENTO DAMODARAN]])</f>
        <v/>
      </c>
      <c r="U152" s="64">
        <f>(Table_1[[#This Row],[PREÇO JUSTO BAZIN]]-Table_1[[#This Row],[PREÇO]])/Table_1[[#This Row],[PREÇO JUSTO BAZIN]]</f>
        <v/>
      </c>
      <c r="V152" s="129">
        <f>Table_1[[#This Row],[DPA]]/6%</f>
        <v/>
      </c>
      <c r="W152" s="129">
        <f>Table_1[[#This Row],[PREÇO JUSTO BAZIN]]/(1+Table_1[[#This Row],[MARGEM DE DESCONTO]])</f>
        <v/>
      </c>
      <c r="X152" s="64">
        <f>(Table_1[[#This Row],[PREÇO JUSTO GRAHAM]]-Table_1[[#This Row],[PREÇO]])/Table_1[[#This Row],[PREÇO JUSTO GRAHAM]]</f>
        <v/>
      </c>
      <c r="Y152" s="129">
        <f>(22.5*Table_1[[#This Row],[LPA]]*Table_1[[#This Row],[VPA]])^0.5</f>
        <v/>
      </c>
      <c r="Z152" s="129">
        <f>Table_1[[#This Row],[PREÇO JUSTO GRAHAM]]/(1+Table_1[[#This Row],[MARGEM DE DESCONTO]])</f>
        <v/>
      </c>
      <c r="AA152" s="64">
        <f>(Table_1[[#This Row],[PREÇO JUSTO GORDON]]-Table_1[[#This Row],[PREÇO]])/Table_1[[#This Row],[PREÇO JUSTO GORDON]]</f>
        <v/>
      </c>
      <c r="AB152" s="130">
        <f>Table_1[[#This Row],[DPA]]*(1+Table_1[[#This Row],[MÉDIA DE CRESCIMENTO]])</f>
        <v/>
      </c>
      <c r="AC152" s="130">
        <f>Table_1[[#This Row],[D1]]/(Table_1[[#This Row],[RISCO]]-Table_1[[#This Row],[MÉDIA DE CRESCIMENTO]])</f>
        <v/>
      </c>
      <c r="AD152" s="130">
        <f>Table_1[[#This Row],[PREÇO JUSTO GORDON]]/(1+Table_1[[#This Row],[MARGEM DE DESCONTO]])</f>
        <v/>
      </c>
      <c r="AE152" s="78">
        <f>Table_1[[#This Row],[P/L]]/Table_1[[#This Row],[MÉDIA DE CRESCIMENTO]]</f>
        <v/>
      </c>
    </row>
    <row r="153" ht="15.75" customHeight="1">
      <c r="B153" s="77">
        <f>'Dados Status Invest'!A139</f>
        <v/>
      </c>
      <c r="C153" s="60">
        <f>VLOOKUP(Table_1[[#This Row],[AÇÕES]],'Classificação B3'!A:B,2,0)</f>
        <v/>
      </c>
      <c r="D153" s="60">
        <f>VLOOKUP(Table_1[[#This Row],[AÇÕES]],'Classificação B3'!A:D,4,0)</f>
        <v/>
      </c>
      <c r="E153" s="60">
        <f>VLOOKUP(Table_1[[#This Row],[AÇÕES]],'Classificação B3'!A:F,6,0)</f>
        <v/>
      </c>
      <c r="F153" s="60">
        <f>VLOOKUP(Table_1[[#This Row],[AÇÕES]],'Classificação B3'!A:G,7,0)</f>
        <v/>
      </c>
      <c r="G153" s="61">
        <f>VLOOKUP(Table_1[[#This Row],[AÇÕES]],'Dados Status Invest'!A:B,2,0)</f>
        <v/>
      </c>
      <c r="H153" s="62">
        <f>VLOOKUP(Table_1[[#This Row],[AÇÕES]],'Dados Status Invest'!A:C,3,0)/100</f>
        <v/>
      </c>
      <c r="I153" s="62">
        <f>VLOOKUP(Table_1[[#This Row],[AÇÕES]],'Dados Status Invest'!A:D,4,0)/100</f>
        <v/>
      </c>
      <c r="J153" s="63">
        <f>VLOOKUP(Table_1[[#This Row],[AÇÕES]],'Dados Status Invest'!A:AB,28,0)</f>
        <v/>
      </c>
      <c r="K153" s="63">
        <f>VLOOKUP(Table_1[[#This Row],[AÇÕES]],'Dados Status Invest'!A:AA,27,0)</f>
        <v/>
      </c>
      <c r="L153" s="63">
        <f>Table_1[[#This Row],[PREÇO]]*Table_1[[#This Row],[DY]]</f>
        <v/>
      </c>
      <c r="M153" s="62">
        <f>$E$13</f>
        <v/>
      </c>
      <c r="N153" s="62" t="n">
        <v>0.3</v>
      </c>
      <c r="O153" s="62">
        <f>Table_1[[#This Row],[DPA]]/Table_1[[#This Row],[LPA]]</f>
        <v/>
      </c>
      <c r="P153" s="62">
        <f>IF(Table_1[[#This Row],[PAYOUT]]&lt;=40%,"CRESCIMENTO",IF(Table_1[[#This Row],[PAYOUT]]&lt;=60%,"INDEFINIDO","DIVIDENDOS"))</f>
        <v/>
      </c>
      <c r="Q153" s="62">
        <f>VLOOKUP(Table_1[[#This Row],[AÇÕES]],'Dados Status Invest'!A:R,18,0)/100</f>
        <v/>
      </c>
      <c r="R153" s="62">
        <f>VLOOKUP(Table_1[[#This Row],[AÇÕES]],'Dados Status Invest'!A:Y,25,0)/100</f>
        <v/>
      </c>
      <c r="S153" s="62">
        <f>(1-Table_1[[#This Row],[PAYOUT]])*Table_1[[#This Row],[ROE]]</f>
        <v/>
      </c>
      <c r="T153" s="98">
        <f>AVERAGE(Table_1[[#This Row],[CAGR LUCRO 5A]],Table_1[[#This Row],[CRESCIMENTO DAMODARAN]])</f>
        <v/>
      </c>
      <c r="U153" s="64">
        <f>(Table_1[[#This Row],[PREÇO JUSTO BAZIN]]-Table_1[[#This Row],[PREÇO]])/Table_1[[#This Row],[PREÇO JUSTO BAZIN]]</f>
        <v/>
      </c>
      <c r="V153" s="129">
        <f>Table_1[[#This Row],[DPA]]/6%</f>
        <v/>
      </c>
      <c r="W153" s="129">
        <f>Table_1[[#This Row],[PREÇO JUSTO BAZIN]]/(1+Table_1[[#This Row],[MARGEM DE DESCONTO]])</f>
        <v/>
      </c>
      <c r="X153" s="64">
        <f>(Table_1[[#This Row],[PREÇO JUSTO GRAHAM]]-Table_1[[#This Row],[PREÇO]])/Table_1[[#This Row],[PREÇO JUSTO GRAHAM]]</f>
        <v/>
      </c>
      <c r="Y153" s="129">
        <f>(22.5*Table_1[[#This Row],[LPA]]*Table_1[[#This Row],[VPA]])^0.5</f>
        <v/>
      </c>
      <c r="Z153" s="129">
        <f>Table_1[[#This Row],[PREÇO JUSTO GRAHAM]]/(1+Table_1[[#This Row],[MARGEM DE DESCONTO]])</f>
        <v/>
      </c>
      <c r="AA153" s="64">
        <f>(Table_1[[#This Row],[PREÇO JUSTO GORDON]]-Table_1[[#This Row],[PREÇO]])/Table_1[[#This Row],[PREÇO JUSTO GORDON]]</f>
        <v/>
      </c>
      <c r="AB153" s="130">
        <f>Table_1[[#This Row],[DPA]]*(1+Table_1[[#This Row],[MÉDIA DE CRESCIMENTO]])</f>
        <v/>
      </c>
      <c r="AC153" s="130">
        <f>Table_1[[#This Row],[D1]]/(Table_1[[#This Row],[RISCO]]-Table_1[[#This Row],[MÉDIA DE CRESCIMENTO]])</f>
        <v/>
      </c>
      <c r="AD153" s="130">
        <f>Table_1[[#This Row],[PREÇO JUSTO GORDON]]/(1+Table_1[[#This Row],[MARGEM DE DESCONTO]])</f>
        <v/>
      </c>
      <c r="AE153" s="78">
        <f>Table_1[[#This Row],[P/L]]/Table_1[[#This Row],[MÉDIA DE CRESCIMENTO]]</f>
        <v/>
      </c>
    </row>
    <row r="154" ht="15.75" customHeight="1">
      <c r="B154" s="77">
        <f>'Dados Status Invest'!A140</f>
        <v/>
      </c>
      <c r="C154" s="60">
        <f>VLOOKUP(Table_1[[#This Row],[AÇÕES]],'Classificação B3'!A:B,2,0)</f>
        <v/>
      </c>
      <c r="D154" s="60">
        <f>VLOOKUP(Table_1[[#This Row],[AÇÕES]],'Classificação B3'!A:D,4,0)</f>
        <v/>
      </c>
      <c r="E154" s="60">
        <f>VLOOKUP(Table_1[[#This Row],[AÇÕES]],'Classificação B3'!A:F,6,0)</f>
        <v/>
      </c>
      <c r="F154" s="60">
        <f>VLOOKUP(Table_1[[#This Row],[AÇÕES]],'Classificação B3'!A:G,7,0)</f>
        <v/>
      </c>
      <c r="G154" s="61">
        <f>VLOOKUP(Table_1[[#This Row],[AÇÕES]],'Dados Status Invest'!A:B,2,0)</f>
        <v/>
      </c>
      <c r="H154" s="62">
        <f>VLOOKUP(Table_1[[#This Row],[AÇÕES]],'Dados Status Invest'!A:C,3,0)/100</f>
        <v/>
      </c>
      <c r="I154" s="62">
        <f>VLOOKUP(Table_1[[#This Row],[AÇÕES]],'Dados Status Invest'!A:D,4,0)/100</f>
        <v/>
      </c>
      <c r="J154" s="63">
        <f>VLOOKUP(Table_1[[#This Row],[AÇÕES]],'Dados Status Invest'!A:AB,28,0)</f>
        <v/>
      </c>
      <c r="K154" s="63">
        <f>VLOOKUP(Table_1[[#This Row],[AÇÕES]],'Dados Status Invest'!A:AA,27,0)</f>
        <v/>
      </c>
      <c r="L154" s="63">
        <f>Table_1[[#This Row],[PREÇO]]*Table_1[[#This Row],[DY]]</f>
        <v/>
      </c>
      <c r="M154" s="62">
        <f>$E$13</f>
        <v/>
      </c>
      <c r="N154" s="62" t="n">
        <v>0.3</v>
      </c>
      <c r="O154" s="62">
        <f>Table_1[[#This Row],[DPA]]/Table_1[[#This Row],[LPA]]</f>
        <v/>
      </c>
      <c r="P154" s="62">
        <f>IF(Table_1[[#This Row],[PAYOUT]]&lt;=40%,"CRESCIMENTO",IF(Table_1[[#This Row],[PAYOUT]]&lt;=60%,"INDEFINIDO","DIVIDENDOS"))</f>
        <v/>
      </c>
      <c r="Q154" s="62">
        <f>VLOOKUP(Table_1[[#This Row],[AÇÕES]],'Dados Status Invest'!A:R,18,0)/100</f>
        <v/>
      </c>
      <c r="R154" s="62">
        <f>VLOOKUP(Table_1[[#This Row],[AÇÕES]],'Dados Status Invest'!A:Y,25,0)/100</f>
        <v/>
      </c>
      <c r="S154" s="62">
        <f>(1-Table_1[[#This Row],[PAYOUT]])*Table_1[[#This Row],[ROE]]</f>
        <v/>
      </c>
      <c r="T154" s="98">
        <f>AVERAGE(Table_1[[#This Row],[CAGR LUCRO 5A]],Table_1[[#This Row],[CRESCIMENTO DAMODARAN]])</f>
        <v/>
      </c>
      <c r="U154" s="64">
        <f>(Table_1[[#This Row],[PREÇO JUSTO BAZIN]]-Table_1[[#This Row],[PREÇO]])/Table_1[[#This Row],[PREÇO JUSTO BAZIN]]</f>
        <v/>
      </c>
      <c r="V154" s="129">
        <f>Table_1[[#This Row],[DPA]]/6%</f>
        <v/>
      </c>
      <c r="W154" s="129">
        <f>Table_1[[#This Row],[PREÇO JUSTO BAZIN]]/(1+Table_1[[#This Row],[MARGEM DE DESCONTO]])</f>
        <v/>
      </c>
      <c r="X154" s="64">
        <f>(Table_1[[#This Row],[PREÇO JUSTO GRAHAM]]-Table_1[[#This Row],[PREÇO]])/Table_1[[#This Row],[PREÇO JUSTO GRAHAM]]</f>
        <v/>
      </c>
      <c r="Y154" s="129">
        <f>(22.5*Table_1[[#This Row],[LPA]]*Table_1[[#This Row],[VPA]])^0.5</f>
        <v/>
      </c>
      <c r="Z154" s="129">
        <f>Table_1[[#This Row],[PREÇO JUSTO GRAHAM]]/(1+Table_1[[#This Row],[MARGEM DE DESCONTO]])</f>
        <v/>
      </c>
      <c r="AA154" s="64">
        <f>(Table_1[[#This Row],[PREÇO JUSTO GORDON]]-Table_1[[#This Row],[PREÇO]])/Table_1[[#This Row],[PREÇO JUSTO GORDON]]</f>
        <v/>
      </c>
      <c r="AB154" s="130">
        <f>Table_1[[#This Row],[DPA]]*(1+Table_1[[#This Row],[MÉDIA DE CRESCIMENTO]])</f>
        <v/>
      </c>
      <c r="AC154" s="130">
        <f>Table_1[[#This Row],[D1]]/(Table_1[[#This Row],[RISCO]]-Table_1[[#This Row],[MÉDIA DE CRESCIMENTO]])</f>
        <v/>
      </c>
      <c r="AD154" s="130">
        <f>Table_1[[#This Row],[PREÇO JUSTO GORDON]]/(1+Table_1[[#This Row],[MARGEM DE DESCONTO]])</f>
        <v/>
      </c>
      <c r="AE154" s="78">
        <f>Table_1[[#This Row],[P/L]]/Table_1[[#This Row],[MÉDIA DE CRESCIMENTO]]</f>
        <v/>
      </c>
    </row>
    <row r="155" ht="15.75" customHeight="1">
      <c r="B155" s="77">
        <f>'Dados Status Invest'!A141</f>
        <v/>
      </c>
      <c r="C155" s="60">
        <f>VLOOKUP(Table_1[[#This Row],[AÇÕES]],'Classificação B3'!A:B,2,0)</f>
        <v/>
      </c>
      <c r="D155" s="60">
        <f>VLOOKUP(Table_1[[#This Row],[AÇÕES]],'Classificação B3'!A:D,4,0)</f>
        <v/>
      </c>
      <c r="E155" s="60">
        <f>VLOOKUP(Table_1[[#This Row],[AÇÕES]],'Classificação B3'!A:F,6,0)</f>
        <v/>
      </c>
      <c r="F155" s="60">
        <f>VLOOKUP(Table_1[[#This Row],[AÇÕES]],'Classificação B3'!A:G,7,0)</f>
        <v/>
      </c>
      <c r="G155" s="61">
        <f>VLOOKUP(Table_1[[#This Row],[AÇÕES]],'Dados Status Invest'!A:B,2,0)</f>
        <v/>
      </c>
      <c r="H155" s="62">
        <f>VLOOKUP(Table_1[[#This Row],[AÇÕES]],'Dados Status Invest'!A:C,3,0)/100</f>
        <v/>
      </c>
      <c r="I155" s="62">
        <f>VLOOKUP(Table_1[[#This Row],[AÇÕES]],'Dados Status Invest'!A:D,4,0)/100</f>
        <v/>
      </c>
      <c r="J155" s="63">
        <f>VLOOKUP(Table_1[[#This Row],[AÇÕES]],'Dados Status Invest'!A:AB,28,0)</f>
        <v/>
      </c>
      <c r="K155" s="63">
        <f>VLOOKUP(Table_1[[#This Row],[AÇÕES]],'Dados Status Invest'!A:AA,27,0)</f>
        <v/>
      </c>
      <c r="L155" s="63">
        <f>Table_1[[#This Row],[PREÇO]]*Table_1[[#This Row],[DY]]</f>
        <v/>
      </c>
      <c r="M155" s="62">
        <f>$E$13</f>
        <v/>
      </c>
      <c r="N155" s="62" t="n">
        <v>0.3</v>
      </c>
      <c r="O155" s="62">
        <f>Table_1[[#This Row],[DPA]]/Table_1[[#This Row],[LPA]]</f>
        <v/>
      </c>
      <c r="P155" s="62">
        <f>IF(Table_1[[#This Row],[PAYOUT]]&lt;=40%,"CRESCIMENTO",IF(Table_1[[#This Row],[PAYOUT]]&lt;=60%,"INDEFINIDO","DIVIDENDOS"))</f>
        <v/>
      </c>
      <c r="Q155" s="62">
        <f>VLOOKUP(Table_1[[#This Row],[AÇÕES]],'Dados Status Invest'!A:R,18,0)/100</f>
        <v/>
      </c>
      <c r="R155" s="62">
        <f>VLOOKUP(Table_1[[#This Row],[AÇÕES]],'Dados Status Invest'!A:Y,25,0)/100</f>
        <v/>
      </c>
      <c r="S155" s="62">
        <f>(1-Table_1[[#This Row],[PAYOUT]])*Table_1[[#This Row],[ROE]]</f>
        <v/>
      </c>
      <c r="T155" s="98">
        <f>AVERAGE(Table_1[[#This Row],[CAGR LUCRO 5A]],Table_1[[#This Row],[CRESCIMENTO DAMODARAN]])</f>
        <v/>
      </c>
      <c r="U155" s="64">
        <f>(Table_1[[#This Row],[PREÇO JUSTO BAZIN]]-Table_1[[#This Row],[PREÇO]])/Table_1[[#This Row],[PREÇO JUSTO BAZIN]]</f>
        <v/>
      </c>
      <c r="V155" s="129">
        <f>Table_1[[#This Row],[DPA]]/6%</f>
        <v/>
      </c>
      <c r="W155" s="129">
        <f>Table_1[[#This Row],[PREÇO JUSTO BAZIN]]/(1+Table_1[[#This Row],[MARGEM DE DESCONTO]])</f>
        <v/>
      </c>
      <c r="X155" s="64">
        <f>(Table_1[[#This Row],[PREÇO JUSTO GRAHAM]]-Table_1[[#This Row],[PREÇO]])/Table_1[[#This Row],[PREÇO JUSTO GRAHAM]]</f>
        <v/>
      </c>
      <c r="Y155" s="129">
        <f>(22.5*Table_1[[#This Row],[LPA]]*Table_1[[#This Row],[VPA]])^0.5</f>
        <v/>
      </c>
      <c r="Z155" s="129">
        <f>Table_1[[#This Row],[PREÇO JUSTO GRAHAM]]/(1+Table_1[[#This Row],[MARGEM DE DESCONTO]])</f>
        <v/>
      </c>
      <c r="AA155" s="64">
        <f>(Table_1[[#This Row],[PREÇO JUSTO GORDON]]-Table_1[[#This Row],[PREÇO]])/Table_1[[#This Row],[PREÇO JUSTO GORDON]]</f>
        <v/>
      </c>
      <c r="AB155" s="130">
        <f>Table_1[[#This Row],[DPA]]*(1+Table_1[[#This Row],[MÉDIA DE CRESCIMENTO]])</f>
        <v/>
      </c>
      <c r="AC155" s="130">
        <f>Table_1[[#This Row],[D1]]/(Table_1[[#This Row],[RISCO]]-Table_1[[#This Row],[MÉDIA DE CRESCIMENTO]])</f>
        <v/>
      </c>
      <c r="AD155" s="130">
        <f>Table_1[[#This Row],[PREÇO JUSTO GORDON]]/(1+Table_1[[#This Row],[MARGEM DE DESCONTO]])</f>
        <v/>
      </c>
      <c r="AE155" s="78">
        <f>Table_1[[#This Row],[P/L]]/Table_1[[#This Row],[MÉDIA DE CRESCIMENTO]]</f>
        <v/>
      </c>
    </row>
    <row r="156" ht="15.75" customHeight="1">
      <c r="B156" s="77">
        <f>'Dados Status Invest'!A142</f>
        <v/>
      </c>
      <c r="C156" s="60">
        <f>VLOOKUP(Table_1[[#This Row],[AÇÕES]],'Classificação B3'!A:B,2,0)</f>
        <v/>
      </c>
      <c r="D156" s="60">
        <f>VLOOKUP(Table_1[[#This Row],[AÇÕES]],'Classificação B3'!A:D,4,0)</f>
        <v/>
      </c>
      <c r="E156" s="60">
        <f>VLOOKUP(Table_1[[#This Row],[AÇÕES]],'Classificação B3'!A:F,6,0)</f>
        <v/>
      </c>
      <c r="F156" s="60">
        <f>VLOOKUP(Table_1[[#This Row],[AÇÕES]],'Classificação B3'!A:G,7,0)</f>
        <v/>
      </c>
      <c r="G156" s="61">
        <f>VLOOKUP(Table_1[[#This Row],[AÇÕES]],'Dados Status Invest'!A:B,2,0)</f>
        <v/>
      </c>
      <c r="H156" s="62">
        <f>VLOOKUP(Table_1[[#This Row],[AÇÕES]],'Dados Status Invest'!A:C,3,0)/100</f>
        <v/>
      </c>
      <c r="I156" s="62">
        <f>VLOOKUP(Table_1[[#This Row],[AÇÕES]],'Dados Status Invest'!A:D,4,0)/100</f>
        <v/>
      </c>
      <c r="J156" s="63">
        <f>VLOOKUP(Table_1[[#This Row],[AÇÕES]],'Dados Status Invest'!A:AB,28,0)</f>
        <v/>
      </c>
      <c r="K156" s="63">
        <f>VLOOKUP(Table_1[[#This Row],[AÇÕES]],'Dados Status Invest'!A:AA,27,0)</f>
        <v/>
      </c>
      <c r="L156" s="63">
        <f>Table_1[[#This Row],[PREÇO]]*Table_1[[#This Row],[DY]]</f>
        <v/>
      </c>
      <c r="M156" s="62">
        <f>$E$13</f>
        <v/>
      </c>
      <c r="N156" s="62" t="n">
        <v>0.3</v>
      </c>
      <c r="O156" s="62">
        <f>Table_1[[#This Row],[DPA]]/Table_1[[#This Row],[LPA]]</f>
        <v/>
      </c>
      <c r="P156" s="62">
        <f>IF(Table_1[[#This Row],[PAYOUT]]&lt;=40%,"CRESCIMENTO",IF(Table_1[[#This Row],[PAYOUT]]&lt;=60%,"INDEFINIDO","DIVIDENDOS"))</f>
        <v/>
      </c>
      <c r="Q156" s="62">
        <f>VLOOKUP(Table_1[[#This Row],[AÇÕES]],'Dados Status Invest'!A:R,18,0)/100</f>
        <v/>
      </c>
      <c r="R156" s="62">
        <f>VLOOKUP(Table_1[[#This Row],[AÇÕES]],'Dados Status Invest'!A:Y,25,0)/100</f>
        <v/>
      </c>
      <c r="S156" s="62">
        <f>(1-Table_1[[#This Row],[PAYOUT]])*Table_1[[#This Row],[ROE]]</f>
        <v/>
      </c>
      <c r="T156" s="98">
        <f>AVERAGE(Table_1[[#This Row],[CAGR LUCRO 5A]],Table_1[[#This Row],[CRESCIMENTO DAMODARAN]])</f>
        <v/>
      </c>
      <c r="U156" s="64">
        <f>(Table_1[[#This Row],[PREÇO JUSTO BAZIN]]-Table_1[[#This Row],[PREÇO]])/Table_1[[#This Row],[PREÇO JUSTO BAZIN]]</f>
        <v/>
      </c>
      <c r="V156" s="129">
        <f>Table_1[[#This Row],[DPA]]/6%</f>
        <v/>
      </c>
      <c r="W156" s="129">
        <f>Table_1[[#This Row],[PREÇO JUSTO BAZIN]]/(1+Table_1[[#This Row],[MARGEM DE DESCONTO]])</f>
        <v/>
      </c>
      <c r="X156" s="64">
        <f>(Table_1[[#This Row],[PREÇO JUSTO GRAHAM]]-Table_1[[#This Row],[PREÇO]])/Table_1[[#This Row],[PREÇO JUSTO GRAHAM]]</f>
        <v/>
      </c>
      <c r="Y156" s="129">
        <f>(22.5*Table_1[[#This Row],[LPA]]*Table_1[[#This Row],[VPA]])^0.5</f>
        <v/>
      </c>
      <c r="Z156" s="129">
        <f>Table_1[[#This Row],[PREÇO JUSTO GRAHAM]]/(1+Table_1[[#This Row],[MARGEM DE DESCONTO]])</f>
        <v/>
      </c>
      <c r="AA156" s="64">
        <f>(Table_1[[#This Row],[PREÇO JUSTO GORDON]]-Table_1[[#This Row],[PREÇO]])/Table_1[[#This Row],[PREÇO JUSTO GORDON]]</f>
        <v/>
      </c>
      <c r="AB156" s="130">
        <f>Table_1[[#This Row],[DPA]]*(1+Table_1[[#This Row],[MÉDIA DE CRESCIMENTO]])</f>
        <v/>
      </c>
      <c r="AC156" s="130">
        <f>Table_1[[#This Row],[D1]]/(Table_1[[#This Row],[RISCO]]-Table_1[[#This Row],[MÉDIA DE CRESCIMENTO]])</f>
        <v/>
      </c>
      <c r="AD156" s="130">
        <f>Table_1[[#This Row],[PREÇO JUSTO GORDON]]/(1+Table_1[[#This Row],[MARGEM DE DESCONTO]])</f>
        <v/>
      </c>
      <c r="AE156" s="78">
        <f>Table_1[[#This Row],[P/L]]/Table_1[[#This Row],[MÉDIA DE CRESCIMENTO]]</f>
        <v/>
      </c>
    </row>
    <row r="157" ht="15.75" customHeight="1">
      <c r="B157" s="77">
        <f>'Dados Status Invest'!A143</f>
        <v/>
      </c>
      <c r="C157" s="60">
        <f>VLOOKUP(Table_1[[#This Row],[AÇÕES]],'Classificação B3'!A:B,2,0)</f>
        <v/>
      </c>
      <c r="D157" s="60">
        <f>VLOOKUP(Table_1[[#This Row],[AÇÕES]],'Classificação B3'!A:D,4,0)</f>
        <v/>
      </c>
      <c r="E157" s="60">
        <f>VLOOKUP(Table_1[[#This Row],[AÇÕES]],'Classificação B3'!A:F,6,0)</f>
        <v/>
      </c>
      <c r="F157" s="60">
        <f>VLOOKUP(Table_1[[#This Row],[AÇÕES]],'Classificação B3'!A:G,7,0)</f>
        <v/>
      </c>
      <c r="G157" s="61">
        <f>VLOOKUP(Table_1[[#This Row],[AÇÕES]],'Dados Status Invest'!A:B,2,0)</f>
        <v/>
      </c>
      <c r="H157" s="62">
        <f>VLOOKUP(Table_1[[#This Row],[AÇÕES]],'Dados Status Invest'!A:C,3,0)/100</f>
        <v/>
      </c>
      <c r="I157" s="62">
        <f>VLOOKUP(Table_1[[#This Row],[AÇÕES]],'Dados Status Invest'!A:D,4,0)/100</f>
        <v/>
      </c>
      <c r="J157" s="63">
        <f>VLOOKUP(Table_1[[#This Row],[AÇÕES]],'Dados Status Invest'!A:AB,28,0)</f>
        <v/>
      </c>
      <c r="K157" s="63">
        <f>VLOOKUP(Table_1[[#This Row],[AÇÕES]],'Dados Status Invest'!A:AA,27,0)</f>
        <v/>
      </c>
      <c r="L157" s="63">
        <f>Table_1[[#This Row],[PREÇO]]*Table_1[[#This Row],[DY]]</f>
        <v/>
      </c>
      <c r="M157" s="62">
        <f>$E$13</f>
        <v/>
      </c>
      <c r="N157" s="62" t="n">
        <v>0.3</v>
      </c>
      <c r="O157" s="62">
        <f>Table_1[[#This Row],[DPA]]/Table_1[[#This Row],[LPA]]</f>
        <v/>
      </c>
      <c r="P157" s="62">
        <f>IF(Table_1[[#This Row],[PAYOUT]]&lt;=40%,"CRESCIMENTO",IF(Table_1[[#This Row],[PAYOUT]]&lt;=60%,"INDEFINIDO","DIVIDENDOS"))</f>
        <v/>
      </c>
      <c r="Q157" s="62">
        <f>VLOOKUP(Table_1[[#This Row],[AÇÕES]],'Dados Status Invest'!A:R,18,0)/100</f>
        <v/>
      </c>
      <c r="R157" s="62">
        <f>VLOOKUP(Table_1[[#This Row],[AÇÕES]],'Dados Status Invest'!A:Y,25,0)/100</f>
        <v/>
      </c>
      <c r="S157" s="62">
        <f>(1-Table_1[[#This Row],[PAYOUT]])*Table_1[[#This Row],[ROE]]</f>
        <v/>
      </c>
      <c r="T157" s="98">
        <f>AVERAGE(Table_1[[#This Row],[CAGR LUCRO 5A]],Table_1[[#This Row],[CRESCIMENTO DAMODARAN]])</f>
        <v/>
      </c>
      <c r="U157" s="64">
        <f>(Table_1[[#This Row],[PREÇO JUSTO BAZIN]]-Table_1[[#This Row],[PREÇO]])/Table_1[[#This Row],[PREÇO JUSTO BAZIN]]</f>
        <v/>
      </c>
      <c r="V157" s="129">
        <f>Table_1[[#This Row],[DPA]]/6%</f>
        <v/>
      </c>
      <c r="W157" s="129">
        <f>Table_1[[#This Row],[PREÇO JUSTO BAZIN]]/(1+Table_1[[#This Row],[MARGEM DE DESCONTO]])</f>
        <v/>
      </c>
      <c r="X157" s="64">
        <f>(Table_1[[#This Row],[PREÇO JUSTO GRAHAM]]-Table_1[[#This Row],[PREÇO]])/Table_1[[#This Row],[PREÇO JUSTO GRAHAM]]</f>
        <v/>
      </c>
      <c r="Y157" s="129">
        <f>(22.5*Table_1[[#This Row],[LPA]]*Table_1[[#This Row],[VPA]])^0.5</f>
        <v/>
      </c>
      <c r="Z157" s="129">
        <f>Table_1[[#This Row],[PREÇO JUSTO GRAHAM]]/(1+Table_1[[#This Row],[MARGEM DE DESCONTO]])</f>
        <v/>
      </c>
      <c r="AA157" s="64">
        <f>(Table_1[[#This Row],[PREÇO JUSTO GORDON]]-Table_1[[#This Row],[PREÇO]])/Table_1[[#This Row],[PREÇO JUSTO GORDON]]</f>
        <v/>
      </c>
      <c r="AB157" s="130">
        <f>Table_1[[#This Row],[DPA]]*(1+Table_1[[#This Row],[MÉDIA DE CRESCIMENTO]])</f>
        <v/>
      </c>
      <c r="AC157" s="130">
        <f>Table_1[[#This Row],[D1]]/(Table_1[[#This Row],[RISCO]]-Table_1[[#This Row],[MÉDIA DE CRESCIMENTO]])</f>
        <v/>
      </c>
      <c r="AD157" s="130">
        <f>Table_1[[#This Row],[PREÇO JUSTO GORDON]]/(1+Table_1[[#This Row],[MARGEM DE DESCONTO]])</f>
        <v/>
      </c>
      <c r="AE157" s="78">
        <f>Table_1[[#This Row],[P/L]]/Table_1[[#This Row],[MÉDIA DE CRESCIMENTO]]</f>
        <v/>
      </c>
    </row>
    <row r="158" ht="15.75" customHeight="1">
      <c r="B158" s="77">
        <f>'Dados Status Invest'!A144</f>
        <v/>
      </c>
      <c r="C158" s="60">
        <f>VLOOKUP(Table_1[[#This Row],[AÇÕES]],'Classificação B3'!A:B,2,0)</f>
        <v/>
      </c>
      <c r="D158" s="60">
        <f>VLOOKUP(Table_1[[#This Row],[AÇÕES]],'Classificação B3'!A:D,4,0)</f>
        <v/>
      </c>
      <c r="E158" s="60">
        <f>VLOOKUP(Table_1[[#This Row],[AÇÕES]],'Classificação B3'!A:F,6,0)</f>
        <v/>
      </c>
      <c r="F158" s="60">
        <f>VLOOKUP(Table_1[[#This Row],[AÇÕES]],'Classificação B3'!A:G,7,0)</f>
        <v/>
      </c>
      <c r="G158" s="61">
        <f>VLOOKUP(Table_1[[#This Row],[AÇÕES]],'Dados Status Invest'!A:B,2,0)</f>
        <v/>
      </c>
      <c r="H158" s="62">
        <f>VLOOKUP(Table_1[[#This Row],[AÇÕES]],'Dados Status Invest'!A:C,3,0)/100</f>
        <v/>
      </c>
      <c r="I158" s="62">
        <f>VLOOKUP(Table_1[[#This Row],[AÇÕES]],'Dados Status Invest'!A:D,4,0)/100</f>
        <v/>
      </c>
      <c r="J158" s="63">
        <f>VLOOKUP(Table_1[[#This Row],[AÇÕES]],'Dados Status Invest'!A:AB,28,0)</f>
        <v/>
      </c>
      <c r="K158" s="63">
        <f>VLOOKUP(Table_1[[#This Row],[AÇÕES]],'Dados Status Invest'!A:AA,27,0)</f>
        <v/>
      </c>
      <c r="L158" s="63">
        <f>Table_1[[#This Row],[PREÇO]]*Table_1[[#This Row],[DY]]</f>
        <v/>
      </c>
      <c r="M158" s="62">
        <f>$E$13</f>
        <v/>
      </c>
      <c r="N158" s="62" t="n">
        <v>0.3</v>
      </c>
      <c r="O158" s="62">
        <f>Table_1[[#This Row],[DPA]]/Table_1[[#This Row],[LPA]]</f>
        <v/>
      </c>
      <c r="P158" s="62">
        <f>IF(Table_1[[#This Row],[PAYOUT]]&lt;=40%,"CRESCIMENTO",IF(Table_1[[#This Row],[PAYOUT]]&lt;=60%,"INDEFINIDO","DIVIDENDOS"))</f>
        <v/>
      </c>
      <c r="Q158" s="62">
        <f>VLOOKUP(Table_1[[#This Row],[AÇÕES]],'Dados Status Invest'!A:R,18,0)/100</f>
        <v/>
      </c>
      <c r="R158" s="62">
        <f>VLOOKUP(Table_1[[#This Row],[AÇÕES]],'Dados Status Invest'!A:Y,25,0)/100</f>
        <v/>
      </c>
      <c r="S158" s="62">
        <f>(1-Table_1[[#This Row],[PAYOUT]])*Table_1[[#This Row],[ROE]]</f>
        <v/>
      </c>
      <c r="T158" s="98">
        <f>AVERAGE(Table_1[[#This Row],[CAGR LUCRO 5A]],Table_1[[#This Row],[CRESCIMENTO DAMODARAN]])</f>
        <v/>
      </c>
      <c r="U158" s="64">
        <f>(Table_1[[#This Row],[PREÇO JUSTO BAZIN]]-Table_1[[#This Row],[PREÇO]])/Table_1[[#This Row],[PREÇO JUSTO BAZIN]]</f>
        <v/>
      </c>
      <c r="V158" s="129">
        <f>Table_1[[#This Row],[DPA]]/6%</f>
        <v/>
      </c>
      <c r="W158" s="129">
        <f>Table_1[[#This Row],[PREÇO JUSTO BAZIN]]/(1+Table_1[[#This Row],[MARGEM DE DESCONTO]])</f>
        <v/>
      </c>
      <c r="X158" s="64">
        <f>(Table_1[[#This Row],[PREÇO JUSTO GRAHAM]]-Table_1[[#This Row],[PREÇO]])/Table_1[[#This Row],[PREÇO JUSTO GRAHAM]]</f>
        <v/>
      </c>
      <c r="Y158" s="129">
        <f>(22.5*Table_1[[#This Row],[LPA]]*Table_1[[#This Row],[VPA]])^0.5</f>
        <v/>
      </c>
      <c r="Z158" s="129">
        <f>Table_1[[#This Row],[PREÇO JUSTO GRAHAM]]/(1+Table_1[[#This Row],[MARGEM DE DESCONTO]])</f>
        <v/>
      </c>
      <c r="AA158" s="64">
        <f>(Table_1[[#This Row],[PREÇO JUSTO GORDON]]-Table_1[[#This Row],[PREÇO]])/Table_1[[#This Row],[PREÇO JUSTO GORDON]]</f>
        <v/>
      </c>
      <c r="AB158" s="130">
        <f>Table_1[[#This Row],[DPA]]*(1+Table_1[[#This Row],[MÉDIA DE CRESCIMENTO]])</f>
        <v/>
      </c>
      <c r="AC158" s="130">
        <f>Table_1[[#This Row],[D1]]/(Table_1[[#This Row],[RISCO]]-Table_1[[#This Row],[MÉDIA DE CRESCIMENTO]])</f>
        <v/>
      </c>
      <c r="AD158" s="130">
        <f>Table_1[[#This Row],[PREÇO JUSTO GORDON]]/(1+Table_1[[#This Row],[MARGEM DE DESCONTO]])</f>
        <v/>
      </c>
      <c r="AE158" s="78">
        <f>Table_1[[#This Row],[P/L]]/Table_1[[#This Row],[MÉDIA DE CRESCIMENTO]]</f>
        <v/>
      </c>
    </row>
    <row r="159" ht="15.75" customHeight="1">
      <c r="B159" s="77">
        <f>'Dados Status Invest'!A145</f>
        <v/>
      </c>
      <c r="C159" s="60">
        <f>VLOOKUP(Table_1[[#This Row],[AÇÕES]],'Classificação B3'!A:B,2,0)</f>
        <v/>
      </c>
      <c r="D159" s="60">
        <f>VLOOKUP(Table_1[[#This Row],[AÇÕES]],'Classificação B3'!A:D,4,0)</f>
        <v/>
      </c>
      <c r="E159" s="60">
        <f>VLOOKUP(Table_1[[#This Row],[AÇÕES]],'Classificação B3'!A:F,6,0)</f>
        <v/>
      </c>
      <c r="F159" s="60">
        <f>VLOOKUP(Table_1[[#This Row],[AÇÕES]],'Classificação B3'!A:G,7,0)</f>
        <v/>
      </c>
      <c r="G159" s="61">
        <f>VLOOKUP(Table_1[[#This Row],[AÇÕES]],'Dados Status Invest'!A:B,2,0)</f>
        <v/>
      </c>
      <c r="H159" s="62">
        <f>VLOOKUP(Table_1[[#This Row],[AÇÕES]],'Dados Status Invest'!A:C,3,0)/100</f>
        <v/>
      </c>
      <c r="I159" s="62">
        <f>VLOOKUP(Table_1[[#This Row],[AÇÕES]],'Dados Status Invest'!A:D,4,0)/100</f>
        <v/>
      </c>
      <c r="J159" s="63">
        <f>VLOOKUP(Table_1[[#This Row],[AÇÕES]],'Dados Status Invest'!A:AB,28,0)</f>
        <v/>
      </c>
      <c r="K159" s="63">
        <f>VLOOKUP(Table_1[[#This Row],[AÇÕES]],'Dados Status Invest'!A:AA,27,0)</f>
        <v/>
      </c>
      <c r="L159" s="63">
        <f>Table_1[[#This Row],[PREÇO]]*Table_1[[#This Row],[DY]]</f>
        <v/>
      </c>
      <c r="M159" s="62">
        <f>$E$13</f>
        <v/>
      </c>
      <c r="N159" s="62" t="n">
        <v>0.3</v>
      </c>
      <c r="O159" s="62">
        <f>Table_1[[#This Row],[DPA]]/Table_1[[#This Row],[LPA]]</f>
        <v/>
      </c>
      <c r="P159" s="62">
        <f>IF(Table_1[[#This Row],[PAYOUT]]&lt;=40%,"CRESCIMENTO",IF(Table_1[[#This Row],[PAYOUT]]&lt;=60%,"INDEFINIDO","DIVIDENDOS"))</f>
        <v/>
      </c>
      <c r="Q159" s="62">
        <f>VLOOKUP(Table_1[[#This Row],[AÇÕES]],'Dados Status Invest'!A:R,18,0)/100</f>
        <v/>
      </c>
      <c r="R159" s="62">
        <f>VLOOKUP(Table_1[[#This Row],[AÇÕES]],'Dados Status Invest'!A:Y,25,0)/100</f>
        <v/>
      </c>
      <c r="S159" s="62">
        <f>(1-Table_1[[#This Row],[PAYOUT]])*Table_1[[#This Row],[ROE]]</f>
        <v/>
      </c>
      <c r="T159" s="98">
        <f>AVERAGE(Table_1[[#This Row],[CAGR LUCRO 5A]],Table_1[[#This Row],[CRESCIMENTO DAMODARAN]])</f>
        <v/>
      </c>
      <c r="U159" s="64">
        <f>(Table_1[[#This Row],[PREÇO JUSTO BAZIN]]-Table_1[[#This Row],[PREÇO]])/Table_1[[#This Row],[PREÇO JUSTO BAZIN]]</f>
        <v/>
      </c>
      <c r="V159" s="129">
        <f>Table_1[[#This Row],[DPA]]/6%</f>
        <v/>
      </c>
      <c r="W159" s="129">
        <f>Table_1[[#This Row],[PREÇO JUSTO BAZIN]]/(1+Table_1[[#This Row],[MARGEM DE DESCONTO]])</f>
        <v/>
      </c>
      <c r="X159" s="64">
        <f>(Table_1[[#This Row],[PREÇO JUSTO GRAHAM]]-Table_1[[#This Row],[PREÇO]])/Table_1[[#This Row],[PREÇO JUSTO GRAHAM]]</f>
        <v/>
      </c>
      <c r="Y159" s="129">
        <f>(22.5*Table_1[[#This Row],[LPA]]*Table_1[[#This Row],[VPA]])^0.5</f>
        <v/>
      </c>
      <c r="Z159" s="129">
        <f>Table_1[[#This Row],[PREÇO JUSTO GRAHAM]]/(1+Table_1[[#This Row],[MARGEM DE DESCONTO]])</f>
        <v/>
      </c>
      <c r="AA159" s="64">
        <f>(Table_1[[#This Row],[PREÇO JUSTO GORDON]]-Table_1[[#This Row],[PREÇO]])/Table_1[[#This Row],[PREÇO JUSTO GORDON]]</f>
        <v/>
      </c>
      <c r="AB159" s="130">
        <f>Table_1[[#This Row],[DPA]]*(1+Table_1[[#This Row],[MÉDIA DE CRESCIMENTO]])</f>
        <v/>
      </c>
      <c r="AC159" s="130">
        <f>Table_1[[#This Row],[D1]]/(Table_1[[#This Row],[RISCO]]-Table_1[[#This Row],[MÉDIA DE CRESCIMENTO]])</f>
        <v/>
      </c>
      <c r="AD159" s="130">
        <f>Table_1[[#This Row],[PREÇO JUSTO GORDON]]/(1+Table_1[[#This Row],[MARGEM DE DESCONTO]])</f>
        <v/>
      </c>
      <c r="AE159" s="78">
        <f>Table_1[[#This Row],[P/L]]/Table_1[[#This Row],[MÉDIA DE CRESCIMENTO]]</f>
        <v/>
      </c>
    </row>
    <row r="160" ht="15.75" customHeight="1">
      <c r="B160" s="77">
        <f>'Dados Status Invest'!A146</f>
        <v/>
      </c>
      <c r="C160" s="60">
        <f>VLOOKUP(Table_1[[#This Row],[AÇÕES]],'Classificação B3'!A:B,2,0)</f>
        <v/>
      </c>
      <c r="D160" s="60">
        <f>VLOOKUP(Table_1[[#This Row],[AÇÕES]],'Classificação B3'!A:D,4,0)</f>
        <v/>
      </c>
      <c r="E160" s="60">
        <f>VLOOKUP(Table_1[[#This Row],[AÇÕES]],'Classificação B3'!A:F,6,0)</f>
        <v/>
      </c>
      <c r="F160" s="60">
        <f>VLOOKUP(Table_1[[#This Row],[AÇÕES]],'Classificação B3'!A:G,7,0)</f>
        <v/>
      </c>
      <c r="G160" s="61">
        <f>VLOOKUP(Table_1[[#This Row],[AÇÕES]],'Dados Status Invest'!A:B,2,0)</f>
        <v/>
      </c>
      <c r="H160" s="62">
        <f>VLOOKUP(Table_1[[#This Row],[AÇÕES]],'Dados Status Invest'!A:C,3,0)/100</f>
        <v/>
      </c>
      <c r="I160" s="62">
        <f>VLOOKUP(Table_1[[#This Row],[AÇÕES]],'Dados Status Invest'!A:D,4,0)/100</f>
        <v/>
      </c>
      <c r="J160" s="63">
        <f>VLOOKUP(Table_1[[#This Row],[AÇÕES]],'Dados Status Invest'!A:AB,28,0)</f>
        <v/>
      </c>
      <c r="K160" s="63">
        <f>VLOOKUP(Table_1[[#This Row],[AÇÕES]],'Dados Status Invest'!A:AA,27,0)</f>
        <v/>
      </c>
      <c r="L160" s="63">
        <f>Table_1[[#This Row],[PREÇO]]*Table_1[[#This Row],[DY]]</f>
        <v/>
      </c>
      <c r="M160" s="62">
        <f>$E$13</f>
        <v/>
      </c>
      <c r="N160" s="62" t="n">
        <v>0.3</v>
      </c>
      <c r="O160" s="62">
        <f>Table_1[[#This Row],[DPA]]/Table_1[[#This Row],[LPA]]</f>
        <v/>
      </c>
      <c r="P160" s="62">
        <f>IF(Table_1[[#This Row],[PAYOUT]]&lt;=40%,"CRESCIMENTO",IF(Table_1[[#This Row],[PAYOUT]]&lt;=60%,"INDEFINIDO","DIVIDENDOS"))</f>
        <v/>
      </c>
      <c r="Q160" s="62">
        <f>VLOOKUP(Table_1[[#This Row],[AÇÕES]],'Dados Status Invest'!A:R,18,0)/100</f>
        <v/>
      </c>
      <c r="R160" s="62">
        <f>VLOOKUP(Table_1[[#This Row],[AÇÕES]],'Dados Status Invest'!A:Y,25,0)/100</f>
        <v/>
      </c>
      <c r="S160" s="62">
        <f>(1-Table_1[[#This Row],[PAYOUT]])*Table_1[[#This Row],[ROE]]</f>
        <v/>
      </c>
      <c r="T160" s="98">
        <f>AVERAGE(Table_1[[#This Row],[CAGR LUCRO 5A]],Table_1[[#This Row],[CRESCIMENTO DAMODARAN]])</f>
        <v/>
      </c>
      <c r="U160" s="64">
        <f>(Table_1[[#This Row],[PREÇO JUSTO BAZIN]]-Table_1[[#This Row],[PREÇO]])/Table_1[[#This Row],[PREÇO JUSTO BAZIN]]</f>
        <v/>
      </c>
      <c r="V160" s="129">
        <f>Table_1[[#This Row],[DPA]]/6%</f>
        <v/>
      </c>
      <c r="W160" s="129">
        <f>Table_1[[#This Row],[PREÇO JUSTO BAZIN]]/(1+Table_1[[#This Row],[MARGEM DE DESCONTO]])</f>
        <v/>
      </c>
      <c r="X160" s="64">
        <f>(Table_1[[#This Row],[PREÇO JUSTO GRAHAM]]-Table_1[[#This Row],[PREÇO]])/Table_1[[#This Row],[PREÇO JUSTO GRAHAM]]</f>
        <v/>
      </c>
      <c r="Y160" s="129">
        <f>(22.5*Table_1[[#This Row],[LPA]]*Table_1[[#This Row],[VPA]])^0.5</f>
        <v/>
      </c>
      <c r="Z160" s="129">
        <f>Table_1[[#This Row],[PREÇO JUSTO GRAHAM]]/(1+Table_1[[#This Row],[MARGEM DE DESCONTO]])</f>
        <v/>
      </c>
      <c r="AA160" s="64">
        <f>(Table_1[[#This Row],[PREÇO JUSTO GORDON]]-Table_1[[#This Row],[PREÇO]])/Table_1[[#This Row],[PREÇO JUSTO GORDON]]</f>
        <v/>
      </c>
      <c r="AB160" s="130">
        <f>Table_1[[#This Row],[DPA]]*(1+Table_1[[#This Row],[MÉDIA DE CRESCIMENTO]])</f>
        <v/>
      </c>
      <c r="AC160" s="130">
        <f>Table_1[[#This Row],[D1]]/(Table_1[[#This Row],[RISCO]]-Table_1[[#This Row],[MÉDIA DE CRESCIMENTO]])</f>
        <v/>
      </c>
      <c r="AD160" s="130">
        <f>Table_1[[#This Row],[PREÇO JUSTO GORDON]]/(1+Table_1[[#This Row],[MARGEM DE DESCONTO]])</f>
        <v/>
      </c>
      <c r="AE160" s="78">
        <f>Table_1[[#This Row],[P/L]]/Table_1[[#This Row],[MÉDIA DE CRESCIMENTO]]</f>
        <v/>
      </c>
    </row>
    <row r="161" ht="15.75" customHeight="1">
      <c r="B161" s="77">
        <f>'Dados Status Invest'!A147</f>
        <v/>
      </c>
      <c r="C161" s="60">
        <f>VLOOKUP(Table_1[[#This Row],[AÇÕES]],'Classificação B3'!A:B,2,0)</f>
        <v/>
      </c>
      <c r="D161" s="60">
        <f>VLOOKUP(Table_1[[#This Row],[AÇÕES]],'Classificação B3'!A:D,4,0)</f>
        <v/>
      </c>
      <c r="E161" s="60">
        <f>VLOOKUP(Table_1[[#This Row],[AÇÕES]],'Classificação B3'!A:F,6,0)</f>
        <v/>
      </c>
      <c r="F161" s="60">
        <f>VLOOKUP(Table_1[[#This Row],[AÇÕES]],'Classificação B3'!A:G,7,0)</f>
        <v/>
      </c>
      <c r="G161" s="61">
        <f>VLOOKUP(Table_1[[#This Row],[AÇÕES]],'Dados Status Invest'!A:B,2,0)</f>
        <v/>
      </c>
      <c r="H161" s="62">
        <f>VLOOKUP(Table_1[[#This Row],[AÇÕES]],'Dados Status Invest'!A:C,3,0)/100</f>
        <v/>
      </c>
      <c r="I161" s="62">
        <f>VLOOKUP(Table_1[[#This Row],[AÇÕES]],'Dados Status Invest'!A:D,4,0)/100</f>
        <v/>
      </c>
      <c r="J161" s="63">
        <f>VLOOKUP(Table_1[[#This Row],[AÇÕES]],'Dados Status Invest'!A:AB,28,0)</f>
        <v/>
      </c>
      <c r="K161" s="63">
        <f>VLOOKUP(Table_1[[#This Row],[AÇÕES]],'Dados Status Invest'!A:AA,27,0)</f>
        <v/>
      </c>
      <c r="L161" s="63">
        <f>Table_1[[#This Row],[PREÇO]]*Table_1[[#This Row],[DY]]</f>
        <v/>
      </c>
      <c r="M161" s="62">
        <f>$E$13</f>
        <v/>
      </c>
      <c r="N161" s="62" t="n">
        <v>0.3</v>
      </c>
      <c r="O161" s="62">
        <f>Table_1[[#This Row],[DPA]]/Table_1[[#This Row],[LPA]]</f>
        <v/>
      </c>
      <c r="P161" s="62">
        <f>IF(Table_1[[#This Row],[PAYOUT]]&lt;=40%,"CRESCIMENTO",IF(Table_1[[#This Row],[PAYOUT]]&lt;=60%,"INDEFINIDO","DIVIDENDOS"))</f>
        <v/>
      </c>
      <c r="Q161" s="62">
        <f>VLOOKUP(Table_1[[#This Row],[AÇÕES]],'Dados Status Invest'!A:R,18,0)/100</f>
        <v/>
      </c>
      <c r="R161" s="62">
        <f>VLOOKUP(Table_1[[#This Row],[AÇÕES]],'Dados Status Invest'!A:Y,25,0)/100</f>
        <v/>
      </c>
      <c r="S161" s="62">
        <f>(1-Table_1[[#This Row],[PAYOUT]])*Table_1[[#This Row],[ROE]]</f>
        <v/>
      </c>
      <c r="T161" s="98">
        <f>AVERAGE(Table_1[[#This Row],[CAGR LUCRO 5A]],Table_1[[#This Row],[CRESCIMENTO DAMODARAN]])</f>
        <v/>
      </c>
      <c r="U161" s="64">
        <f>(Table_1[[#This Row],[PREÇO JUSTO BAZIN]]-Table_1[[#This Row],[PREÇO]])/Table_1[[#This Row],[PREÇO JUSTO BAZIN]]</f>
        <v/>
      </c>
      <c r="V161" s="129">
        <f>Table_1[[#This Row],[DPA]]/6%</f>
        <v/>
      </c>
      <c r="W161" s="129">
        <f>Table_1[[#This Row],[PREÇO JUSTO BAZIN]]/(1+Table_1[[#This Row],[MARGEM DE DESCONTO]])</f>
        <v/>
      </c>
      <c r="X161" s="64">
        <f>(Table_1[[#This Row],[PREÇO JUSTO GRAHAM]]-Table_1[[#This Row],[PREÇO]])/Table_1[[#This Row],[PREÇO JUSTO GRAHAM]]</f>
        <v/>
      </c>
      <c r="Y161" s="129">
        <f>(22.5*Table_1[[#This Row],[LPA]]*Table_1[[#This Row],[VPA]])^0.5</f>
        <v/>
      </c>
      <c r="Z161" s="129">
        <f>Table_1[[#This Row],[PREÇO JUSTO GRAHAM]]/(1+Table_1[[#This Row],[MARGEM DE DESCONTO]])</f>
        <v/>
      </c>
      <c r="AA161" s="64">
        <f>(Table_1[[#This Row],[PREÇO JUSTO GORDON]]-Table_1[[#This Row],[PREÇO]])/Table_1[[#This Row],[PREÇO JUSTO GORDON]]</f>
        <v/>
      </c>
      <c r="AB161" s="130">
        <f>Table_1[[#This Row],[DPA]]*(1+Table_1[[#This Row],[MÉDIA DE CRESCIMENTO]])</f>
        <v/>
      </c>
      <c r="AC161" s="130">
        <f>Table_1[[#This Row],[D1]]/(Table_1[[#This Row],[RISCO]]-Table_1[[#This Row],[MÉDIA DE CRESCIMENTO]])</f>
        <v/>
      </c>
      <c r="AD161" s="130">
        <f>Table_1[[#This Row],[PREÇO JUSTO GORDON]]/(1+Table_1[[#This Row],[MARGEM DE DESCONTO]])</f>
        <v/>
      </c>
      <c r="AE161" s="78">
        <f>Table_1[[#This Row],[P/L]]/Table_1[[#This Row],[MÉDIA DE CRESCIMENTO]]</f>
        <v/>
      </c>
    </row>
    <row r="162" ht="15.75" customHeight="1">
      <c r="B162" s="77">
        <f>'Dados Status Invest'!A148</f>
        <v/>
      </c>
      <c r="C162" s="60">
        <f>VLOOKUP(Table_1[[#This Row],[AÇÕES]],'Classificação B3'!A:B,2,0)</f>
        <v/>
      </c>
      <c r="D162" s="60">
        <f>VLOOKUP(Table_1[[#This Row],[AÇÕES]],'Classificação B3'!A:D,4,0)</f>
        <v/>
      </c>
      <c r="E162" s="60">
        <f>VLOOKUP(Table_1[[#This Row],[AÇÕES]],'Classificação B3'!A:F,6,0)</f>
        <v/>
      </c>
      <c r="F162" s="60">
        <f>VLOOKUP(Table_1[[#This Row],[AÇÕES]],'Classificação B3'!A:G,7,0)</f>
        <v/>
      </c>
      <c r="G162" s="61">
        <f>VLOOKUP(Table_1[[#This Row],[AÇÕES]],'Dados Status Invest'!A:B,2,0)</f>
        <v/>
      </c>
      <c r="H162" s="62">
        <f>VLOOKUP(Table_1[[#This Row],[AÇÕES]],'Dados Status Invest'!A:C,3,0)/100</f>
        <v/>
      </c>
      <c r="I162" s="62">
        <f>VLOOKUP(Table_1[[#This Row],[AÇÕES]],'Dados Status Invest'!A:D,4,0)/100</f>
        <v/>
      </c>
      <c r="J162" s="63">
        <f>VLOOKUP(Table_1[[#This Row],[AÇÕES]],'Dados Status Invest'!A:AB,28,0)</f>
        <v/>
      </c>
      <c r="K162" s="63">
        <f>VLOOKUP(Table_1[[#This Row],[AÇÕES]],'Dados Status Invest'!A:AA,27,0)</f>
        <v/>
      </c>
      <c r="L162" s="63">
        <f>Table_1[[#This Row],[PREÇO]]*Table_1[[#This Row],[DY]]</f>
        <v/>
      </c>
      <c r="M162" s="62">
        <f>$E$13</f>
        <v/>
      </c>
      <c r="N162" s="62" t="n">
        <v>0.3</v>
      </c>
      <c r="O162" s="62">
        <f>Table_1[[#This Row],[DPA]]/Table_1[[#This Row],[LPA]]</f>
        <v/>
      </c>
      <c r="P162" s="62">
        <f>IF(Table_1[[#This Row],[PAYOUT]]&lt;=40%,"CRESCIMENTO",IF(Table_1[[#This Row],[PAYOUT]]&lt;=60%,"INDEFINIDO","DIVIDENDOS"))</f>
        <v/>
      </c>
      <c r="Q162" s="62">
        <f>VLOOKUP(Table_1[[#This Row],[AÇÕES]],'Dados Status Invest'!A:R,18,0)/100</f>
        <v/>
      </c>
      <c r="R162" s="62">
        <f>VLOOKUP(Table_1[[#This Row],[AÇÕES]],'Dados Status Invest'!A:Y,25,0)/100</f>
        <v/>
      </c>
      <c r="S162" s="62">
        <f>(1-Table_1[[#This Row],[PAYOUT]])*Table_1[[#This Row],[ROE]]</f>
        <v/>
      </c>
      <c r="T162" s="98">
        <f>AVERAGE(Table_1[[#This Row],[CAGR LUCRO 5A]],Table_1[[#This Row],[CRESCIMENTO DAMODARAN]])</f>
        <v/>
      </c>
      <c r="U162" s="64">
        <f>(Table_1[[#This Row],[PREÇO JUSTO BAZIN]]-Table_1[[#This Row],[PREÇO]])/Table_1[[#This Row],[PREÇO JUSTO BAZIN]]</f>
        <v/>
      </c>
      <c r="V162" s="129">
        <f>Table_1[[#This Row],[DPA]]/6%</f>
        <v/>
      </c>
      <c r="W162" s="129">
        <f>Table_1[[#This Row],[PREÇO JUSTO BAZIN]]/(1+Table_1[[#This Row],[MARGEM DE DESCONTO]])</f>
        <v/>
      </c>
      <c r="X162" s="64">
        <f>(Table_1[[#This Row],[PREÇO JUSTO GRAHAM]]-Table_1[[#This Row],[PREÇO]])/Table_1[[#This Row],[PREÇO JUSTO GRAHAM]]</f>
        <v/>
      </c>
      <c r="Y162" s="129">
        <f>(22.5*Table_1[[#This Row],[LPA]]*Table_1[[#This Row],[VPA]])^0.5</f>
        <v/>
      </c>
      <c r="Z162" s="129">
        <f>Table_1[[#This Row],[PREÇO JUSTO GRAHAM]]/(1+Table_1[[#This Row],[MARGEM DE DESCONTO]])</f>
        <v/>
      </c>
      <c r="AA162" s="64">
        <f>(Table_1[[#This Row],[PREÇO JUSTO GORDON]]-Table_1[[#This Row],[PREÇO]])/Table_1[[#This Row],[PREÇO JUSTO GORDON]]</f>
        <v/>
      </c>
      <c r="AB162" s="130">
        <f>Table_1[[#This Row],[DPA]]*(1+Table_1[[#This Row],[MÉDIA DE CRESCIMENTO]])</f>
        <v/>
      </c>
      <c r="AC162" s="130">
        <f>Table_1[[#This Row],[D1]]/(Table_1[[#This Row],[RISCO]]-Table_1[[#This Row],[MÉDIA DE CRESCIMENTO]])</f>
        <v/>
      </c>
      <c r="AD162" s="130">
        <f>Table_1[[#This Row],[PREÇO JUSTO GORDON]]/(1+Table_1[[#This Row],[MARGEM DE DESCONTO]])</f>
        <v/>
      </c>
      <c r="AE162" s="78">
        <f>Table_1[[#This Row],[P/L]]/Table_1[[#This Row],[MÉDIA DE CRESCIMENTO]]</f>
        <v/>
      </c>
    </row>
    <row r="163" ht="15.75" customHeight="1">
      <c r="B163" s="77">
        <f>'Dados Status Invest'!A149</f>
        <v/>
      </c>
      <c r="C163" s="60">
        <f>VLOOKUP(Table_1[[#This Row],[AÇÕES]],'Classificação B3'!A:B,2,0)</f>
        <v/>
      </c>
      <c r="D163" s="60">
        <f>VLOOKUP(Table_1[[#This Row],[AÇÕES]],'Classificação B3'!A:D,4,0)</f>
        <v/>
      </c>
      <c r="E163" s="60">
        <f>VLOOKUP(Table_1[[#This Row],[AÇÕES]],'Classificação B3'!A:F,6,0)</f>
        <v/>
      </c>
      <c r="F163" s="60">
        <f>VLOOKUP(Table_1[[#This Row],[AÇÕES]],'Classificação B3'!A:G,7,0)</f>
        <v/>
      </c>
      <c r="G163" s="61">
        <f>VLOOKUP(Table_1[[#This Row],[AÇÕES]],'Dados Status Invest'!A:B,2,0)</f>
        <v/>
      </c>
      <c r="H163" s="62">
        <f>VLOOKUP(Table_1[[#This Row],[AÇÕES]],'Dados Status Invest'!A:C,3,0)/100</f>
        <v/>
      </c>
      <c r="I163" s="62">
        <f>VLOOKUP(Table_1[[#This Row],[AÇÕES]],'Dados Status Invest'!A:D,4,0)/100</f>
        <v/>
      </c>
      <c r="J163" s="63">
        <f>VLOOKUP(Table_1[[#This Row],[AÇÕES]],'Dados Status Invest'!A:AB,28,0)</f>
        <v/>
      </c>
      <c r="K163" s="63">
        <f>VLOOKUP(Table_1[[#This Row],[AÇÕES]],'Dados Status Invest'!A:AA,27,0)</f>
        <v/>
      </c>
      <c r="L163" s="63">
        <f>Table_1[[#This Row],[PREÇO]]*Table_1[[#This Row],[DY]]</f>
        <v/>
      </c>
      <c r="M163" s="62">
        <f>$E$13</f>
        <v/>
      </c>
      <c r="N163" s="62" t="n">
        <v>0.3</v>
      </c>
      <c r="O163" s="62">
        <f>Table_1[[#This Row],[DPA]]/Table_1[[#This Row],[LPA]]</f>
        <v/>
      </c>
      <c r="P163" s="62">
        <f>IF(Table_1[[#This Row],[PAYOUT]]&lt;=40%,"CRESCIMENTO",IF(Table_1[[#This Row],[PAYOUT]]&lt;=60%,"INDEFINIDO","DIVIDENDOS"))</f>
        <v/>
      </c>
      <c r="Q163" s="62">
        <f>VLOOKUP(Table_1[[#This Row],[AÇÕES]],'Dados Status Invest'!A:R,18,0)/100</f>
        <v/>
      </c>
      <c r="R163" s="62">
        <f>VLOOKUP(Table_1[[#This Row],[AÇÕES]],'Dados Status Invest'!A:Y,25,0)/100</f>
        <v/>
      </c>
      <c r="S163" s="62">
        <f>(1-Table_1[[#This Row],[PAYOUT]])*Table_1[[#This Row],[ROE]]</f>
        <v/>
      </c>
      <c r="T163" s="98">
        <f>AVERAGE(Table_1[[#This Row],[CAGR LUCRO 5A]],Table_1[[#This Row],[CRESCIMENTO DAMODARAN]])</f>
        <v/>
      </c>
      <c r="U163" s="64">
        <f>(Table_1[[#This Row],[PREÇO JUSTO BAZIN]]-Table_1[[#This Row],[PREÇO]])/Table_1[[#This Row],[PREÇO JUSTO BAZIN]]</f>
        <v/>
      </c>
      <c r="V163" s="129">
        <f>Table_1[[#This Row],[DPA]]/6%</f>
        <v/>
      </c>
      <c r="W163" s="129">
        <f>Table_1[[#This Row],[PREÇO JUSTO BAZIN]]/(1+Table_1[[#This Row],[MARGEM DE DESCONTO]])</f>
        <v/>
      </c>
      <c r="X163" s="64">
        <f>(Table_1[[#This Row],[PREÇO JUSTO GRAHAM]]-Table_1[[#This Row],[PREÇO]])/Table_1[[#This Row],[PREÇO JUSTO GRAHAM]]</f>
        <v/>
      </c>
      <c r="Y163" s="129">
        <f>(22.5*Table_1[[#This Row],[LPA]]*Table_1[[#This Row],[VPA]])^0.5</f>
        <v/>
      </c>
      <c r="Z163" s="129">
        <f>Table_1[[#This Row],[PREÇO JUSTO GRAHAM]]/(1+Table_1[[#This Row],[MARGEM DE DESCONTO]])</f>
        <v/>
      </c>
      <c r="AA163" s="64">
        <f>(Table_1[[#This Row],[PREÇO JUSTO GORDON]]-Table_1[[#This Row],[PREÇO]])/Table_1[[#This Row],[PREÇO JUSTO GORDON]]</f>
        <v/>
      </c>
      <c r="AB163" s="130">
        <f>Table_1[[#This Row],[DPA]]*(1+Table_1[[#This Row],[MÉDIA DE CRESCIMENTO]])</f>
        <v/>
      </c>
      <c r="AC163" s="130">
        <f>Table_1[[#This Row],[D1]]/(Table_1[[#This Row],[RISCO]]-Table_1[[#This Row],[MÉDIA DE CRESCIMENTO]])</f>
        <v/>
      </c>
      <c r="AD163" s="130">
        <f>Table_1[[#This Row],[PREÇO JUSTO GORDON]]/(1+Table_1[[#This Row],[MARGEM DE DESCONTO]])</f>
        <v/>
      </c>
      <c r="AE163" s="78">
        <f>Table_1[[#This Row],[P/L]]/Table_1[[#This Row],[MÉDIA DE CRESCIMENTO]]</f>
        <v/>
      </c>
    </row>
    <row r="164" ht="15.75" customHeight="1">
      <c r="B164" s="77">
        <f>'Dados Status Invest'!A150</f>
        <v/>
      </c>
      <c r="C164" s="60">
        <f>VLOOKUP(Table_1[[#This Row],[AÇÕES]],'Classificação B3'!A:B,2,0)</f>
        <v/>
      </c>
      <c r="D164" s="60">
        <f>VLOOKUP(Table_1[[#This Row],[AÇÕES]],'Classificação B3'!A:D,4,0)</f>
        <v/>
      </c>
      <c r="E164" s="60">
        <f>VLOOKUP(Table_1[[#This Row],[AÇÕES]],'Classificação B3'!A:F,6,0)</f>
        <v/>
      </c>
      <c r="F164" s="60">
        <f>VLOOKUP(Table_1[[#This Row],[AÇÕES]],'Classificação B3'!A:G,7,0)</f>
        <v/>
      </c>
      <c r="G164" s="61">
        <f>VLOOKUP(Table_1[[#This Row],[AÇÕES]],'Dados Status Invest'!A:B,2,0)</f>
        <v/>
      </c>
      <c r="H164" s="62">
        <f>VLOOKUP(Table_1[[#This Row],[AÇÕES]],'Dados Status Invest'!A:C,3,0)/100</f>
        <v/>
      </c>
      <c r="I164" s="62">
        <f>VLOOKUP(Table_1[[#This Row],[AÇÕES]],'Dados Status Invest'!A:D,4,0)/100</f>
        <v/>
      </c>
      <c r="J164" s="63">
        <f>VLOOKUP(Table_1[[#This Row],[AÇÕES]],'Dados Status Invest'!A:AB,28,0)</f>
        <v/>
      </c>
      <c r="K164" s="63">
        <f>VLOOKUP(Table_1[[#This Row],[AÇÕES]],'Dados Status Invest'!A:AA,27,0)</f>
        <v/>
      </c>
      <c r="L164" s="63">
        <f>Table_1[[#This Row],[PREÇO]]*Table_1[[#This Row],[DY]]</f>
        <v/>
      </c>
      <c r="M164" s="62">
        <f>$E$13</f>
        <v/>
      </c>
      <c r="N164" s="62" t="n">
        <v>0.3</v>
      </c>
      <c r="O164" s="62">
        <f>Table_1[[#This Row],[DPA]]/Table_1[[#This Row],[LPA]]</f>
        <v/>
      </c>
      <c r="P164" s="62">
        <f>IF(Table_1[[#This Row],[PAYOUT]]&lt;=40%,"CRESCIMENTO",IF(Table_1[[#This Row],[PAYOUT]]&lt;=60%,"INDEFINIDO","DIVIDENDOS"))</f>
        <v/>
      </c>
      <c r="Q164" s="62">
        <f>VLOOKUP(Table_1[[#This Row],[AÇÕES]],'Dados Status Invest'!A:R,18,0)/100</f>
        <v/>
      </c>
      <c r="R164" s="62">
        <f>VLOOKUP(Table_1[[#This Row],[AÇÕES]],'Dados Status Invest'!A:Y,25,0)/100</f>
        <v/>
      </c>
      <c r="S164" s="62">
        <f>(1-Table_1[[#This Row],[PAYOUT]])*Table_1[[#This Row],[ROE]]</f>
        <v/>
      </c>
      <c r="T164" s="98">
        <f>AVERAGE(Table_1[[#This Row],[CAGR LUCRO 5A]],Table_1[[#This Row],[CRESCIMENTO DAMODARAN]])</f>
        <v/>
      </c>
      <c r="U164" s="64">
        <f>(Table_1[[#This Row],[PREÇO JUSTO BAZIN]]-Table_1[[#This Row],[PREÇO]])/Table_1[[#This Row],[PREÇO JUSTO BAZIN]]</f>
        <v/>
      </c>
      <c r="V164" s="129">
        <f>Table_1[[#This Row],[DPA]]/6%</f>
        <v/>
      </c>
      <c r="W164" s="129">
        <f>Table_1[[#This Row],[PREÇO JUSTO BAZIN]]/(1+Table_1[[#This Row],[MARGEM DE DESCONTO]])</f>
        <v/>
      </c>
      <c r="X164" s="64">
        <f>(Table_1[[#This Row],[PREÇO JUSTO GRAHAM]]-Table_1[[#This Row],[PREÇO]])/Table_1[[#This Row],[PREÇO JUSTO GRAHAM]]</f>
        <v/>
      </c>
      <c r="Y164" s="129">
        <f>(22.5*Table_1[[#This Row],[LPA]]*Table_1[[#This Row],[VPA]])^0.5</f>
        <v/>
      </c>
      <c r="Z164" s="129">
        <f>Table_1[[#This Row],[PREÇO JUSTO GRAHAM]]/(1+Table_1[[#This Row],[MARGEM DE DESCONTO]])</f>
        <v/>
      </c>
      <c r="AA164" s="64">
        <f>(Table_1[[#This Row],[PREÇO JUSTO GORDON]]-Table_1[[#This Row],[PREÇO]])/Table_1[[#This Row],[PREÇO JUSTO GORDON]]</f>
        <v/>
      </c>
      <c r="AB164" s="130">
        <f>Table_1[[#This Row],[DPA]]*(1+Table_1[[#This Row],[MÉDIA DE CRESCIMENTO]])</f>
        <v/>
      </c>
      <c r="AC164" s="130">
        <f>Table_1[[#This Row],[D1]]/(Table_1[[#This Row],[RISCO]]-Table_1[[#This Row],[MÉDIA DE CRESCIMENTO]])</f>
        <v/>
      </c>
      <c r="AD164" s="130">
        <f>Table_1[[#This Row],[PREÇO JUSTO GORDON]]/(1+Table_1[[#This Row],[MARGEM DE DESCONTO]])</f>
        <v/>
      </c>
      <c r="AE164" s="78">
        <f>Table_1[[#This Row],[P/L]]/Table_1[[#This Row],[MÉDIA DE CRESCIMENTO]]</f>
        <v/>
      </c>
    </row>
    <row r="165" ht="15.75" customHeight="1">
      <c r="B165" s="77">
        <f>'Dados Status Invest'!A151</f>
        <v/>
      </c>
      <c r="C165" s="60">
        <f>VLOOKUP(Table_1[[#This Row],[AÇÕES]],'Classificação B3'!A:B,2,0)</f>
        <v/>
      </c>
      <c r="D165" s="60">
        <f>VLOOKUP(Table_1[[#This Row],[AÇÕES]],'Classificação B3'!A:D,4,0)</f>
        <v/>
      </c>
      <c r="E165" s="60">
        <f>VLOOKUP(Table_1[[#This Row],[AÇÕES]],'Classificação B3'!A:F,6,0)</f>
        <v/>
      </c>
      <c r="F165" s="60">
        <f>VLOOKUP(Table_1[[#This Row],[AÇÕES]],'Classificação B3'!A:G,7,0)</f>
        <v/>
      </c>
      <c r="G165" s="61">
        <f>VLOOKUP(Table_1[[#This Row],[AÇÕES]],'Dados Status Invest'!A:B,2,0)</f>
        <v/>
      </c>
      <c r="H165" s="62">
        <f>VLOOKUP(Table_1[[#This Row],[AÇÕES]],'Dados Status Invest'!A:C,3,0)/100</f>
        <v/>
      </c>
      <c r="I165" s="62">
        <f>VLOOKUP(Table_1[[#This Row],[AÇÕES]],'Dados Status Invest'!A:D,4,0)/100</f>
        <v/>
      </c>
      <c r="J165" s="63">
        <f>VLOOKUP(Table_1[[#This Row],[AÇÕES]],'Dados Status Invest'!A:AB,28,0)</f>
        <v/>
      </c>
      <c r="K165" s="63">
        <f>VLOOKUP(Table_1[[#This Row],[AÇÕES]],'Dados Status Invest'!A:AA,27,0)</f>
        <v/>
      </c>
      <c r="L165" s="63">
        <f>Table_1[[#This Row],[PREÇO]]*Table_1[[#This Row],[DY]]</f>
        <v/>
      </c>
      <c r="M165" s="62">
        <f>$E$13</f>
        <v/>
      </c>
      <c r="N165" s="62" t="n">
        <v>0.3</v>
      </c>
      <c r="O165" s="62">
        <f>Table_1[[#This Row],[DPA]]/Table_1[[#This Row],[LPA]]</f>
        <v/>
      </c>
      <c r="P165" s="62">
        <f>IF(Table_1[[#This Row],[PAYOUT]]&lt;=40%,"CRESCIMENTO",IF(Table_1[[#This Row],[PAYOUT]]&lt;=60%,"INDEFINIDO","DIVIDENDOS"))</f>
        <v/>
      </c>
      <c r="Q165" s="62">
        <f>VLOOKUP(Table_1[[#This Row],[AÇÕES]],'Dados Status Invest'!A:R,18,0)/100</f>
        <v/>
      </c>
      <c r="R165" s="62">
        <f>VLOOKUP(Table_1[[#This Row],[AÇÕES]],'Dados Status Invest'!A:Y,25,0)/100</f>
        <v/>
      </c>
      <c r="S165" s="62">
        <f>(1-Table_1[[#This Row],[PAYOUT]])*Table_1[[#This Row],[ROE]]</f>
        <v/>
      </c>
      <c r="T165" s="98">
        <f>AVERAGE(Table_1[[#This Row],[CAGR LUCRO 5A]],Table_1[[#This Row],[CRESCIMENTO DAMODARAN]])</f>
        <v/>
      </c>
      <c r="U165" s="64">
        <f>(Table_1[[#This Row],[PREÇO JUSTO BAZIN]]-Table_1[[#This Row],[PREÇO]])/Table_1[[#This Row],[PREÇO JUSTO BAZIN]]</f>
        <v/>
      </c>
      <c r="V165" s="129">
        <f>Table_1[[#This Row],[DPA]]/6%</f>
        <v/>
      </c>
      <c r="W165" s="129">
        <f>Table_1[[#This Row],[PREÇO JUSTO BAZIN]]/(1+Table_1[[#This Row],[MARGEM DE DESCONTO]])</f>
        <v/>
      </c>
      <c r="X165" s="64">
        <f>(Table_1[[#This Row],[PREÇO JUSTO GRAHAM]]-Table_1[[#This Row],[PREÇO]])/Table_1[[#This Row],[PREÇO JUSTO GRAHAM]]</f>
        <v/>
      </c>
      <c r="Y165" s="129">
        <f>(22.5*Table_1[[#This Row],[LPA]]*Table_1[[#This Row],[VPA]])^0.5</f>
        <v/>
      </c>
      <c r="Z165" s="129">
        <f>Table_1[[#This Row],[PREÇO JUSTO GRAHAM]]/(1+Table_1[[#This Row],[MARGEM DE DESCONTO]])</f>
        <v/>
      </c>
      <c r="AA165" s="64">
        <f>(Table_1[[#This Row],[PREÇO JUSTO GORDON]]-Table_1[[#This Row],[PREÇO]])/Table_1[[#This Row],[PREÇO JUSTO GORDON]]</f>
        <v/>
      </c>
      <c r="AB165" s="130">
        <f>Table_1[[#This Row],[DPA]]*(1+Table_1[[#This Row],[MÉDIA DE CRESCIMENTO]])</f>
        <v/>
      </c>
      <c r="AC165" s="130">
        <f>Table_1[[#This Row],[D1]]/(Table_1[[#This Row],[RISCO]]-Table_1[[#This Row],[MÉDIA DE CRESCIMENTO]])</f>
        <v/>
      </c>
      <c r="AD165" s="130">
        <f>Table_1[[#This Row],[PREÇO JUSTO GORDON]]/(1+Table_1[[#This Row],[MARGEM DE DESCONTO]])</f>
        <v/>
      </c>
      <c r="AE165" s="78">
        <f>Table_1[[#This Row],[P/L]]/Table_1[[#This Row],[MÉDIA DE CRESCIMENTO]]</f>
        <v/>
      </c>
    </row>
    <row r="166" ht="15.75" customHeight="1">
      <c r="B166" s="77">
        <f>'Dados Status Invest'!A152</f>
        <v/>
      </c>
      <c r="C166" s="60">
        <f>VLOOKUP(Table_1[[#This Row],[AÇÕES]],'Classificação B3'!A:B,2,0)</f>
        <v/>
      </c>
      <c r="D166" s="60">
        <f>VLOOKUP(Table_1[[#This Row],[AÇÕES]],'Classificação B3'!A:D,4,0)</f>
        <v/>
      </c>
      <c r="E166" s="60">
        <f>VLOOKUP(Table_1[[#This Row],[AÇÕES]],'Classificação B3'!A:F,6,0)</f>
        <v/>
      </c>
      <c r="F166" s="60">
        <f>VLOOKUP(Table_1[[#This Row],[AÇÕES]],'Classificação B3'!A:G,7,0)</f>
        <v/>
      </c>
      <c r="G166" s="61">
        <f>VLOOKUP(Table_1[[#This Row],[AÇÕES]],'Dados Status Invest'!A:B,2,0)</f>
        <v/>
      </c>
      <c r="H166" s="62">
        <f>VLOOKUP(Table_1[[#This Row],[AÇÕES]],'Dados Status Invest'!A:C,3,0)/100</f>
        <v/>
      </c>
      <c r="I166" s="62">
        <f>VLOOKUP(Table_1[[#This Row],[AÇÕES]],'Dados Status Invest'!A:D,4,0)/100</f>
        <v/>
      </c>
      <c r="J166" s="63">
        <f>VLOOKUP(Table_1[[#This Row],[AÇÕES]],'Dados Status Invest'!A:AB,28,0)</f>
        <v/>
      </c>
      <c r="K166" s="63">
        <f>VLOOKUP(Table_1[[#This Row],[AÇÕES]],'Dados Status Invest'!A:AA,27,0)</f>
        <v/>
      </c>
      <c r="L166" s="63">
        <f>Table_1[[#This Row],[PREÇO]]*Table_1[[#This Row],[DY]]</f>
        <v/>
      </c>
      <c r="M166" s="62">
        <f>$E$13</f>
        <v/>
      </c>
      <c r="N166" s="62" t="n">
        <v>0.3</v>
      </c>
      <c r="O166" s="62">
        <f>Table_1[[#This Row],[DPA]]/Table_1[[#This Row],[LPA]]</f>
        <v/>
      </c>
      <c r="P166" s="62">
        <f>IF(Table_1[[#This Row],[PAYOUT]]&lt;=40%,"CRESCIMENTO",IF(Table_1[[#This Row],[PAYOUT]]&lt;=60%,"INDEFINIDO","DIVIDENDOS"))</f>
        <v/>
      </c>
      <c r="Q166" s="62">
        <f>VLOOKUP(Table_1[[#This Row],[AÇÕES]],'Dados Status Invest'!A:R,18,0)/100</f>
        <v/>
      </c>
      <c r="R166" s="62">
        <f>VLOOKUP(Table_1[[#This Row],[AÇÕES]],'Dados Status Invest'!A:Y,25,0)/100</f>
        <v/>
      </c>
      <c r="S166" s="62">
        <f>(1-Table_1[[#This Row],[PAYOUT]])*Table_1[[#This Row],[ROE]]</f>
        <v/>
      </c>
      <c r="T166" s="98">
        <f>AVERAGE(Table_1[[#This Row],[CAGR LUCRO 5A]],Table_1[[#This Row],[CRESCIMENTO DAMODARAN]])</f>
        <v/>
      </c>
      <c r="U166" s="64">
        <f>(Table_1[[#This Row],[PREÇO JUSTO BAZIN]]-Table_1[[#This Row],[PREÇO]])/Table_1[[#This Row],[PREÇO JUSTO BAZIN]]</f>
        <v/>
      </c>
      <c r="V166" s="129">
        <f>Table_1[[#This Row],[DPA]]/6%</f>
        <v/>
      </c>
      <c r="W166" s="129">
        <f>Table_1[[#This Row],[PREÇO JUSTO BAZIN]]/(1+Table_1[[#This Row],[MARGEM DE DESCONTO]])</f>
        <v/>
      </c>
      <c r="X166" s="64">
        <f>(Table_1[[#This Row],[PREÇO JUSTO GRAHAM]]-Table_1[[#This Row],[PREÇO]])/Table_1[[#This Row],[PREÇO JUSTO GRAHAM]]</f>
        <v/>
      </c>
      <c r="Y166" s="129">
        <f>(22.5*Table_1[[#This Row],[LPA]]*Table_1[[#This Row],[VPA]])^0.5</f>
        <v/>
      </c>
      <c r="Z166" s="129">
        <f>Table_1[[#This Row],[PREÇO JUSTO GRAHAM]]/(1+Table_1[[#This Row],[MARGEM DE DESCONTO]])</f>
        <v/>
      </c>
      <c r="AA166" s="64">
        <f>(Table_1[[#This Row],[PREÇO JUSTO GORDON]]-Table_1[[#This Row],[PREÇO]])/Table_1[[#This Row],[PREÇO JUSTO GORDON]]</f>
        <v/>
      </c>
      <c r="AB166" s="130">
        <f>Table_1[[#This Row],[DPA]]*(1+Table_1[[#This Row],[MÉDIA DE CRESCIMENTO]])</f>
        <v/>
      </c>
      <c r="AC166" s="130">
        <f>Table_1[[#This Row],[D1]]/(Table_1[[#This Row],[RISCO]]-Table_1[[#This Row],[MÉDIA DE CRESCIMENTO]])</f>
        <v/>
      </c>
      <c r="AD166" s="130">
        <f>Table_1[[#This Row],[PREÇO JUSTO GORDON]]/(1+Table_1[[#This Row],[MARGEM DE DESCONTO]])</f>
        <v/>
      </c>
      <c r="AE166" s="78">
        <f>Table_1[[#This Row],[P/L]]/Table_1[[#This Row],[MÉDIA DE CRESCIMENTO]]</f>
        <v/>
      </c>
    </row>
    <row r="167" ht="15.75" customHeight="1">
      <c r="B167" s="77">
        <f>'Dados Status Invest'!A153</f>
        <v/>
      </c>
      <c r="C167" s="60">
        <f>VLOOKUP(Table_1[[#This Row],[AÇÕES]],'Classificação B3'!A:B,2,0)</f>
        <v/>
      </c>
      <c r="D167" s="60">
        <f>VLOOKUP(Table_1[[#This Row],[AÇÕES]],'Classificação B3'!A:D,4,0)</f>
        <v/>
      </c>
      <c r="E167" s="60">
        <f>VLOOKUP(Table_1[[#This Row],[AÇÕES]],'Classificação B3'!A:F,6,0)</f>
        <v/>
      </c>
      <c r="F167" s="60">
        <f>VLOOKUP(Table_1[[#This Row],[AÇÕES]],'Classificação B3'!A:G,7,0)</f>
        <v/>
      </c>
      <c r="G167" s="61">
        <f>VLOOKUP(Table_1[[#This Row],[AÇÕES]],'Dados Status Invest'!A:B,2,0)</f>
        <v/>
      </c>
      <c r="H167" s="62">
        <f>VLOOKUP(Table_1[[#This Row],[AÇÕES]],'Dados Status Invest'!A:C,3,0)/100</f>
        <v/>
      </c>
      <c r="I167" s="62">
        <f>VLOOKUP(Table_1[[#This Row],[AÇÕES]],'Dados Status Invest'!A:D,4,0)/100</f>
        <v/>
      </c>
      <c r="J167" s="63">
        <f>VLOOKUP(Table_1[[#This Row],[AÇÕES]],'Dados Status Invest'!A:AB,28,0)</f>
        <v/>
      </c>
      <c r="K167" s="63">
        <f>VLOOKUP(Table_1[[#This Row],[AÇÕES]],'Dados Status Invest'!A:AA,27,0)</f>
        <v/>
      </c>
      <c r="L167" s="63">
        <f>Table_1[[#This Row],[PREÇO]]*Table_1[[#This Row],[DY]]</f>
        <v/>
      </c>
      <c r="M167" s="62">
        <f>$E$13</f>
        <v/>
      </c>
      <c r="N167" s="62" t="n">
        <v>0.3</v>
      </c>
      <c r="O167" s="62">
        <f>Table_1[[#This Row],[DPA]]/Table_1[[#This Row],[LPA]]</f>
        <v/>
      </c>
      <c r="P167" s="62">
        <f>IF(Table_1[[#This Row],[PAYOUT]]&lt;=40%,"CRESCIMENTO",IF(Table_1[[#This Row],[PAYOUT]]&lt;=60%,"INDEFINIDO","DIVIDENDOS"))</f>
        <v/>
      </c>
      <c r="Q167" s="62">
        <f>VLOOKUP(Table_1[[#This Row],[AÇÕES]],'Dados Status Invest'!A:R,18,0)/100</f>
        <v/>
      </c>
      <c r="R167" s="62">
        <f>VLOOKUP(Table_1[[#This Row],[AÇÕES]],'Dados Status Invest'!A:Y,25,0)/100</f>
        <v/>
      </c>
      <c r="S167" s="62">
        <f>(1-Table_1[[#This Row],[PAYOUT]])*Table_1[[#This Row],[ROE]]</f>
        <v/>
      </c>
      <c r="T167" s="98">
        <f>AVERAGE(Table_1[[#This Row],[CAGR LUCRO 5A]],Table_1[[#This Row],[CRESCIMENTO DAMODARAN]])</f>
        <v/>
      </c>
      <c r="U167" s="64">
        <f>(Table_1[[#This Row],[PREÇO JUSTO BAZIN]]-Table_1[[#This Row],[PREÇO]])/Table_1[[#This Row],[PREÇO JUSTO BAZIN]]</f>
        <v/>
      </c>
      <c r="V167" s="129">
        <f>Table_1[[#This Row],[DPA]]/6%</f>
        <v/>
      </c>
      <c r="W167" s="129">
        <f>Table_1[[#This Row],[PREÇO JUSTO BAZIN]]/(1+Table_1[[#This Row],[MARGEM DE DESCONTO]])</f>
        <v/>
      </c>
      <c r="X167" s="64">
        <f>(Table_1[[#This Row],[PREÇO JUSTO GRAHAM]]-Table_1[[#This Row],[PREÇO]])/Table_1[[#This Row],[PREÇO JUSTO GRAHAM]]</f>
        <v/>
      </c>
      <c r="Y167" s="129">
        <f>(22.5*Table_1[[#This Row],[LPA]]*Table_1[[#This Row],[VPA]])^0.5</f>
        <v/>
      </c>
      <c r="Z167" s="129">
        <f>Table_1[[#This Row],[PREÇO JUSTO GRAHAM]]/(1+Table_1[[#This Row],[MARGEM DE DESCONTO]])</f>
        <v/>
      </c>
      <c r="AA167" s="64">
        <f>(Table_1[[#This Row],[PREÇO JUSTO GORDON]]-Table_1[[#This Row],[PREÇO]])/Table_1[[#This Row],[PREÇO JUSTO GORDON]]</f>
        <v/>
      </c>
      <c r="AB167" s="130">
        <f>Table_1[[#This Row],[DPA]]*(1+Table_1[[#This Row],[MÉDIA DE CRESCIMENTO]])</f>
        <v/>
      </c>
      <c r="AC167" s="130">
        <f>Table_1[[#This Row],[D1]]/(Table_1[[#This Row],[RISCO]]-Table_1[[#This Row],[MÉDIA DE CRESCIMENTO]])</f>
        <v/>
      </c>
      <c r="AD167" s="130">
        <f>Table_1[[#This Row],[PREÇO JUSTO GORDON]]/(1+Table_1[[#This Row],[MARGEM DE DESCONTO]])</f>
        <v/>
      </c>
      <c r="AE167" s="78">
        <f>Table_1[[#This Row],[P/L]]/Table_1[[#This Row],[MÉDIA DE CRESCIMENTO]]</f>
        <v/>
      </c>
    </row>
    <row r="168" ht="15.75" customHeight="1">
      <c r="B168" s="77">
        <f>'Dados Status Invest'!A154</f>
        <v/>
      </c>
      <c r="C168" s="60">
        <f>VLOOKUP(Table_1[[#This Row],[AÇÕES]],'Classificação B3'!A:B,2,0)</f>
        <v/>
      </c>
      <c r="D168" s="60">
        <f>VLOOKUP(Table_1[[#This Row],[AÇÕES]],'Classificação B3'!A:D,4,0)</f>
        <v/>
      </c>
      <c r="E168" s="60">
        <f>VLOOKUP(Table_1[[#This Row],[AÇÕES]],'Classificação B3'!A:F,6,0)</f>
        <v/>
      </c>
      <c r="F168" s="60">
        <f>VLOOKUP(Table_1[[#This Row],[AÇÕES]],'Classificação B3'!A:G,7,0)</f>
        <v/>
      </c>
      <c r="G168" s="61">
        <f>VLOOKUP(Table_1[[#This Row],[AÇÕES]],'Dados Status Invest'!A:B,2,0)</f>
        <v/>
      </c>
      <c r="H168" s="62">
        <f>VLOOKUP(Table_1[[#This Row],[AÇÕES]],'Dados Status Invest'!A:C,3,0)/100</f>
        <v/>
      </c>
      <c r="I168" s="62">
        <f>VLOOKUP(Table_1[[#This Row],[AÇÕES]],'Dados Status Invest'!A:D,4,0)/100</f>
        <v/>
      </c>
      <c r="J168" s="63">
        <f>VLOOKUP(Table_1[[#This Row],[AÇÕES]],'Dados Status Invest'!A:AB,28,0)</f>
        <v/>
      </c>
      <c r="K168" s="63">
        <f>VLOOKUP(Table_1[[#This Row],[AÇÕES]],'Dados Status Invest'!A:AA,27,0)</f>
        <v/>
      </c>
      <c r="L168" s="63">
        <f>Table_1[[#This Row],[PREÇO]]*Table_1[[#This Row],[DY]]</f>
        <v/>
      </c>
      <c r="M168" s="62">
        <f>$E$13</f>
        <v/>
      </c>
      <c r="N168" s="62" t="n">
        <v>0.3</v>
      </c>
      <c r="O168" s="62">
        <f>Table_1[[#This Row],[DPA]]/Table_1[[#This Row],[LPA]]</f>
        <v/>
      </c>
      <c r="P168" s="62">
        <f>IF(Table_1[[#This Row],[PAYOUT]]&lt;=40%,"CRESCIMENTO",IF(Table_1[[#This Row],[PAYOUT]]&lt;=60%,"INDEFINIDO","DIVIDENDOS"))</f>
        <v/>
      </c>
      <c r="Q168" s="62">
        <f>VLOOKUP(Table_1[[#This Row],[AÇÕES]],'Dados Status Invest'!A:R,18,0)/100</f>
        <v/>
      </c>
      <c r="R168" s="62">
        <f>VLOOKUP(Table_1[[#This Row],[AÇÕES]],'Dados Status Invest'!A:Y,25,0)/100</f>
        <v/>
      </c>
      <c r="S168" s="62">
        <f>(1-Table_1[[#This Row],[PAYOUT]])*Table_1[[#This Row],[ROE]]</f>
        <v/>
      </c>
      <c r="T168" s="98">
        <f>AVERAGE(Table_1[[#This Row],[CAGR LUCRO 5A]],Table_1[[#This Row],[CRESCIMENTO DAMODARAN]])</f>
        <v/>
      </c>
      <c r="U168" s="64">
        <f>(Table_1[[#This Row],[PREÇO JUSTO BAZIN]]-Table_1[[#This Row],[PREÇO]])/Table_1[[#This Row],[PREÇO JUSTO BAZIN]]</f>
        <v/>
      </c>
      <c r="V168" s="129">
        <f>Table_1[[#This Row],[DPA]]/6%</f>
        <v/>
      </c>
      <c r="W168" s="129">
        <f>Table_1[[#This Row],[PREÇO JUSTO BAZIN]]/(1+Table_1[[#This Row],[MARGEM DE DESCONTO]])</f>
        <v/>
      </c>
      <c r="X168" s="64">
        <f>(Table_1[[#This Row],[PREÇO JUSTO GRAHAM]]-Table_1[[#This Row],[PREÇO]])/Table_1[[#This Row],[PREÇO JUSTO GRAHAM]]</f>
        <v/>
      </c>
      <c r="Y168" s="129">
        <f>(22.5*Table_1[[#This Row],[LPA]]*Table_1[[#This Row],[VPA]])^0.5</f>
        <v/>
      </c>
      <c r="Z168" s="129">
        <f>Table_1[[#This Row],[PREÇO JUSTO GRAHAM]]/(1+Table_1[[#This Row],[MARGEM DE DESCONTO]])</f>
        <v/>
      </c>
      <c r="AA168" s="64">
        <f>(Table_1[[#This Row],[PREÇO JUSTO GORDON]]-Table_1[[#This Row],[PREÇO]])/Table_1[[#This Row],[PREÇO JUSTO GORDON]]</f>
        <v/>
      </c>
      <c r="AB168" s="130">
        <f>Table_1[[#This Row],[DPA]]*(1+Table_1[[#This Row],[MÉDIA DE CRESCIMENTO]])</f>
        <v/>
      </c>
      <c r="AC168" s="130">
        <f>Table_1[[#This Row],[D1]]/(Table_1[[#This Row],[RISCO]]-Table_1[[#This Row],[MÉDIA DE CRESCIMENTO]])</f>
        <v/>
      </c>
      <c r="AD168" s="130">
        <f>Table_1[[#This Row],[PREÇO JUSTO GORDON]]/(1+Table_1[[#This Row],[MARGEM DE DESCONTO]])</f>
        <v/>
      </c>
      <c r="AE168" s="78">
        <f>Table_1[[#This Row],[P/L]]/Table_1[[#This Row],[MÉDIA DE CRESCIMENTO]]</f>
        <v/>
      </c>
    </row>
    <row r="169" ht="15.75" customHeight="1">
      <c r="B169" s="77">
        <f>'Dados Status Invest'!A155</f>
        <v/>
      </c>
      <c r="C169" s="60">
        <f>VLOOKUP(Table_1[[#This Row],[AÇÕES]],'Classificação B3'!A:B,2,0)</f>
        <v/>
      </c>
      <c r="D169" s="60">
        <f>VLOOKUP(Table_1[[#This Row],[AÇÕES]],'Classificação B3'!A:D,4,0)</f>
        <v/>
      </c>
      <c r="E169" s="60">
        <f>VLOOKUP(Table_1[[#This Row],[AÇÕES]],'Classificação B3'!A:F,6,0)</f>
        <v/>
      </c>
      <c r="F169" s="60">
        <f>VLOOKUP(Table_1[[#This Row],[AÇÕES]],'Classificação B3'!A:G,7,0)</f>
        <v/>
      </c>
      <c r="G169" s="61">
        <f>VLOOKUP(Table_1[[#This Row],[AÇÕES]],'Dados Status Invest'!A:B,2,0)</f>
        <v/>
      </c>
      <c r="H169" s="62">
        <f>VLOOKUP(Table_1[[#This Row],[AÇÕES]],'Dados Status Invest'!A:C,3,0)/100</f>
        <v/>
      </c>
      <c r="I169" s="62">
        <f>VLOOKUP(Table_1[[#This Row],[AÇÕES]],'Dados Status Invest'!A:D,4,0)/100</f>
        <v/>
      </c>
      <c r="J169" s="63">
        <f>VLOOKUP(Table_1[[#This Row],[AÇÕES]],'Dados Status Invest'!A:AB,28,0)</f>
        <v/>
      </c>
      <c r="K169" s="63">
        <f>VLOOKUP(Table_1[[#This Row],[AÇÕES]],'Dados Status Invest'!A:AA,27,0)</f>
        <v/>
      </c>
      <c r="L169" s="63">
        <f>Table_1[[#This Row],[PREÇO]]*Table_1[[#This Row],[DY]]</f>
        <v/>
      </c>
      <c r="M169" s="62">
        <f>$E$13</f>
        <v/>
      </c>
      <c r="N169" s="62" t="n">
        <v>0.3</v>
      </c>
      <c r="O169" s="62">
        <f>Table_1[[#This Row],[DPA]]/Table_1[[#This Row],[LPA]]</f>
        <v/>
      </c>
      <c r="P169" s="62">
        <f>IF(Table_1[[#This Row],[PAYOUT]]&lt;=40%,"CRESCIMENTO",IF(Table_1[[#This Row],[PAYOUT]]&lt;=60%,"INDEFINIDO","DIVIDENDOS"))</f>
        <v/>
      </c>
      <c r="Q169" s="62">
        <f>VLOOKUP(Table_1[[#This Row],[AÇÕES]],'Dados Status Invest'!A:R,18,0)/100</f>
        <v/>
      </c>
      <c r="R169" s="62">
        <f>VLOOKUP(Table_1[[#This Row],[AÇÕES]],'Dados Status Invest'!A:Y,25,0)/100</f>
        <v/>
      </c>
      <c r="S169" s="62">
        <f>(1-Table_1[[#This Row],[PAYOUT]])*Table_1[[#This Row],[ROE]]</f>
        <v/>
      </c>
      <c r="T169" s="98">
        <f>AVERAGE(Table_1[[#This Row],[CAGR LUCRO 5A]],Table_1[[#This Row],[CRESCIMENTO DAMODARAN]])</f>
        <v/>
      </c>
      <c r="U169" s="64">
        <f>(Table_1[[#This Row],[PREÇO JUSTO BAZIN]]-Table_1[[#This Row],[PREÇO]])/Table_1[[#This Row],[PREÇO JUSTO BAZIN]]</f>
        <v/>
      </c>
      <c r="V169" s="129">
        <f>Table_1[[#This Row],[DPA]]/6%</f>
        <v/>
      </c>
      <c r="W169" s="129">
        <f>Table_1[[#This Row],[PREÇO JUSTO BAZIN]]/(1+Table_1[[#This Row],[MARGEM DE DESCONTO]])</f>
        <v/>
      </c>
      <c r="X169" s="64">
        <f>(Table_1[[#This Row],[PREÇO JUSTO GRAHAM]]-Table_1[[#This Row],[PREÇO]])/Table_1[[#This Row],[PREÇO JUSTO GRAHAM]]</f>
        <v/>
      </c>
      <c r="Y169" s="129">
        <f>(22.5*Table_1[[#This Row],[LPA]]*Table_1[[#This Row],[VPA]])^0.5</f>
        <v/>
      </c>
      <c r="Z169" s="129">
        <f>Table_1[[#This Row],[PREÇO JUSTO GRAHAM]]/(1+Table_1[[#This Row],[MARGEM DE DESCONTO]])</f>
        <v/>
      </c>
      <c r="AA169" s="64">
        <f>(Table_1[[#This Row],[PREÇO JUSTO GORDON]]-Table_1[[#This Row],[PREÇO]])/Table_1[[#This Row],[PREÇO JUSTO GORDON]]</f>
        <v/>
      </c>
      <c r="AB169" s="130">
        <f>Table_1[[#This Row],[DPA]]*(1+Table_1[[#This Row],[MÉDIA DE CRESCIMENTO]])</f>
        <v/>
      </c>
      <c r="AC169" s="130">
        <f>Table_1[[#This Row],[D1]]/(Table_1[[#This Row],[RISCO]]-Table_1[[#This Row],[MÉDIA DE CRESCIMENTO]])</f>
        <v/>
      </c>
      <c r="AD169" s="130">
        <f>Table_1[[#This Row],[PREÇO JUSTO GORDON]]/(1+Table_1[[#This Row],[MARGEM DE DESCONTO]])</f>
        <v/>
      </c>
      <c r="AE169" s="78">
        <f>Table_1[[#This Row],[P/L]]/Table_1[[#This Row],[MÉDIA DE CRESCIMENTO]]</f>
        <v/>
      </c>
    </row>
    <row r="170" ht="15.75" customHeight="1">
      <c r="B170" s="77">
        <f>'Dados Status Invest'!A156</f>
        <v/>
      </c>
      <c r="C170" s="60">
        <f>VLOOKUP(Table_1[[#This Row],[AÇÕES]],'Classificação B3'!A:B,2,0)</f>
        <v/>
      </c>
      <c r="D170" s="60">
        <f>VLOOKUP(Table_1[[#This Row],[AÇÕES]],'Classificação B3'!A:D,4,0)</f>
        <v/>
      </c>
      <c r="E170" s="60">
        <f>VLOOKUP(Table_1[[#This Row],[AÇÕES]],'Classificação B3'!A:F,6,0)</f>
        <v/>
      </c>
      <c r="F170" s="60">
        <f>VLOOKUP(Table_1[[#This Row],[AÇÕES]],'Classificação B3'!A:G,7,0)</f>
        <v/>
      </c>
      <c r="G170" s="61">
        <f>VLOOKUP(Table_1[[#This Row],[AÇÕES]],'Dados Status Invest'!A:B,2,0)</f>
        <v/>
      </c>
      <c r="H170" s="62">
        <f>VLOOKUP(Table_1[[#This Row],[AÇÕES]],'Dados Status Invest'!A:C,3,0)/100</f>
        <v/>
      </c>
      <c r="I170" s="62">
        <f>VLOOKUP(Table_1[[#This Row],[AÇÕES]],'Dados Status Invest'!A:D,4,0)/100</f>
        <v/>
      </c>
      <c r="J170" s="63">
        <f>VLOOKUP(Table_1[[#This Row],[AÇÕES]],'Dados Status Invest'!A:AB,28,0)</f>
        <v/>
      </c>
      <c r="K170" s="63">
        <f>VLOOKUP(Table_1[[#This Row],[AÇÕES]],'Dados Status Invest'!A:AA,27,0)</f>
        <v/>
      </c>
      <c r="L170" s="63">
        <f>Table_1[[#This Row],[PREÇO]]*Table_1[[#This Row],[DY]]</f>
        <v/>
      </c>
      <c r="M170" s="62">
        <f>$E$13</f>
        <v/>
      </c>
      <c r="N170" s="62" t="n">
        <v>0.3</v>
      </c>
      <c r="O170" s="62">
        <f>Table_1[[#This Row],[DPA]]/Table_1[[#This Row],[LPA]]</f>
        <v/>
      </c>
      <c r="P170" s="62">
        <f>IF(Table_1[[#This Row],[PAYOUT]]&lt;=40%,"CRESCIMENTO",IF(Table_1[[#This Row],[PAYOUT]]&lt;=60%,"INDEFINIDO","DIVIDENDOS"))</f>
        <v/>
      </c>
      <c r="Q170" s="62">
        <f>VLOOKUP(Table_1[[#This Row],[AÇÕES]],'Dados Status Invest'!A:R,18,0)/100</f>
        <v/>
      </c>
      <c r="R170" s="62">
        <f>VLOOKUP(Table_1[[#This Row],[AÇÕES]],'Dados Status Invest'!A:Y,25,0)/100</f>
        <v/>
      </c>
      <c r="S170" s="62">
        <f>(1-Table_1[[#This Row],[PAYOUT]])*Table_1[[#This Row],[ROE]]</f>
        <v/>
      </c>
      <c r="T170" s="98">
        <f>AVERAGE(Table_1[[#This Row],[CAGR LUCRO 5A]],Table_1[[#This Row],[CRESCIMENTO DAMODARAN]])</f>
        <v/>
      </c>
      <c r="U170" s="64">
        <f>(Table_1[[#This Row],[PREÇO JUSTO BAZIN]]-Table_1[[#This Row],[PREÇO]])/Table_1[[#This Row],[PREÇO JUSTO BAZIN]]</f>
        <v/>
      </c>
      <c r="V170" s="129">
        <f>Table_1[[#This Row],[DPA]]/6%</f>
        <v/>
      </c>
      <c r="W170" s="129">
        <f>Table_1[[#This Row],[PREÇO JUSTO BAZIN]]/(1+Table_1[[#This Row],[MARGEM DE DESCONTO]])</f>
        <v/>
      </c>
      <c r="X170" s="64">
        <f>(Table_1[[#This Row],[PREÇO JUSTO GRAHAM]]-Table_1[[#This Row],[PREÇO]])/Table_1[[#This Row],[PREÇO JUSTO GRAHAM]]</f>
        <v/>
      </c>
      <c r="Y170" s="129">
        <f>(22.5*Table_1[[#This Row],[LPA]]*Table_1[[#This Row],[VPA]])^0.5</f>
        <v/>
      </c>
      <c r="Z170" s="129">
        <f>Table_1[[#This Row],[PREÇO JUSTO GRAHAM]]/(1+Table_1[[#This Row],[MARGEM DE DESCONTO]])</f>
        <v/>
      </c>
      <c r="AA170" s="64">
        <f>(Table_1[[#This Row],[PREÇO JUSTO GORDON]]-Table_1[[#This Row],[PREÇO]])/Table_1[[#This Row],[PREÇO JUSTO GORDON]]</f>
        <v/>
      </c>
      <c r="AB170" s="130">
        <f>Table_1[[#This Row],[DPA]]*(1+Table_1[[#This Row],[MÉDIA DE CRESCIMENTO]])</f>
        <v/>
      </c>
      <c r="AC170" s="130">
        <f>Table_1[[#This Row],[D1]]/(Table_1[[#This Row],[RISCO]]-Table_1[[#This Row],[MÉDIA DE CRESCIMENTO]])</f>
        <v/>
      </c>
      <c r="AD170" s="130">
        <f>Table_1[[#This Row],[PREÇO JUSTO GORDON]]/(1+Table_1[[#This Row],[MARGEM DE DESCONTO]])</f>
        <v/>
      </c>
      <c r="AE170" s="78">
        <f>Table_1[[#This Row],[P/L]]/Table_1[[#This Row],[MÉDIA DE CRESCIMENTO]]</f>
        <v/>
      </c>
    </row>
    <row r="171" ht="15.75" customHeight="1">
      <c r="B171" s="77">
        <f>'Dados Status Invest'!A157</f>
        <v/>
      </c>
      <c r="C171" s="60">
        <f>VLOOKUP(Table_1[[#This Row],[AÇÕES]],'Classificação B3'!A:B,2,0)</f>
        <v/>
      </c>
      <c r="D171" s="60">
        <f>VLOOKUP(Table_1[[#This Row],[AÇÕES]],'Classificação B3'!A:D,4,0)</f>
        <v/>
      </c>
      <c r="E171" s="60">
        <f>VLOOKUP(Table_1[[#This Row],[AÇÕES]],'Classificação B3'!A:F,6,0)</f>
        <v/>
      </c>
      <c r="F171" s="60">
        <f>VLOOKUP(Table_1[[#This Row],[AÇÕES]],'Classificação B3'!A:G,7,0)</f>
        <v/>
      </c>
      <c r="G171" s="61">
        <f>VLOOKUP(Table_1[[#This Row],[AÇÕES]],'Dados Status Invest'!A:B,2,0)</f>
        <v/>
      </c>
      <c r="H171" s="62">
        <f>VLOOKUP(Table_1[[#This Row],[AÇÕES]],'Dados Status Invest'!A:C,3,0)/100</f>
        <v/>
      </c>
      <c r="I171" s="62">
        <f>VLOOKUP(Table_1[[#This Row],[AÇÕES]],'Dados Status Invest'!A:D,4,0)/100</f>
        <v/>
      </c>
      <c r="J171" s="63">
        <f>VLOOKUP(Table_1[[#This Row],[AÇÕES]],'Dados Status Invest'!A:AB,28,0)</f>
        <v/>
      </c>
      <c r="K171" s="63">
        <f>VLOOKUP(Table_1[[#This Row],[AÇÕES]],'Dados Status Invest'!A:AA,27,0)</f>
        <v/>
      </c>
      <c r="L171" s="63">
        <f>Table_1[[#This Row],[PREÇO]]*Table_1[[#This Row],[DY]]</f>
        <v/>
      </c>
      <c r="M171" s="62">
        <f>$E$13</f>
        <v/>
      </c>
      <c r="N171" s="62" t="n">
        <v>0.3</v>
      </c>
      <c r="O171" s="62">
        <f>Table_1[[#This Row],[DPA]]/Table_1[[#This Row],[LPA]]</f>
        <v/>
      </c>
      <c r="P171" s="62">
        <f>IF(Table_1[[#This Row],[PAYOUT]]&lt;=40%,"CRESCIMENTO",IF(Table_1[[#This Row],[PAYOUT]]&lt;=60%,"INDEFINIDO","DIVIDENDOS"))</f>
        <v/>
      </c>
      <c r="Q171" s="62">
        <f>VLOOKUP(Table_1[[#This Row],[AÇÕES]],'Dados Status Invest'!A:R,18,0)/100</f>
        <v/>
      </c>
      <c r="R171" s="62">
        <f>VLOOKUP(Table_1[[#This Row],[AÇÕES]],'Dados Status Invest'!A:Y,25,0)/100</f>
        <v/>
      </c>
      <c r="S171" s="62">
        <f>(1-Table_1[[#This Row],[PAYOUT]])*Table_1[[#This Row],[ROE]]</f>
        <v/>
      </c>
      <c r="T171" s="98">
        <f>AVERAGE(Table_1[[#This Row],[CAGR LUCRO 5A]],Table_1[[#This Row],[CRESCIMENTO DAMODARAN]])</f>
        <v/>
      </c>
      <c r="U171" s="64">
        <f>(Table_1[[#This Row],[PREÇO JUSTO BAZIN]]-Table_1[[#This Row],[PREÇO]])/Table_1[[#This Row],[PREÇO JUSTO BAZIN]]</f>
        <v/>
      </c>
      <c r="V171" s="129">
        <f>Table_1[[#This Row],[DPA]]/6%</f>
        <v/>
      </c>
      <c r="W171" s="129">
        <f>Table_1[[#This Row],[PREÇO JUSTO BAZIN]]/(1+Table_1[[#This Row],[MARGEM DE DESCONTO]])</f>
        <v/>
      </c>
      <c r="X171" s="64">
        <f>(Table_1[[#This Row],[PREÇO JUSTO GRAHAM]]-Table_1[[#This Row],[PREÇO]])/Table_1[[#This Row],[PREÇO JUSTO GRAHAM]]</f>
        <v/>
      </c>
      <c r="Y171" s="129">
        <f>(22.5*Table_1[[#This Row],[LPA]]*Table_1[[#This Row],[VPA]])^0.5</f>
        <v/>
      </c>
      <c r="Z171" s="129">
        <f>Table_1[[#This Row],[PREÇO JUSTO GRAHAM]]/(1+Table_1[[#This Row],[MARGEM DE DESCONTO]])</f>
        <v/>
      </c>
      <c r="AA171" s="64">
        <f>(Table_1[[#This Row],[PREÇO JUSTO GORDON]]-Table_1[[#This Row],[PREÇO]])/Table_1[[#This Row],[PREÇO JUSTO GORDON]]</f>
        <v/>
      </c>
      <c r="AB171" s="130">
        <f>Table_1[[#This Row],[DPA]]*(1+Table_1[[#This Row],[MÉDIA DE CRESCIMENTO]])</f>
        <v/>
      </c>
      <c r="AC171" s="130">
        <f>Table_1[[#This Row],[D1]]/(Table_1[[#This Row],[RISCO]]-Table_1[[#This Row],[MÉDIA DE CRESCIMENTO]])</f>
        <v/>
      </c>
      <c r="AD171" s="130">
        <f>Table_1[[#This Row],[PREÇO JUSTO GORDON]]/(1+Table_1[[#This Row],[MARGEM DE DESCONTO]])</f>
        <v/>
      </c>
      <c r="AE171" s="78">
        <f>Table_1[[#This Row],[P/L]]/Table_1[[#This Row],[MÉDIA DE CRESCIMENTO]]</f>
        <v/>
      </c>
    </row>
    <row r="172" ht="15.75" customHeight="1">
      <c r="B172" s="77">
        <f>'Dados Status Invest'!A158</f>
        <v/>
      </c>
      <c r="C172" s="60">
        <f>VLOOKUP(Table_1[[#This Row],[AÇÕES]],'Classificação B3'!A:B,2,0)</f>
        <v/>
      </c>
      <c r="D172" s="60">
        <f>VLOOKUP(Table_1[[#This Row],[AÇÕES]],'Classificação B3'!A:D,4,0)</f>
        <v/>
      </c>
      <c r="E172" s="60">
        <f>VLOOKUP(Table_1[[#This Row],[AÇÕES]],'Classificação B3'!A:F,6,0)</f>
        <v/>
      </c>
      <c r="F172" s="60">
        <f>VLOOKUP(Table_1[[#This Row],[AÇÕES]],'Classificação B3'!A:G,7,0)</f>
        <v/>
      </c>
      <c r="G172" s="61">
        <f>VLOOKUP(Table_1[[#This Row],[AÇÕES]],'Dados Status Invest'!A:B,2,0)</f>
        <v/>
      </c>
      <c r="H172" s="62">
        <f>VLOOKUP(Table_1[[#This Row],[AÇÕES]],'Dados Status Invest'!A:C,3,0)/100</f>
        <v/>
      </c>
      <c r="I172" s="62">
        <f>VLOOKUP(Table_1[[#This Row],[AÇÕES]],'Dados Status Invest'!A:D,4,0)/100</f>
        <v/>
      </c>
      <c r="J172" s="63">
        <f>VLOOKUP(Table_1[[#This Row],[AÇÕES]],'Dados Status Invest'!A:AB,28,0)</f>
        <v/>
      </c>
      <c r="K172" s="63">
        <f>VLOOKUP(Table_1[[#This Row],[AÇÕES]],'Dados Status Invest'!A:AA,27,0)</f>
        <v/>
      </c>
      <c r="L172" s="63">
        <f>Table_1[[#This Row],[PREÇO]]*Table_1[[#This Row],[DY]]</f>
        <v/>
      </c>
      <c r="M172" s="62">
        <f>$E$13</f>
        <v/>
      </c>
      <c r="N172" s="62" t="n">
        <v>0.3</v>
      </c>
      <c r="O172" s="62">
        <f>Table_1[[#This Row],[DPA]]/Table_1[[#This Row],[LPA]]</f>
        <v/>
      </c>
      <c r="P172" s="62">
        <f>IF(Table_1[[#This Row],[PAYOUT]]&lt;=40%,"CRESCIMENTO",IF(Table_1[[#This Row],[PAYOUT]]&lt;=60%,"INDEFINIDO","DIVIDENDOS"))</f>
        <v/>
      </c>
      <c r="Q172" s="62">
        <f>VLOOKUP(Table_1[[#This Row],[AÇÕES]],'Dados Status Invest'!A:R,18,0)/100</f>
        <v/>
      </c>
      <c r="R172" s="62">
        <f>VLOOKUP(Table_1[[#This Row],[AÇÕES]],'Dados Status Invest'!A:Y,25,0)/100</f>
        <v/>
      </c>
      <c r="S172" s="62">
        <f>(1-Table_1[[#This Row],[PAYOUT]])*Table_1[[#This Row],[ROE]]</f>
        <v/>
      </c>
      <c r="T172" s="98">
        <f>AVERAGE(Table_1[[#This Row],[CAGR LUCRO 5A]],Table_1[[#This Row],[CRESCIMENTO DAMODARAN]])</f>
        <v/>
      </c>
      <c r="U172" s="64">
        <f>(Table_1[[#This Row],[PREÇO JUSTO BAZIN]]-Table_1[[#This Row],[PREÇO]])/Table_1[[#This Row],[PREÇO JUSTO BAZIN]]</f>
        <v/>
      </c>
      <c r="V172" s="129">
        <f>Table_1[[#This Row],[DPA]]/6%</f>
        <v/>
      </c>
      <c r="W172" s="129">
        <f>Table_1[[#This Row],[PREÇO JUSTO BAZIN]]/(1+Table_1[[#This Row],[MARGEM DE DESCONTO]])</f>
        <v/>
      </c>
      <c r="X172" s="64">
        <f>(Table_1[[#This Row],[PREÇO JUSTO GRAHAM]]-Table_1[[#This Row],[PREÇO]])/Table_1[[#This Row],[PREÇO JUSTO GRAHAM]]</f>
        <v/>
      </c>
      <c r="Y172" s="129">
        <f>(22.5*Table_1[[#This Row],[LPA]]*Table_1[[#This Row],[VPA]])^0.5</f>
        <v/>
      </c>
      <c r="Z172" s="129">
        <f>Table_1[[#This Row],[PREÇO JUSTO GRAHAM]]/(1+Table_1[[#This Row],[MARGEM DE DESCONTO]])</f>
        <v/>
      </c>
      <c r="AA172" s="64">
        <f>(Table_1[[#This Row],[PREÇO JUSTO GORDON]]-Table_1[[#This Row],[PREÇO]])/Table_1[[#This Row],[PREÇO JUSTO GORDON]]</f>
        <v/>
      </c>
      <c r="AB172" s="130">
        <f>Table_1[[#This Row],[DPA]]*(1+Table_1[[#This Row],[MÉDIA DE CRESCIMENTO]])</f>
        <v/>
      </c>
      <c r="AC172" s="130">
        <f>Table_1[[#This Row],[D1]]/(Table_1[[#This Row],[RISCO]]-Table_1[[#This Row],[MÉDIA DE CRESCIMENTO]])</f>
        <v/>
      </c>
      <c r="AD172" s="130">
        <f>Table_1[[#This Row],[PREÇO JUSTO GORDON]]/(1+Table_1[[#This Row],[MARGEM DE DESCONTO]])</f>
        <v/>
      </c>
      <c r="AE172" s="78">
        <f>Table_1[[#This Row],[P/L]]/Table_1[[#This Row],[MÉDIA DE CRESCIMENTO]]</f>
        <v/>
      </c>
    </row>
    <row r="173" ht="15.75" customHeight="1">
      <c r="B173" s="77">
        <f>'Dados Status Invest'!A159</f>
        <v/>
      </c>
      <c r="C173" s="60">
        <f>VLOOKUP(Table_1[[#This Row],[AÇÕES]],'Classificação B3'!A:B,2,0)</f>
        <v/>
      </c>
      <c r="D173" s="60">
        <f>VLOOKUP(Table_1[[#This Row],[AÇÕES]],'Classificação B3'!A:D,4,0)</f>
        <v/>
      </c>
      <c r="E173" s="60">
        <f>VLOOKUP(Table_1[[#This Row],[AÇÕES]],'Classificação B3'!A:F,6,0)</f>
        <v/>
      </c>
      <c r="F173" s="60">
        <f>VLOOKUP(Table_1[[#This Row],[AÇÕES]],'Classificação B3'!A:G,7,0)</f>
        <v/>
      </c>
      <c r="G173" s="61">
        <f>VLOOKUP(Table_1[[#This Row],[AÇÕES]],'Dados Status Invest'!A:B,2,0)</f>
        <v/>
      </c>
      <c r="H173" s="62">
        <f>VLOOKUP(Table_1[[#This Row],[AÇÕES]],'Dados Status Invest'!A:C,3,0)/100</f>
        <v/>
      </c>
      <c r="I173" s="62">
        <f>VLOOKUP(Table_1[[#This Row],[AÇÕES]],'Dados Status Invest'!A:D,4,0)/100</f>
        <v/>
      </c>
      <c r="J173" s="63">
        <f>VLOOKUP(Table_1[[#This Row],[AÇÕES]],'Dados Status Invest'!A:AB,28,0)</f>
        <v/>
      </c>
      <c r="K173" s="63">
        <f>VLOOKUP(Table_1[[#This Row],[AÇÕES]],'Dados Status Invest'!A:AA,27,0)</f>
        <v/>
      </c>
      <c r="L173" s="63">
        <f>Table_1[[#This Row],[PREÇO]]*Table_1[[#This Row],[DY]]</f>
        <v/>
      </c>
      <c r="M173" s="62">
        <f>$E$13</f>
        <v/>
      </c>
      <c r="N173" s="62" t="n">
        <v>0.3</v>
      </c>
      <c r="O173" s="62">
        <f>Table_1[[#This Row],[DPA]]/Table_1[[#This Row],[LPA]]</f>
        <v/>
      </c>
      <c r="P173" s="62">
        <f>IF(Table_1[[#This Row],[PAYOUT]]&lt;=40%,"CRESCIMENTO",IF(Table_1[[#This Row],[PAYOUT]]&lt;=60%,"INDEFINIDO","DIVIDENDOS"))</f>
        <v/>
      </c>
      <c r="Q173" s="62">
        <f>VLOOKUP(Table_1[[#This Row],[AÇÕES]],'Dados Status Invest'!A:R,18,0)/100</f>
        <v/>
      </c>
      <c r="R173" s="62">
        <f>VLOOKUP(Table_1[[#This Row],[AÇÕES]],'Dados Status Invest'!A:Y,25,0)/100</f>
        <v/>
      </c>
      <c r="S173" s="62">
        <f>(1-Table_1[[#This Row],[PAYOUT]])*Table_1[[#This Row],[ROE]]</f>
        <v/>
      </c>
      <c r="T173" s="98">
        <f>AVERAGE(Table_1[[#This Row],[CAGR LUCRO 5A]],Table_1[[#This Row],[CRESCIMENTO DAMODARAN]])</f>
        <v/>
      </c>
      <c r="U173" s="64">
        <f>(Table_1[[#This Row],[PREÇO JUSTO BAZIN]]-Table_1[[#This Row],[PREÇO]])/Table_1[[#This Row],[PREÇO JUSTO BAZIN]]</f>
        <v/>
      </c>
      <c r="V173" s="129">
        <f>Table_1[[#This Row],[DPA]]/6%</f>
        <v/>
      </c>
      <c r="W173" s="129">
        <f>Table_1[[#This Row],[PREÇO JUSTO BAZIN]]/(1+Table_1[[#This Row],[MARGEM DE DESCONTO]])</f>
        <v/>
      </c>
      <c r="X173" s="64">
        <f>(Table_1[[#This Row],[PREÇO JUSTO GRAHAM]]-Table_1[[#This Row],[PREÇO]])/Table_1[[#This Row],[PREÇO JUSTO GRAHAM]]</f>
        <v/>
      </c>
      <c r="Y173" s="129">
        <f>(22.5*Table_1[[#This Row],[LPA]]*Table_1[[#This Row],[VPA]])^0.5</f>
        <v/>
      </c>
      <c r="Z173" s="129">
        <f>Table_1[[#This Row],[PREÇO JUSTO GRAHAM]]/(1+Table_1[[#This Row],[MARGEM DE DESCONTO]])</f>
        <v/>
      </c>
      <c r="AA173" s="64">
        <f>(Table_1[[#This Row],[PREÇO JUSTO GORDON]]-Table_1[[#This Row],[PREÇO]])/Table_1[[#This Row],[PREÇO JUSTO GORDON]]</f>
        <v/>
      </c>
      <c r="AB173" s="130">
        <f>Table_1[[#This Row],[DPA]]*(1+Table_1[[#This Row],[MÉDIA DE CRESCIMENTO]])</f>
        <v/>
      </c>
      <c r="AC173" s="130">
        <f>Table_1[[#This Row],[D1]]/(Table_1[[#This Row],[RISCO]]-Table_1[[#This Row],[MÉDIA DE CRESCIMENTO]])</f>
        <v/>
      </c>
      <c r="AD173" s="130">
        <f>Table_1[[#This Row],[PREÇO JUSTO GORDON]]/(1+Table_1[[#This Row],[MARGEM DE DESCONTO]])</f>
        <v/>
      </c>
      <c r="AE173" s="78">
        <f>Table_1[[#This Row],[P/L]]/Table_1[[#This Row],[MÉDIA DE CRESCIMENTO]]</f>
        <v/>
      </c>
    </row>
    <row r="174" ht="15.75" customHeight="1">
      <c r="B174" s="77">
        <f>'Dados Status Invest'!A160</f>
        <v/>
      </c>
      <c r="C174" s="60">
        <f>VLOOKUP(Table_1[[#This Row],[AÇÕES]],'Classificação B3'!A:B,2,0)</f>
        <v/>
      </c>
      <c r="D174" s="60">
        <f>VLOOKUP(Table_1[[#This Row],[AÇÕES]],'Classificação B3'!A:D,4,0)</f>
        <v/>
      </c>
      <c r="E174" s="60">
        <f>VLOOKUP(Table_1[[#This Row],[AÇÕES]],'Classificação B3'!A:F,6,0)</f>
        <v/>
      </c>
      <c r="F174" s="60">
        <f>VLOOKUP(Table_1[[#This Row],[AÇÕES]],'Classificação B3'!A:G,7,0)</f>
        <v/>
      </c>
      <c r="G174" s="61">
        <f>VLOOKUP(Table_1[[#This Row],[AÇÕES]],'Dados Status Invest'!A:B,2,0)</f>
        <v/>
      </c>
      <c r="H174" s="62">
        <f>VLOOKUP(Table_1[[#This Row],[AÇÕES]],'Dados Status Invest'!A:C,3,0)/100</f>
        <v/>
      </c>
      <c r="I174" s="62">
        <f>VLOOKUP(Table_1[[#This Row],[AÇÕES]],'Dados Status Invest'!A:D,4,0)/100</f>
        <v/>
      </c>
      <c r="J174" s="63">
        <f>VLOOKUP(Table_1[[#This Row],[AÇÕES]],'Dados Status Invest'!A:AB,28,0)</f>
        <v/>
      </c>
      <c r="K174" s="63">
        <f>VLOOKUP(Table_1[[#This Row],[AÇÕES]],'Dados Status Invest'!A:AA,27,0)</f>
        <v/>
      </c>
      <c r="L174" s="63">
        <f>Table_1[[#This Row],[PREÇO]]*Table_1[[#This Row],[DY]]</f>
        <v/>
      </c>
      <c r="M174" s="62">
        <f>$E$13</f>
        <v/>
      </c>
      <c r="N174" s="62" t="n">
        <v>0.3</v>
      </c>
      <c r="O174" s="62">
        <f>Table_1[[#This Row],[DPA]]/Table_1[[#This Row],[LPA]]</f>
        <v/>
      </c>
      <c r="P174" s="62">
        <f>IF(Table_1[[#This Row],[PAYOUT]]&lt;=40%,"CRESCIMENTO",IF(Table_1[[#This Row],[PAYOUT]]&lt;=60%,"INDEFINIDO","DIVIDENDOS"))</f>
        <v/>
      </c>
      <c r="Q174" s="62">
        <f>VLOOKUP(Table_1[[#This Row],[AÇÕES]],'Dados Status Invest'!A:R,18,0)/100</f>
        <v/>
      </c>
      <c r="R174" s="62">
        <f>VLOOKUP(Table_1[[#This Row],[AÇÕES]],'Dados Status Invest'!A:Y,25,0)/100</f>
        <v/>
      </c>
      <c r="S174" s="62">
        <f>(1-Table_1[[#This Row],[PAYOUT]])*Table_1[[#This Row],[ROE]]</f>
        <v/>
      </c>
      <c r="T174" s="98">
        <f>AVERAGE(Table_1[[#This Row],[CAGR LUCRO 5A]],Table_1[[#This Row],[CRESCIMENTO DAMODARAN]])</f>
        <v/>
      </c>
      <c r="U174" s="64">
        <f>(Table_1[[#This Row],[PREÇO JUSTO BAZIN]]-Table_1[[#This Row],[PREÇO]])/Table_1[[#This Row],[PREÇO JUSTO BAZIN]]</f>
        <v/>
      </c>
      <c r="V174" s="129">
        <f>Table_1[[#This Row],[DPA]]/6%</f>
        <v/>
      </c>
      <c r="W174" s="129">
        <f>Table_1[[#This Row],[PREÇO JUSTO BAZIN]]/(1+Table_1[[#This Row],[MARGEM DE DESCONTO]])</f>
        <v/>
      </c>
      <c r="X174" s="64">
        <f>(Table_1[[#This Row],[PREÇO JUSTO GRAHAM]]-Table_1[[#This Row],[PREÇO]])/Table_1[[#This Row],[PREÇO JUSTO GRAHAM]]</f>
        <v/>
      </c>
      <c r="Y174" s="129">
        <f>(22.5*Table_1[[#This Row],[LPA]]*Table_1[[#This Row],[VPA]])^0.5</f>
        <v/>
      </c>
      <c r="Z174" s="129">
        <f>Table_1[[#This Row],[PREÇO JUSTO GRAHAM]]/(1+Table_1[[#This Row],[MARGEM DE DESCONTO]])</f>
        <v/>
      </c>
      <c r="AA174" s="64">
        <f>(Table_1[[#This Row],[PREÇO JUSTO GORDON]]-Table_1[[#This Row],[PREÇO]])/Table_1[[#This Row],[PREÇO JUSTO GORDON]]</f>
        <v/>
      </c>
      <c r="AB174" s="130">
        <f>Table_1[[#This Row],[DPA]]*(1+Table_1[[#This Row],[MÉDIA DE CRESCIMENTO]])</f>
        <v/>
      </c>
      <c r="AC174" s="130">
        <f>Table_1[[#This Row],[D1]]/(Table_1[[#This Row],[RISCO]]-Table_1[[#This Row],[MÉDIA DE CRESCIMENTO]])</f>
        <v/>
      </c>
      <c r="AD174" s="130">
        <f>Table_1[[#This Row],[PREÇO JUSTO GORDON]]/(1+Table_1[[#This Row],[MARGEM DE DESCONTO]])</f>
        <v/>
      </c>
      <c r="AE174" s="78">
        <f>Table_1[[#This Row],[P/L]]/Table_1[[#This Row],[MÉDIA DE CRESCIMENTO]]</f>
        <v/>
      </c>
    </row>
    <row r="175" ht="15.75" customHeight="1">
      <c r="B175" s="77">
        <f>'Dados Status Invest'!A161</f>
        <v/>
      </c>
      <c r="C175" s="60">
        <f>VLOOKUP(Table_1[[#This Row],[AÇÕES]],'Classificação B3'!A:B,2,0)</f>
        <v/>
      </c>
      <c r="D175" s="60">
        <f>VLOOKUP(Table_1[[#This Row],[AÇÕES]],'Classificação B3'!A:D,4,0)</f>
        <v/>
      </c>
      <c r="E175" s="60">
        <f>VLOOKUP(Table_1[[#This Row],[AÇÕES]],'Classificação B3'!A:F,6,0)</f>
        <v/>
      </c>
      <c r="F175" s="60">
        <f>VLOOKUP(Table_1[[#This Row],[AÇÕES]],'Classificação B3'!A:G,7,0)</f>
        <v/>
      </c>
      <c r="G175" s="61">
        <f>VLOOKUP(Table_1[[#This Row],[AÇÕES]],'Dados Status Invest'!A:B,2,0)</f>
        <v/>
      </c>
      <c r="H175" s="62">
        <f>VLOOKUP(Table_1[[#This Row],[AÇÕES]],'Dados Status Invest'!A:C,3,0)/100</f>
        <v/>
      </c>
      <c r="I175" s="62">
        <f>VLOOKUP(Table_1[[#This Row],[AÇÕES]],'Dados Status Invest'!A:D,4,0)/100</f>
        <v/>
      </c>
      <c r="J175" s="63">
        <f>VLOOKUP(Table_1[[#This Row],[AÇÕES]],'Dados Status Invest'!A:AB,28,0)</f>
        <v/>
      </c>
      <c r="K175" s="63">
        <f>VLOOKUP(Table_1[[#This Row],[AÇÕES]],'Dados Status Invest'!A:AA,27,0)</f>
        <v/>
      </c>
      <c r="L175" s="63">
        <f>Table_1[[#This Row],[PREÇO]]*Table_1[[#This Row],[DY]]</f>
        <v/>
      </c>
      <c r="M175" s="62">
        <f>$E$13</f>
        <v/>
      </c>
      <c r="N175" s="62" t="n">
        <v>0.3</v>
      </c>
      <c r="O175" s="62">
        <f>Table_1[[#This Row],[DPA]]/Table_1[[#This Row],[LPA]]</f>
        <v/>
      </c>
      <c r="P175" s="62">
        <f>IF(Table_1[[#This Row],[PAYOUT]]&lt;=40%,"CRESCIMENTO",IF(Table_1[[#This Row],[PAYOUT]]&lt;=60%,"INDEFINIDO","DIVIDENDOS"))</f>
        <v/>
      </c>
      <c r="Q175" s="62">
        <f>VLOOKUP(Table_1[[#This Row],[AÇÕES]],'Dados Status Invest'!A:R,18,0)/100</f>
        <v/>
      </c>
      <c r="R175" s="62">
        <f>VLOOKUP(Table_1[[#This Row],[AÇÕES]],'Dados Status Invest'!A:Y,25,0)/100</f>
        <v/>
      </c>
      <c r="S175" s="62">
        <f>(1-Table_1[[#This Row],[PAYOUT]])*Table_1[[#This Row],[ROE]]</f>
        <v/>
      </c>
      <c r="T175" s="98">
        <f>AVERAGE(Table_1[[#This Row],[CAGR LUCRO 5A]],Table_1[[#This Row],[CRESCIMENTO DAMODARAN]])</f>
        <v/>
      </c>
      <c r="U175" s="64">
        <f>(Table_1[[#This Row],[PREÇO JUSTO BAZIN]]-Table_1[[#This Row],[PREÇO]])/Table_1[[#This Row],[PREÇO JUSTO BAZIN]]</f>
        <v/>
      </c>
      <c r="V175" s="129">
        <f>Table_1[[#This Row],[DPA]]/6%</f>
        <v/>
      </c>
      <c r="W175" s="129">
        <f>Table_1[[#This Row],[PREÇO JUSTO BAZIN]]/(1+Table_1[[#This Row],[MARGEM DE DESCONTO]])</f>
        <v/>
      </c>
      <c r="X175" s="64">
        <f>(Table_1[[#This Row],[PREÇO JUSTO GRAHAM]]-Table_1[[#This Row],[PREÇO]])/Table_1[[#This Row],[PREÇO JUSTO GRAHAM]]</f>
        <v/>
      </c>
      <c r="Y175" s="129">
        <f>(22.5*Table_1[[#This Row],[LPA]]*Table_1[[#This Row],[VPA]])^0.5</f>
        <v/>
      </c>
      <c r="Z175" s="129">
        <f>Table_1[[#This Row],[PREÇO JUSTO GRAHAM]]/(1+Table_1[[#This Row],[MARGEM DE DESCONTO]])</f>
        <v/>
      </c>
      <c r="AA175" s="64">
        <f>(Table_1[[#This Row],[PREÇO JUSTO GORDON]]-Table_1[[#This Row],[PREÇO]])/Table_1[[#This Row],[PREÇO JUSTO GORDON]]</f>
        <v/>
      </c>
      <c r="AB175" s="130">
        <f>Table_1[[#This Row],[DPA]]*(1+Table_1[[#This Row],[MÉDIA DE CRESCIMENTO]])</f>
        <v/>
      </c>
      <c r="AC175" s="130">
        <f>Table_1[[#This Row],[D1]]/(Table_1[[#This Row],[RISCO]]-Table_1[[#This Row],[MÉDIA DE CRESCIMENTO]])</f>
        <v/>
      </c>
      <c r="AD175" s="130">
        <f>Table_1[[#This Row],[PREÇO JUSTO GORDON]]/(1+Table_1[[#This Row],[MARGEM DE DESCONTO]])</f>
        <v/>
      </c>
      <c r="AE175" s="78">
        <f>Table_1[[#This Row],[P/L]]/Table_1[[#This Row],[MÉDIA DE CRESCIMENTO]]</f>
        <v/>
      </c>
    </row>
    <row r="176" ht="15.75" customHeight="1">
      <c r="B176" s="77">
        <f>'Dados Status Invest'!A162</f>
        <v/>
      </c>
      <c r="C176" s="60">
        <f>VLOOKUP(Table_1[[#This Row],[AÇÕES]],'Classificação B3'!A:B,2,0)</f>
        <v/>
      </c>
      <c r="D176" s="60">
        <f>VLOOKUP(Table_1[[#This Row],[AÇÕES]],'Classificação B3'!A:D,4,0)</f>
        <v/>
      </c>
      <c r="E176" s="60">
        <f>VLOOKUP(Table_1[[#This Row],[AÇÕES]],'Classificação B3'!A:F,6,0)</f>
        <v/>
      </c>
      <c r="F176" s="60">
        <f>VLOOKUP(Table_1[[#This Row],[AÇÕES]],'Classificação B3'!A:G,7,0)</f>
        <v/>
      </c>
      <c r="G176" s="61">
        <f>VLOOKUP(Table_1[[#This Row],[AÇÕES]],'Dados Status Invest'!A:B,2,0)</f>
        <v/>
      </c>
      <c r="H176" s="62">
        <f>VLOOKUP(Table_1[[#This Row],[AÇÕES]],'Dados Status Invest'!A:C,3,0)/100</f>
        <v/>
      </c>
      <c r="I176" s="62">
        <f>VLOOKUP(Table_1[[#This Row],[AÇÕES]],'Dados Status Invest'!A:D,4,0)/100</f>
        <v/>
      </c>
      <c r="J176" s="63">
        <f>VLOOKUP(Table_1[[#This Row],[AÇÕES]],'Dados Status Invest'!A:AB,28,0)</f>
        <v/>
      </c>
      <c r="K176" s="63">
        <f>VLOOKUP(Table_1[[#This Row],[AÇÕES]],'Dados Status Invest'!A:AA,27,0)</f>
        <v/>
      </c>
      <c r="L176" s="63">
        <f>Table_1[[#This Row],[PREÇO]]*Table_1[[#This Row],[DY]]</f>
        <v/>
      </c>
      <c r="M176" s="62">
        <f>$E$13</f>
        <v/>
      </c>
      <c r="N176" s="62" t="n">
        <v>0.3</v>
      </c>
      <c r="O176" s="62">
        <f>Table_1[[#This Row],[DPA]]/Table_1[[#This Row],[LPA]]</f>
        <v/>
      </c>
      <c r="P176" s="62">
        <f>IF(Table_1[[#This Row],[PAYOUT]]&lt;=40%,"CRESCIMENTO",IF(Table_1[[#This Row],[PAYOUT]]&lt;=60%,"INDEFINIDO","DIVIDENDOS"))</f>
        <v/>
      </c>
      <c r="Q176" s="62">
        <f>VLOOKUP(Table_1[[#This Row],[AÇÕES]],'Dados Status Invest'!A:R,18,0)/100</f>
        <v/>
      </c>
      <c r="R176" s="62">
        <f>VLOOKUP(Table_1[[#This Row],[AÇÕES]],'Dados Status Invest'!A:Y,25,0)/100</f>
        <v/>
      </c>
      <c r="S176" s="62">
        <f>(1-Table_1[[#This Row],[PAYOUT]])*Table_1[[#This Row],[ROE]]</f>
        <v/>
      </c>
      <c r="T176" s="98">
        <f>AVERAGE(Table_1[[#This Row],[CAGR LUCRO 5A]],Table_1[[#This Row],[CRESCIMENTO DAMODARAN]])</f>
        <v/>
      </c>
      <c r="U176" s="64">
        <f>(Table_1[[#This Row],[PREÇO JUSTO BAZIN]]-Table_1[[#This Row],[PREÇO]])/Table_1[[#This Row],[PREÇO JUSTO BAZIN]]</f>
        <v/>
      </c>
      <c r="V176" s="129">
        <f>Table_1[[#This Row],[DPA]]/6%</f>
        <v/>
      </c>
      <c r="W176" s="129">
        <f>Table_1[[#This Row],[PREÇO JUSTO BAZIN]]/(1+Table_1[[#This Row],[MARGEM DE DESCONTO]])</f>
        <v/>
      </c>
      <c r="X176" s="64">
        <f>(Table_1[[#This Row],[PREÇO JUSTO GRAHAM]]-Table_1[[#This Row],[PREÇO]])/Table_1[[#This Row],[PREÇO JUSTO GRAHAM]]</f>
        <v/>
      </c>
      <c r="Y176" s="129">
        <f>(22.5*Table_1[[#This Row],[LPA]]*Table_1[[#This Row],[VPA]])^0.5</f>
        <v/>
      </c>
      <c r="Z176" s="129">
        <f>Table_1[[#This Row],[PREÇO JUSTO GRAHAM]]/(1+Table_1[[#This Row],[MARGEM DE DESCONTO]])</f>
        <v/>
      </c>
      <c r="AA176" s="64">
        <f>(Table_1[[#This Row],[PREÇO JUSTO GORDON]]-Table_1[[#This Row],[PREÇO]])/Table_1[[#This Row],[PREÇO JUSTO GORDON]]</f>
        <v/>
      </c>
      <c r="AB176" s="130">
        <f>Table_1[[#This Row],[DPA]]*(1+Table_1[[#This Row],[MÉDIA DE CRESCIMENTO]])</f>
        <v/>
      </c>
      <c r="AC176" s="130">
        <f>Table_1[[#This Row],[D1]]/(Table_1[[#This Row],[RISCO]]-Table_1[[#This Row],[MÉDIA DE CRESCIMENTO]])</f>
        <v/>
      </c>
      <c r="AD176" s="130">
        <f>Table_1[[#This Row],[PREÇO JUSTO GORDON]]/(1+Table_1[[#This Row],[MARGEM DE DESCONTO]])</f>
        <v/>
      </c>
      <c r="AE176" s="78">
        <f>Table_1[[#This Row],[P/L]]/Table_1[[#This Row],[MÉDIA DE CRESCIMENTO]]</f>
        <v/>
      </c>
    </row>
    <row r="177" ht="15.75" customHeight="1">
      <c r="B177" s="77">
        <f>'Dados Status Invest'!A163</f>
        <v/>
      </c>
      <c r="C177" s="60">
        <f>VLOOKUP(Table_1[[#This Row],[AÇÕES]],'Classificação B3'!A:B,2,0)</f>
        <v/>
      </c>
      <c r="D177" s="60">
        <f>VLOOKUP(Table_1[[#This Row],[AÇÕES]],'Classificação B3'!A:D,4,0)</f>
        <v/>
      </c>
      <c r="E177" s="60">
        <f>VLOOKUP(Table_1[[#This Row],[AÇÕES]],'Classificação B3'!A:F,6,0)</f>
        <v/>
      </c>
      <c r="F177" s="60">
        <f>VLOOKUP(Table_1[[#This Row],[AÇÕES]],'Classificação B3'!A:G,7,0)</f>
        <v/>
      </c>
      <c r="G177" s="61">
        <f>VLOOKUP(Table_1[[#This Row],[AÇÕES]],'Dados Status Invest'!A:B,2,0)</f>
        <v/>
      </c>
      <c r="H177" s="62">
        <f>VLOOKUP(Table_1[[#This Row],[AÇÕES]],'Dados Status Invest'!A:C,3,0)/100</f>
        <v/>
      </c>
      <c r="I177" s="62">
        <f>VLOOKUP(Table_1[[#This Row],[AÇÕES]],'Dados Status Invest'!A:D,4,0)/100</f>
        <v/>
      </c>
      <c r="J177" s="63">
        <f>VLOOKUP(Table_1[[#This Row],[AÇÕES]],'Dados Status Invest'!A:AB,28,0)</f>
        <v/>
      </c>
      <c r="K177" s="63">
        <f>VLOOKUP(Table_1[[#This Row],[AÇÕES]],'Dados Status Invest'!A:AA,27,0)</f>
        <v/>
      </c>
      <c r="L177" s="63">
        <f>Table_1[[#This Row],[PREÇO]]*Table_1[[#This Row],[DY]]</f>
        <v/>
      </c>
      <c r="M177" s="62">
        <f>$E$13</f>
        <v/>
      </c>
      <c r="N177" s="62" t="n">
        <v>0.3</v>
      </c>
      <c r="O177" s="62">
        <f>Table_1[[#This Row],[DPA]]/Table_1[[#This Row],[LPA]]</f>
        <v/>
      </c>
      <c r="P177" s="62">
        <f>IF(Table_1[[#This Row],[PAYOUT]]&lt;=40%,"CRESCIMENTO",IF(Table_1[[#This Row],[PAYOUT]]&lt;=60%,"INDEFINIDO","DIVIDENDOS"))</f>
        <v/>
      </c>
      <c r="Q177" s="62">
        <f>VLOOKUP(Table_1[[#This Row],[AÇÕES]],'Dados Status Invest'!A:R,18,0)/100</f>
        <v/>
      </c>
      <c r="R177" s="62">
        <f>VLOOKUP(Table_1[[#This Row],[AÇÕES]],'Dados Status Invest'!A:Y,25,0)/100</f>
        <v/>
      </c>
      <c r="S177" s="62">
        <f>(1-Table_1[[#This Row],[PAYOUT]])*Table_1[[#This Row],[ROE]]</f>
        <v/>
      </c>
      <c r="T177" s="98">
        <f>AVERAGE(Table_1[[#This Row],[CAGR LUCRO 5A]],Table_1[[#This Row],[CRESCIMENTO DAMODARAN]])</f>
        <v/>
      </c>
      <c r="U177" s="64">
        <f>(Table_1[[#This Row],[PREÇO JUSTO BAZIN]]-Table_1[[#This Row],[PREÇO]])/Table_1[[#This Row],[PREÇO JUSTO BAZIN]]</f>
        <v/>
      </c>
      <c r="V177" s="129">
        <f>Table_1[[#This Row],[DPA]]/6%</f>
        <v/>
      </c>
      <c r="W177" s="129">
        <f>Table_1[[#This Row],[PREÇO JUSTO BAZIN]]/(1+Table_1[[#This Row],[MARGEM DE DESCONTO]])</f>
        <v/>
      </c>
      <c r="X177" s="64">
        <f>(Table_1[[#This Row],[PREÇO JUSTO GRAHAM]]-Table_1[[#This Row],[PREÇO]])/Table_1[[#This Row],[PREÇO JUSTO GRAHAM]]</f>
        <v/>
      </c>
      <c r="Y177" s="129">
        <f>(22.5*Table_1[[#This Row],[LPA]]*Table_1[[#This Row],[VPA]])^0.5</f>
        <v/>
      </c>
      <c r="Z177" s="129">
        <f>Table_1[[#This Row],[PREÇO JUSTO GRAHAM]]/(1+Table_1[[#This Row],[MARGEM DE DESCONTO]])</f>
        <v/>
      </c>
      <c r="AA177" s="64">
        <f>(Table_1[[#This Row],[PREÇO JUSTO GORDON]]-Table_1[[#This Row],[PREÇO]])/Table_1[[#This Row],[PREÇO JUSTO GORDON]]</f>
        <v/>
      </c>
      <c r="AB177" s="130">
        <f>Table_1[[#This Row],[DPA]]*(1+Table_1[[#This Row],[MÉDIA DE CRESCIMENTO]])</f>
        <v/>
      </c>
      <c r="AC177" s="130">
        <f>Table_1[[#This Row],[D1]]/(Table_1[[#This Row],[RISCO]]-Table_1[[#This Row],[MÉDIA DE CRESCIMENTO]])</f>
        <v/>
      </c>
      <c r="AD177" s="130">
        <f>Table_1[[#This Row],[PREÇO JUSTO GORDON]]/(1+Table_1[[#This Row],[MARGEM DE DESCONTO]])</f>
        <v/>
      </c>
      <c r="AE177" s="78">
        <f>Table_1[[#This Row],[P/L]]/Table_1[[#This Row],[MÉDIA DE CRESCIMENTO]]</f>
        <v/>
      </c>
    </row>
    <row r="178" ht="15.75" customHeight="1">
      <c r="B178" s="77">
        <f>'Dados Status Invest'!A164</f>
        <v/>
      </c>
      <c r="C178" s="60">
        <f>VLOOKUP(Table_1[[#This Row],[AÇÕES]],'Classificação B3'!A:B,2,0)</f>
        <v/>
      </c>
      <c r="D178" s="60">
        <f>VLOOKUP(Table_1[[#This Row],[AÇÕES]],'Classificação B3'!A:D,4,0)</f>
        <v/>
      </c>
      <c r="E178" s="60">
        <f>VLOOKUP(Table_1[[#This Row],[AÇÕES]],'Classificação B3'!A:F,6,0)</f>
        <v/>
      </c>
      <c r="F178" s="60">
        <f>VLOOKUP(Table_1[[#This Row],[AÇÕES]],'Classificação B3'!A:G,7,0)</f>
        <v/>
      </c>
      <c r="G178" s="61">
        <f>VLOOKUP(Table_1[[#This Row],[AÇÕES]],'Dados Status Invest'!A:B,2,0)</f>
        <v/>
      </c>
      <c r="H178" s="62">
        <f>VLOOKUP(Table_1[[#This Row],[AÇÕES]],'Dados Status Invest'!A:C,3,0)/100</f>
        <v/>
      </c>
      <c r="I178" s="62">
        <f>VLOOKUP(Table_1[[#This Row],[AÇÕES]],'Dados Status Invest'!A:D,4,0)/100</f>
        <v/>
      </c>
      <c r="J178" s="63">
        <f>VLOOKUP(Table_1[[#This Row],[AÇÕES]],'Dados Status Invest'!A:AB,28,0)</f>
        <v/>
      </c>
      <c r="K178" s="63">
        <f>VLOOKUP(Table_1[[#This Row],[AÇÕES]],'Dados Status Invest'!A:AA,27,0)</f>
        <v/>
      </c>
      <c r="L178" s="63">
        <f>Table_1[[#This Row],[PREÇO]]*Table_1[[#This Row],[DY]]</f>
        <v/>
      </c>
      <c r="M178" s="62">
        <f>$E$13</f>
        <v/>
      </c>
      <c r="N178" s="62" t="n">
        <v>0.3</v>
      </c>
      <c r="O178" s="62">
        <f>Table_1[[#This Row],[DPA]]/Table_1[[#This Row],[LPA]]</f>
        <v/>
      </c>
      <c r="P178" s="62">
        <f>IF(Table_1[[#This Row],[PAYOUT]]&lt;=40%,"CRESCIMENTO",IF(Table_1[[#This Row],[PAYOUT]]&lt;=60%,"INDEFINIDO","DIVIDENDOS"))</f>
        <v/>
      </c>
      <c r="Q178" s="62">
        <f>VLOOKUP(Table_1[[#This Row],[AÇÕES]],'Dados Status Invest'!A:R,18,0)/100</f>
        <v/>
      </c>
      <c r="R178" s="62">
        <f>VLOOKUP(Table_1[[#This Row],[AÇÕES]],'Dados Status Invest'!A:Y,25,0)/100</f>
        <v/>
      </c>
      <c r="S178" s="62">
        <f>(1-Table_1[[#This Row],[PAYOUT]])*Table_1[[#This Row],[ROE]]</f>
        <v/>
      </c>
      <c r="T178" s="98">
        <f>AVERAGE(Table_1[[#This Row],[CAGR LUCRO 5A]],Table_1[[#This Row],[CRESCIMENTO DAMODARAN]])</f>
        <v/>
      </c>
      <c r="U178" s="64">
        <f>(Table_1[[#This Row],[PREÇO JUSTO BAZIN]]-Table_1[[#This Row],[PREÇO]])/Table_1[[#This Row],[PREÇO JUSTO BAZIN]]</f>
        <v/>
      </c>
      <c r="V178" s="129">
        <f>Table_1[[#This Row],[DPA]]/6%</f>
        <v/>
      </c>
      <c r="W178" s="129">
        <f>Table_1[[#This Row],[PREÇO JUSTO BAZIN]]/(1+Table_1[[#This Row],[MARGEM DE DESCONTO]])</f>
        <v/>
      </c>
      <c r="X178" s="64">
        <f>(Table_1[[#This Row],[PREÇO JUSTO GRAHAM]]-Table_1[[#This Row],[PREÇO]])/Table_1[[#This Row],[PREÇO JUSTO GRAHAM]]</f>
        <v/>
      </c>
      <c r="Y178" s="129">
        <f>(22.5*Table_1[[#This Row],[LPA]]*Table_1[[#This Row],[VPA]])^0.5</f>
        <v/>
      </c>
      <c r="Z178" s="129">
        <f>Table_1[[#This Row],[PREÇO JUSTO GRAHAM]]/(1+Table_1[[#This Row],[MARGEM DE DESCONTO]])</f>
        <v/>
      </c>
      <c r="AA178" s="64">
        <f>(Table_1[[#This Row],[PREÇO JUSTO GORDON]]-Table_1[[#This Row],[PREÇO]])/Table_1[[#This Row],[PREÇO JUSTO GORDON]]</f>
        <v/>
      </c>
      <c r="AB178" s="130">
        <f>Table_1[[#This Row],[DPA]]*(1+Table_1[[#This Row],[MÉDIA DE CRESCIMENTO]])</f>
        <v/>
      </c>
      <c r="AC178" s="130">
        <f>Table_1[[#This Row],[D1]]/(Table_1[[#This Row],[RISCO]]-Table_1[[#This Row],[MÉDIA DE CRESCIMENTO]])</f>
        <v/>
      </c>
      <c r="AD178" s="130">
        <f>Table_1[[#This Row],[PREÇO JUSTO GORDON]]/(1+Table_1[[#This Row],[MARGEM DE DESCONTO]])</f>
        <v/>
      </c>
      <c r="AE178" s="78">
        <f>Table_1[[#This Row],[P/L]]/Table_1[[#This Row],[MÉDIA DE CRESCIMENTO]]</f>
        <v/>
      </c>
    </row>
    <row r="179" ht="15.75" customHeight="1">
      <c r="B179" s="77">
        <f>'Dados Status Invest'!A165</f>
        <v/>
      </c>
      <c r="C179" s="60">
        <f>VLOOKUP(Table_1[[#This Row],[AÇÕES]],'Classificação B3'!A:B,2,0)</f>
        <v/>
      </c>
      <c r="D179" s="60">
        <f>VLOOKUP(Table_1[[#This Row],[AÇÕES]],'Classificação B3'!A:D,4,0)</f>
        <v/>
      </c>
      <c r="E179" s="60">
        <f>VLOOKUP(Table_1[[#This Row],[AÇÕES]],'Classificação B3'!A:F,6,0)</f>
        <v/>
      </c>
      <c r="F179" s="60">
        <f>VLOOKUP(Table_1[[#This Row],[AÇÕES]],'Classificação B3'!A:G,7,0)</f>
        <v/>
      </c>
      <c r="G179" s="61">
        <f>VLOOKUP(Table_1[[#This Row],[AÇÕES]],'Dados Status Invest'!A:B,2,0)</f>
        <v/>
      </c>
      <c r="H179" s="62">
        <f>VLOOKUP(Table_1[[#This Row],[AÇÕES]],'Dados Status Invest'!A:C,3,0)/100</f>
        <v/>
      </c>
      <c r="I179" s="62">
        <f>VLOOKUP(Table_1[[#This Row],[AÇÕES]],'Dados Status Invest'!A:D,4,0)/100</f>
        <v/>
      </c>
      <c r="J179" s="63">
        <f>VLOOKUP(Table_1[[#This Row],[AÇÕES]],'Dados Status Invest'!A:AB,28,0)</f>
        <v/>
      </c>
      <c r="K179" s="63">
        <f>VLOOKUP(Table_1[[#This Row],[AÇÕES]],'Dados Status Invest'!A:AA,27,0)</f>
        <v/>
      </c>
      <c r="L179" s="63">
        <f>Table_1[[#This Row],[PREÇO]]*Table_1[[#This Row],[DY]]</f>
        <v/>
      </c>
      <c r="M179" s="62">
        <f>$E$13</f>
        <v/>
      </c>
      <c r="N179" s="62" t="n">
        <v>0.3</v>
      </c>
      <c r="O179" s="62">
        <f>Table_1[[#This Row],[DPA]]/Table_1[[#This Row],[LPA]]</f>
        <v/>
      </c>
      <c r="P179" s="62">
        <f>IF(Table_1[[#This Row],[PAYOUT]]&lt;=40%,"CRESCIMENTO",IF(Table_1[[#This Row],[PAYOUT]]&lt;=60%,"INDEFINIDO","DIVIDENDOS"))</f>
        <v/>
      </c>
      <c r="Q179" s="62">
        <f>VLOOKUP(Table_1[[#This Row],[AÇÕES]],'Dados Status Invest'!A:R,18,0)/100</f>
        <v/>
      </c>
      <c r="R179" s="62">
        <f>VLOOKUP(Table_1[[#This Row],[AÇÕES]],'Dados Status Invest'!A:Y,25,0)/100</f>
        <v/>
      </c>
      <c r="S179" s="62">
        <f>(1-Table_1[[#This Row],[PAYOUT]])*Table_1[[#This Row],[ROE]]</f>
        <v/>
      </c>
      <c r="T179" s="98">
        <f>AVERAGE(Table_1[[#This Row],[CAGR LUCRO 5A]],Table_1[[#This Row],[CRESCIMENTO DAMODARAN]])</f>
        <v/>
      </c>
      <c r="U179" s="64">
        <f>(Table_1[[#This Row],[PREÇO JUSTO BAZIN]]-Table_1[[#This Row],[PREÇO]])/Table_1[[#This Row],[PREÇO JUSTO BAZIN]]</f>
        <v/>
      </c>
      <c r="V179" s="129">
        <f>Table_1[[#This Row],[DPA]]/6%</f>
        <v/>
      </c>
      <c r="W179" s="129">
        <f>Table_1[[#This Row],[PREÇO JUSTO BAZIN]]/(1+Table_1[[#This Row],[MARGEM DE DESCONTO]])</f>
        <v/>
      </c>
      <c r="X179" s="64">
        <f>(Table_1[[#This Row],[PREÇO JUSTO GRAHAM]]-Table_1[[#This Row],[PREÇO]])/Table_1[[#This Row],[PREÇO JUSTO GRAHAM]]</f>
        <v/>
      </c>
      <c r="Y179" s="129">
        <f>(22.5*Table_1[[#This Row],[LPA]]*Table_1[[#This Row],[VPA]])^0.5</f>
        <v/>
      </c>
      <c r="Z179" s="129">
        <f>Table_1[[#This Row],[PREÇO JUSTO GRAHAM]]/(1+Table_1[[#This Row],[MARGEM DE DESCONTO]])</f>
        <v/>
      </c>
      <c r="AA179" s="64">
        <f>(Table_1[[#This Row],[PREÇO JUSTO GORDON]]-Table_1[[#This Row],[PREÇO]])/Table_1[[#This Row],[PREÇO JUSTO GORDON]]</f>
        <v/>
      </c>
      <c r="AB179" s="130">
        <f>Table_1[[#This Row],[DPA]]*(1+Table_1[[#This Row],[MÉDIA DE CRESCIMENTO]])</f>
        <v/>
      </c>
      <c r="AC179" s="130">
        <f>Table_1[[#This Row],[D1]]/(Table_1[[#This Row],[RISCO]]-Table_1[[#This Row],[MÉDIA DE CRESCIMENTO]])</f>
        <v/>
      </c>
      <c r="AD179" s="130">
        <f>Table_1[[#This Row],[PREÇO JUSTO GORDON]]/(1+Table_1[[#This Row],[MARGEM DE DESCONTO]])</f>
        <v/>
      </c>
      <c r="AE179" s="78">
        <f>Table_1[[#This Row],[P/L]]/Table_1[[#This Row],[MÉDIA DE CRESCIMENTO]]</f>
        <v/>
      </c>
    </row>
    <row r="180" ht="15.75" customHeight="1">
      <c r="B180" s="77">
        <f>'Dados Status Invest'!A166</f>
        <v/>
      </c>
      <c r="C180" s="60">
        <f>VLOOKUP(Table_1[[#This Row],[AÇÕES]],'Classificação B3'!A:B,2,0)</f>
        <v/>
      </c>
      <c r="D180" s="60">
        <f>VLOOKUP(Table_1[[#This Row],[AÇÕES]],'Classificação B3'!A:D,4,0)</f>
        <v/>
      </c>
      <c r="E180" s="60">
        <f>VLOOKUP(Table_1[[#This Row],[AÇÕES]],'Classificação B3'!A:F,6,0)</f>
        <v/>
      </c>
      <c r="F180" s="60">
        <f>VLOOKUP(Table_1[[#This Row],[AÇÕES]],'Classificação B3'!A:G,7,0)</f>
        <v/>
      </c>
      <c r="G180" s="61">
        <f>VLOOKUP(Table_1[[#This Row],[AÇÕES]],'Dados Status Invest'!A:B,2,0)</f>
        <v/>
      </c>
      <c r="H180" s="62">
        <f>VLOOKUP(Table_1[[#This Row],[AÇÕES]],'Dados Status Invest'!A:C,3,0)/100</f>
        <v/>
      </c>
      <c r="I180" s="62">
        <f>VLOOKUP(Table_1[[#This Row],[AÇÕES]],'Dados Status Invest'!A:D,4,0)/100</f>
        <v/>
      </c>
      <c r="J180" s="63">
        <f>VLOOKUP(Table_1[[#This Row],[AÇÕES]],'Dados Status Invest'!A:AB,28,0)</f>
        <v/>
      </c>
      <c r="K180" s="63">
        <f>VLOOKUP(Table_1[[#This Row],[AÇÕES]],'Dados Status Invest'!A:AA,27,0)</f>
        <v/>
      </c>
      <c r="L180" s="63">
        <f>Table_1[[#This Row],[PREÇO]]*Table_1[[#This Row],[DY]]</f>
        <v/>
      </c>
      <c r="M180" s="62">
        <f>$E$13</f>
        <v/>
      </c>
      <c r="N180" s="62" t="n">
        <v>0.3</v>
      </c>
      <c r="O180" s="62">
        <f>Table_1[[#This Row],[DPA]]/Table_1[[#This Row],[LPA]]</f>
        <v/>
      </c>
      <c r="P180" s="62">
        <f>IF(Table_1[[#This Row],[PAYOUT]]&lt;=40%,"CRESCIMENTO",IF(Table_1[[#This Row],[PAYOUT]]&lt;=60%,"INDEFINIDO","DIVIDENDOS"))</f>
        <v/>
      </c>
      <c r="Q180" s="62">
        <f>VLOOKUP(Table_1[[#This Row],[AÇÕES]],'Dados Status Invest'!A:R,18,0)/100</f>
        <v/>
      </c>
      <c r="R180" s="62">
        <f>VLOOKUP(Table_1[[#This Row],[AÇÕES]],'Dados Status Invest'!A:Y,25,0)/100</f>
        <v/>
      </c>
      <c r="S180" s="62">
        <f>(1-Table_1[[#This Row],[PAYOUT]])*Table_1[[#This Row],[ROE]]</f>
        <v/>
      </c>
      <c r="T180" s="98">
        <f>AVERAGE(Table_1[[#This Row],[CAGR LUCRO 5A]],Table_1[[#This Row],[CRESCIMENTO DAMODARAN]])</f>
        <v/>
      </c>
      <c r="U180" s="64">
        <f>(Table_1[[#This Row],[PREÇO JUSTO BAZIN]]-Table_1[[#This Row],[PREÇO]])/Table_1[[#This Row],[PREÇO JUSTO BAZIN]]</f>
        <v/>
      </c>
      <c r="V180" s="129">
        <f>Table_1[[#This Row],[DPA]]/6%</f>
        <v/>
      </c>
      <c r="W180" s="129">
        <f>Table_1[[#This Row],[PREÇO JUSTO BAZIN]]/(1+Table_1[[#This Row],[MARGEM DE DESCONTO]])</f>
        <v/>
      </c>
      <c r="X180" s="64">
        <f>(Table_1[[#This Row],[PREÇO JUSTO GRAHAM]]-Table_1[[#This Row],[PREÇO]])/Table_1[[#This Row],[PREÇO JUSTO GRAHAM]]</f>
        <v/>
      </c>
      <c r="Y180" s="129">
        <f>(22.5*Table_1[[#This Row],[LPA]]*Table_1[[#This Row],[VPA]])^0.5</f>
        <v/>
      </c>
      <c r="Z180" s="129">
        <f>Table_1[[#This Row],[PREÇO JUSTO GRAHAM]]/(1+Table_1[[#This Row],[MARGEM DE DESCONTO]])</f>
        <v/>
      </c>
      <c r="AA180" s="64">
        <f>(Table_1[[#This Row],[PREÇO JUSTO GORDON]]-Table_1[[#This Row],[PREÇO]])/Table_1[[#This Row],[PREÇO JUSTO GORDON]]</f>
        <v/>
      </c>
      <c r="AB180" s="130">
        <f>Table_1[[#This Row],[DPA]]*(1+Table_1[[#This Row],[MÉDIA DE CRESCIMENTO]])</f>
        <v/>
      </c>
      <c r="AC180" s="130">
        <f>Table_1[[#This Row],[D1]]/(Table_1[[#This Row],[RISCO]]-Table_1[[#This Row],[MÉDIA DE CRESCIMENTO]])</f>
        <v/>
      </c>
      <c r="AD180" s="130">
        <f>Table_1[[#This Row],[PREÇO JUSTO GORDON]]/(1+Table_1[[#This Row],[MARGEM DE DESCONTO]])</f>
        <v/>
      </c>
      <c r="AE180" s="78">
        <f>Table_1[[#This Row],[P/L]]/Table_1[[#This Row],[MÉDIA DE CRESCIMENTO]]</f>
        <v/>
      </c>
    </row>
    <row r="181" ht="15.75" customHeight="1">
      <c r="B181" s="77">
        <f>'Dados Status Invest'!A167</f>
        <v/>
      </c>
      <c r="C181" s="60">
        <f>VLOOKUP(Table_1[[#This Row],[AÇÕES]],'Classificação B3'!A:B,2,0)</f>
        <v/>
      </c>
      <c r="D181" s="60">
        <f>VLOOKUP(Table_1[[#This Row],[AÇÕES]],'Classificação B3'!A:D,4,0)</f>
        <v/>
      </c>
      <c r="E181" s="60">
        <f>VLOOKUP(Table_1[[#This Row],[AÇÕES]],'Classificação B3'!A:F,6,0)</f>
        <v/>
      </c>
      <c r="F181" s="60">
        <f>VLOOKUP(Table_1[[#This Row],[AÇÕES]],'Classificação B3'!A:G,7,0)</f>
        <v/>
      </c>
      <c r="G181" s="61">
        <f>VLOOKUP(Table_1[[#This Row],[AÇÕES]],'Dados Status Invest'!A:B,2,0)</f>
        <v/>
      </c>
      <c r="H181" s="62">
        <f>VLOOKUP(Table_1[[#This Row],[AÇÕES]],'Dados Status Invest'!A:C,3,0)/100</f>
        <v/>
      </c>
      <c r="I181" s="62">
        <f>VLOOKUP(Table_1[[#This Row],[AÇÕES]],'Dados Status Invest'!A:D,4,0)/100</f>
        <v/>
      </c>
      <c r="J181" s="63">
        <f>VLOOKUP(Table_1[[#This Row],[AÇÕES]],'Dados Status Invest'!A:AB,28,0)</f>
        <v/>
      </c>
      <c r="K181" s="63">
        <f>VLOOKUP(Table_1[[#This Row],[AÇÕES]],'Dados Status Invest'!A:AA,27,0)</f>
        <v/>
      </c>
      <c r="L181" s="63">
        <f>Table_1[[#This Row],[PREÇO]]*Table_1[[#This Row],[DY]]</f>
        <v/>
      </c>
      <c r="M181" s="62">
        <f>$E$13</f>
        <v/>
      </c>
      <c r="N181" s="62" t="n">
        <v>0.3</v>
      </c>
      <c r="O181" s="62">
        <f>Table_1[[#This Row],[DPA]]/Table_1[[#This Row],[LPA]]</f>
        <v/>
      </c>
      <c r="P181" s="62">
        <f>IF(Table_1[[#This Row],[PAYOUT]]&lt;=40%,"CRESCIMENTO",IF(Table_1[[#This Row],[PAYOUT]]&lt;=60%,"INDEFINIDO","DIVIDENDOS"))</f>
        <v/>
      </c>
      <c r="Q181" s="62">
        <f>VLOOKUP(Table_1[[#This Row],[AÇÕES]],'Dados Status Invest'!A:R,18,0)/100</f>
        <v/>
      </c>
      <c r="R181" s="62">
        <f>VLOOKUP(Table_1[[#This Row],[AÇÕES]],'Dados Status Invest'!A:Y,25,0)/100</f>
        <v/>
      </c>
      <c r="S181" s="62">
        <f>(1-Table_1[[#This Row],[PAYOUT]])*Table_1[[#This Row],[ROE]]</f>
        <v/>
      </c>
      <c r="T181" s="98">
        <f>AVERAGE(Table_1[[#This Row],[CAGR LUCRO 5A]],Table_1[[#This Row],[CRESCIMENTO DAMODARAN]])</f>
        <v/>
      </c>
      <c r="U181" s="64">
        <f>(Table_1[[#This Row],[PREÇO JUSTO BAZIN]]-Table_1[[#This Row],[PREÇO]])/Table_1[[#This Row],[PREÇO JUSTO BAZIN]]</f>
        <v/>
      </c>
      <c r="V181" s="129">
        <f>Table_1[[#This Row],[DPA]]/6%</f>
        <v/>
      </c>
      <c r="W181" s="129">
        <f>Table_1[[#This Row],[PREÇO JUSTO BAZIN]]/(1+Table_1[[#This Row],[MARGEM DE DESCONTO]])</f>
        <v/>
      </c>
      <c r="X181" s="64">
        <f>(Table_1[[#This Row],[PREÇO JUSTO GRAHAM]]-Table_1[[#This Row],[PREÇO]])/Table_1[[#This Row],[PREÇO JUSTO GRAHAM]]</f>
        <v/>
      </c>
      <c r="Y181" s="129">
        <f>(22.5*Table_1[[#This Row],[LPA]]*Table_1[[#This Row],[VPA]])^0.5</f>
        <v/>
      </c>
      <c r="Z181" s="129">
        <f>Table_1[[#This Row],[PREÇO JUSTO GRAHAM]]/(1+Table_1[[#This Row],[MARGEM DE DESCONTO]])</f>
        <v/>
      </c>
      <c r="AA181" s="64">
        <f>(Table_1[[#This Row],[PREÇO JUSTO GORDON]]-Table_1[[#This Row],[PREÇO]])/Table_1[[#This Row],[PREÇO JUSTO GORDON]]</f>
        <v/>
      </c>
      <c r="AB181" s="130">
        <f>Table_1[[#This Row],[DPA]]*(1+Table_1[[#This Row],[MÉDIA DE CRESCIMENTO]])</f>
        <v/>
      </c>
      <c r="AC181" s="130">
        <f>Table_1[[#This Row],[D1]]/(Table_1[[#This Row],[RISCO]]-Table_1[[#This Row],[MÉDIA DE CRESCIMENTO]])</f>
        <v/>
      </c>
      <c r="AD181" s="130">
        <f>Table_1[[#This Row],[PREÇO JUSTO GORDON]]/(1+Table_1[[#This Row],[MARGEM DE DESCONTO]])</f>
        <v/>
      </c>
      <c r="AE181" s="78">
        <f>Table_1[[#This Row],[P/L]]/Table_1[[#This Row],[MÉDIA DE CRESCIMENTO]]</f>
        <v/>
      </c>
    </row>
    <row r="182" ht="15.75" customHeight="1">
      <c r="B182" s="77">
        <f>'Dados Status Invest'!A168</f>
        <v/>
      </c>
      <c r="C182" s="60">
        <f>VLOOKUP(Table_1[[#This Row],[AÇÕES]],'Classificação B3'!A:B,2,0)</f>
        <v/>
      </c>
      <c r="D182" s="60">
        <f>VLOOKUP(Table_1[[#This Row],[AÇÕES]],'Classificação B3'!A:D,4,0)</f>
        <v/>
      </c>
      <c r="E182" s="60">
        <f>VLOOKUP(Table_1[[#This Row],[AÇÕES]],'Classificação B3'!A:F,6,0)</f>
        <v/>
      </c>
      <c r="F182" s="60">
        <f>VLOOKUP(Table_1[[#This Row],[AÇÕES]],'Classificação B3'!A:G,7,0)</f>
        <v/>
      </c>
      <c r="G182" s="61">
        <f>VLOOKUP(Table_1[[#This Row],[AÇÕES]],'Dados Status Invest'!A:B,2,0)</f>
        <v/>
      </c>
      <c r="H182" s="62">
        <f>VLOOKUP(Table_1[[#This Row],[AÇÕES]],'Dados Status Invest'!A:C,3,0)/100</f>
        <v/>
      </c>
      <c r="I182" s="62">
        <f>VLOOKUP(Table_1[[#This Row],[AÇÕES]],'Dados Status Invest'!A:D,4,0)/100</f>
        <v/>
      </c>
      <c r="J182" s="63">
        <f>VLOOKUP(Table_1[[#This Row],[AÇÕES]],'Dados Status Invest'!A:AB,28,0)</f>
        <v/>
      </c>
      <c r="K182" s="63">
        <f>VLOOKUP(Table_1[[#This Row],[AÇÕES]],'Dados Status Invest'!A:AA,27,0)</f>
        <v/>
      </c>
      <c r="L182" s="63">
        <f>Table_1[[#This Row],[PREÇO]]*Table_1[[#This Row],[DY]]</f>
        <v/>
      </c>
      <c r="M182" s="62">
        <f>$E$13</f>
        <v/>
      </c>
      <c r="N182" s="62" t="n">
        <v>0.3</v>
      </c>
      <c r="O182" s="62">
        <f>Table_1[[#This Row],[DPA]]/Table_1[[#This Row],[LPA]]</f>
        <v/>
      </c>
      <c r="P182" s="62">
        <f>IF(Table_1[[#This Row],[PAYOUT]]&lt;=40%,"CRESCIMENTO",IF(Table_1[[#This Row],[PAYOUT]]&lt;=60%,"INDEFINIDO","DIVIDENDOS"))</f>
        <v/>
      </c>
      <c r="Q182" s="62">
        <f>VLOOKUP(Table_1[[#This Row],[AÇÕES]],'Dados Status Invest'!A:R,18,0)/100</f>
        <v/>
      </c>
      <c r="R182" s="62">
        <f>VLOOKUP(Table_1[[#This Row],[AÇÕES]],'Dados Status Invest'!A:Y,25,0)/100</f>
        <v/>
      </c>
      <c r="S182" s="62">
        <f>(1-Table_1[[#This Row],[PAYOUT]])*Table_1[[#This Row],[ROE]]</f>
        <v/>
      </c>
      <c r="T182" s="98">
        <f>AVERAGE(Table_1[[#This Row],[CAGR LUCRO 5A]],Table_1[[#This Row],[CRESCIMENTO DAMODARAN]])</f>
        <v/>
      </c>
      <c r="U182" s="64">
        <f>(Table_1[[#This Row],[PREÇO JUSTO BAZIN]]-Table_1[[#This Row],[PREÇO]])/Table_1[[#This Row],[PREÇO JUSTO BAZIN]]</f>
        <v/>
      </c>
      <c r="V182" s="129">
        <f>Table_1[[#This Row],[DPA]]/6%</f>
        <v/>
      </c>
      <c r="W182" s="129">
        <f>Table_1[[#This Row],[PREÇO JUSTO BAZIN]]/(1+Table_1[[#This Row],[MARGEM DE DESCONTO]])</f>
        <v/>
      </c>
      <c r="X182" s="64">
        <f>(Table_1[[#This Row],[PREÇO JUSTO GRAHAM]]-Table_1[[#This Row],[PREÇO]])/Table_1[[#This Row],[PREÇO JUSTO GRAHAM]]</f>
        <v/>
      </c>
      <c r="Y182" s="129">
        <f>(22.5*Table_1[[#This Row],[LPA]]*Table_1[[#This Row],[VPA]])^0.5</f>
        <v/>
      </c>
      <c r="Z182" s="129">
        <f>Table_1[[#This Row],[PREÇO JUSTO GRAHAM]]/(1+Table_1[[#This Row],[MARGEM DE DESCONTO]])</f>
        <v/>
      </c>
      <c r="AA182" s="64">
        <f>(Table_1[[#This Row],[PREÇO JUSTO GORDON]]-Table_1[[#This Row],[PREÇO]])/Table_1[[#This Row],[PREÇO JUSTO GORDON]]</f>
        <v/>
      </c>
      <c r="AB182" s="130">
        <f>Table_1[[#This Row],[DPA]]*(1+Table_1[[#This Row],[MÉDIA DE CRESCIMENTO]])</f>
        <v/>
      </c>
      <c r="AC182" s="130">
        <f>Table_1[[#This Row],[D1]]/(Table_1[[#This Row],[RISCO]]-Table_1[[#This Row],[MÉDIA DE CRESCIMENTO]])</f>
        <v/>
      </c>
      <c r="AD182" s="130">
        <f>Table_1[[#This Row],[PREÇO JUSTO GORDON]]/(1+Table_1[[#This Row],[MARGEM DE DESCONTO]])</f>
        <v/>
      </c>
      <c r="AE182" s="78">
        <f>Table_1[[#This Row],[P/L]]/Table_1[[#This Row],[MÉDIA DE CRESCIMENTO]]</f>
        <v/>
      </c>
    </row>
    <row r="183" ht="15.75" customHeight="1">
      <c r="B183" s="77">
        <f>'Dados Status Invest'!A169</f>
        <v/>
      </c>
      <c r="C183" s="60">
        <f>VLOOKUP(Table_1[[#This Row],[AÇÕES]],'Classificação B3'!A:B,2,0)</f>
        <v/>
      </c>
      <c r="D183" s="60">
        <f>VLOOKUP(Table_1[[#This Row],[AÇÕES]],'Classificação B3'!A:D,4,0)</f>
        <v/>
      </c>
      <c r="E183" s="60">
        <f>VLOOKUP(Table_1[[#This Row],[AÇÕES]],'Classificação B3'!A:F,6,0)</f>
        <v/>
      </c>
      <c r="F183" s="60">
        <f>VLOOKUP(Table_1[[#This Row],[AÇÕES]],'Classificação B3'!A:G,7,0)</f>
        <v/>
      </c>
      <c r="G183" s="61">
        <f>VLOOKUP(Table_1[[#This Row],[AÇÕES]],'Dados Status Invest'!A:B,2,0)</f>
        <v/>
      </c>
      <c r="H183" s="62">
        <f>VLOOKUP(Table_1[[#This Row],[AÇÕES]],'Dados Status Invest'!A:C,3,0)/100</f>
        <v/>
      </c>
      <c r="I183" s="62">
        <f>VLOOKUP(Table_1[[#This Row],[AÇÕES]],'Dados Status Invest'!A:D,4,0)/100</f>
        <v/>
      </c>
      <c r="J183" s="63">
        <f>VLOOKUP(Table_1[[#This Row],[AÇÕES]],'Dados Status Invest'!A:AB,28,0)</f>
        <v/>
      </c>
      <c r="K183" s="63">
        <f>VLOOKUP(Table_1[[#This Row],[AÇÕES]],'Dados Status Invest'!A:AA,27,0)</f>
        <v/>
      </c>
      <c r="L183" s="63">
        <f>Table_1[[#This Row],[PREÇO]]*Table_1[[#This Row],[DY]]</f>
        <v/>
      </c>
      <c r="M183" s="62">
        <f>$E$13</f>
        <v/>
      </c>
      <c r="N183" s="62" t="n">
        <v>0.3</v>
      </c>
      <c r="O183" s="62">
        <f>Table_1[[#This Row],[DPA]]/Table_1[[#This Row],[LPA]]</f>
        <v/>
      </c>
      <c r="P183" s="62">
        <f>IF(Table_1[[#This Row],[PAYOUT]]&lt;=40%,"CRESCIMENTO",IF(Table_1[[#This Row],[PAYOUT]]&lt;=60%,"INDEFINIDO","DIVIDENDOS"))</f>
        <v/>
      </c>
      <c r="Q183" s="62">
        <f>VLOOKUP(Table_1[[#This Row],[AÇÕES]],'Dados Status Invest'!A:R,18,0)/100</f>
        <v/>
      </c>
      <c r="R183" s="62">
        <f>VLOOKUP(Table_1[[#This Row],[AÇÕES]],'Dados Status Invest'!A:Y,25,0)/100</f>
        <v/>
      </c>
      <c r="S183" s="62">
        <f>(1-Table_1[[#This Row],[PAYOUT]])*Table_1[[#This Row],[ROE]]</f>
        <v/>
      </c>
      <c r="T183" s="98">
        <f>AVERAGE(Table_1[[#This Row],[CAGR LUCRO 5A]],Table_1[[#This Row],[CRESCIMENTO DAMODARAN]])</f>
        <v/>
      </c>
      <c r="U183" s="64">
        <f>(Table_1[[#This Row],[PREÇO JUSTO BAZIN]]-Table_1[[#This Row],[PREÇO]])/Table_1[[#This Row],[PREÇO JUSTO BAZIN]]</f>
        <v/>
      </c>
      <c r="V183" s="129">
        <f>Table_1[[#This Row],[DPA]]/6%</f>
        <v/>
      </c>
      <c r="W183" s="129">
        <f>Table_1[[#This Row],[PREÇO JUSTO BAZIN]]/(1+Table_1[[#This Row],[MARGEM DE DESCONTO]])</f>
        <v/>
      </c>
      <c r="X183" s="64">
        <f>(Table_1[[#This Row],[PREÇO JUSTO GRAHAM]]-Table_1[[#This Row],[PREÇO]])/Table_1[[#This Row],[PREÇO JUSTO GRAHAM]]</f>
        <v/>
      </c>
      <c r="Y183" s="129">
        <f>(22.5*Table_1[[#This Row],[LPA]]*Table_1[[#This Row],[VPA]])^0.5</f>
        <v/>
      </c>
      <c r="Z183" s="129">
        <f>Table_1[[#This Row],[PREÇO JUSTO GRAHAM]]/(1+Table_1[[#This Row],[MARGEM DE DESCONTO]])</f>
        <v/>
      </c>
      <c r="AA183" s="64">
        <f>(Table_1[[#This Row],[PREÇO JUSTO GORDON]]-Table_1[[#This Row],[PREÇO]])/Table_1[[#This Row],[PREÇO JUSTO GORDON]]</f>
        <v/>
      </c>
      <c r="AB183" s="130">
        <f>Table_1[[#This Row],[DPA]]*(1+Table_1[[#This Row],[MÉDIA DE CRESCIMENTO]])</f>
        <v/>
      </c>
      <c r="AC183" s="130">
        <f>Table_1[[#This Row],[D1]]/(Table_1[[#This Row],[RISCO]]-Table_1[[#This Row],[MÉDIA DE CRESCIMENTO]])</f>
        <v/>
      </c>
      <c r="AD183" s="130">
        <f>Table_1[[#This Row],[PREÇO JUSTO GORDON]]/(1+Table_1[[#This Row],[MARGEM DE DESCONTO]])</f>
        <v/>
      </c>
      <c r="AE183" s="78">
        <f>Table_1[[#This Row],[P/L]]/Table_1[[#This Row],[MÉDIA DE CRESCIMENTO]]</f>
        <v/>
      </c>
    </row>
    <row r="184" ht="15.75" customHeight="1">
      <c r="B184" s="77">
        <f>'Dados Status Invest'!A170</f>
        <v/>
      </c>
      <c r="C184" s="60">
        <f>VLOOKUP(Table_1[[#This Row],[AÇÕES]],'Classificação B3'!A:B,2,0)</f>
        <v/>
      </c>
      <c r="D184" s="60">
        <f>VLOOKUP(Table_1[[#This Row],[AÇÕES]],'Classificação B3'!A:D,4,0)</f>
        <v/>
      </c>
      <c r="E184" s="60">
        <f>VLOOKUP(Table_1[[#This Row],[AÇÕES]],'Classificação B3'!A:F,6,0)</f>
        <v/>
      </c>
      <c r="F184" s="60">
        <f>VLOOKUP(Table_1[[#This Row],[AÇÕES]],'Classificação B3'!A:G,7,0)</f>
        <v/>
      </c>
      <c r="G184" s="61">
        <f>VLOOKUP(Table_1[[#This Row],[AÇÕES]],'Dados Status Invest'!A:B,2,0)</f>
        <v/>
      </c>
      <c r="H184" s="62">
        <f>VLOOKUP(Table_1[[#This Row],[AÇÕES]],'Dados Status Invest'!A:C,3,0)/100</f>
        <v/>
      </c>
      <c r="I184" s="62">
        <f>VLOOKUP(Table_1[[#This Row],[AÇÕES]],'Dados Status Invest'!A:D,4,0)/100</f>
        <v/>
      </c>
      <c r="J184" s="63">
        <f>VLOOKUP(Table_1[[#This Row],[AÇÕES]],'Dados Status Invest'!A:AB,28,0)</f>
        <v/>
      </c>
      <c r="K184" s="63">
        <f>VLOOKUP(Table_1[[#This Row],[AÇÕES]],'Dados Status Invest'!A:AA,27,0)</f>
        <v/>
      </c>
      <c r="L184" s="63">
        <f>Table_1[[#This Row],[PREÇO]]*Table_1[[#This Row],[DY]]</f>
        <v/>
      </c>
      <c r="M184" s="62">
        <f>$E$13</f>
        <v/>
      </c>
      <c r="N184" s="62" t="n">
        <v>0.3</v>
      </c>
      <c r="O184" s="62">
        <f>Table_1[[#This Row],[DPA]]/Table_1[[#This Row],[LPA]]</f>
        <v/>
      </c>
      <c r="P184" s="62">
        <f>IF(Table_1[[#This Row],[PAYOUT]]&lt;=40%,"CRESCIMENTO",IF(Table_1[[#This Row],[PAYOUT]]&lt;=60%,"INDEFINIDO","DIVIDENDOS"))</f>
        <v/>
      </c>
      <c r="Q184" s="62">
        <f>VLOOKUP(Table_1[[#This Row],[AÇÕES]],'Dados Status Invest'!A:R,18,0)/100</f>
        <v/>
      </c>
      <c r="R184" s="62">
        <f>VLOOKUP(Table_1[[#This Row],[AÇÕES]],'Dados Status Invest'!A:Y,25,0)/100</f>
        <v/>
      </c>
      <c r="S184" s="62">
        <f>(1-Table_1[[#This Row],[PAYOUT]])*Table_1[[#This Row],[ROE]]</f>
        <v/>
      </c>
      <c r="T184" s="98">
        <f>AVERAGE(Table_1[[#This Row],[CAGR LUCRO 5A]],Table_1[[#This Row],[CRESCIMENTO DAMODARAN]])</f>
        <v/>
      </c>
      <c r="U184" s="64">
        <f>(Table_1[[#This Row],[PREÇO JUSTO BAZIN]]-Table_1[[#This Row],[PREÇO]])/Table_1[[#This Row],[PREÇO JUSTO BAZIN]]</f>
        <v/>
      </c>
      <c r="V184" s="129">
        <f>Table_1[[#This Row],[DPA]]/6%</f>
        <v/>
      </c>
      <c r="W184" s="129">
        <f>Table_1[[#This Row],[PREÇO JUSTO BAZIN]]/(1+Table_1[[#This Row],[MARGEM DE DESCONTO]])</f>
        <v/>
      </c>
      <c r="X184" s="64">
        <f>(Table_1[[#This Row],[PREÇO JUSTO GRAHAM]]-Table_1[[#This Row],[PREÇO]])/Table_1[[#This Row],[PREÇO JUSTO GRAHAM]]</f>
        <v/>
      </c>
      <c r="Y184" s="129">
        <f>(22.5*Table_1[[#This Row],[LPA]]*Table_1[[#This Row],[VPA]])^0.5</f>
        <v/>
      </c>
      <c r="Z184" s="129">
        <f>Table_1[[#This Row],[PREÇO JUSTO GRAHAM]]/(1+Table_1[[#This Row],[MARGEM DE DESCONTO]])</f>
        <v/>
      </c>
      <c r="AA184" s="64">
        <f>(Table_1[[#This Row],[PREÇO JUSTO GORDON]]-Table_1[[#This Row],[PREÇO]])/Table_1[[#This Row],[PREÇO JUSTO GORDON]]</f>
        <v/>
      </c>
      <c r="AB184" s="130">
        <f>Table_1[[#This Row],[DPA]]*(1+Table_1[[#This Row],[MÉDIA DE CRESCIMENTO]])</f>
        <v/>
      </c>
      <c r="AC184" s="130">
        <f>Table_1[[#This Row],[D1]]/(Table_1[[#This Row],[RISCO]]-Table_1[[#This Row],[MÉDIA DE CRESCIMENTO]])</f>
        <v/>
      </c>
      <c r="AD184" s="130">
        <f>Table_1[[#This Row],[PREÇO JUSTO GORDON]]/(1+Table_1[[#This Row],[MARGEM DE DESCONTO]])</f>
        <v/>
      </c>
      <c r="AE184" s="78">
        <f>Table_1[[#This Row],[P/L]]/Table_1[[#This Row],[MÉDIA DE CRESCIMENTO]]</f>
        <v/>
      </c>
    </row>
    <row r="185" ht="15.75" customHeight="1">
      <c r="B185" s="77">
        <f>'Dados Status Invest'!A171</f>
        <v/>
      </c>
      <c r="C185" s="60">
        <f>VLOOKUP(Table_1[[#This Row],[AÇÕES]],'Classificação B3'!A:B,2,0)</f>
        <v/>
      </c>
      <c r="D185" s="60">
        <f>VLOOKUP(Table_1[[#This Row],[AÇÕES]],'Classificação B3'!A:D,4,0)</f>
        <v/>
      </c>
      <c r="E185" s="60">
        <f>VLOOKUP(Table_1[[#This Row],[AÇÕES]],'Classificação B3'!A:F,6,0)</f>
        <v/>
      </c>
      <c r="F185" s="60">
        <f>VLOOKUP(Table_1[[#This Row],[AÇÕES]],'Classificação B3'!A:G,7,0)</f>
        <v/>
      </c>
      <c r="G185" s="61">
        <f>VLOOKUP(Table_1[[#This Row],[AÇÕES]],'Dados Status Invest'!A:B,2,0)</f>
        <v/>
      </c>
      <c r="H185" s="62">
        <f>VLOOKUP(Table_1[[#This Row],[AÇÕES]],'Dados Status Invest'!A:C,3,0)/100</f>
        <v/>
      </c>
      <c r="I185" s="62">
        <f>VLOOKUP(Table_1[[#This Row],[AÇÕES]],'Dados Status Invest'!A:D,4,0)/100</f>
        <v/>
      </c>
      <c r="J185" s="63">
        <f>VLOOKUP(Table_1[[#This Row],[AÇÕES]],'Dados Status Invest'!A:AB,28,0)</f>
        <v/>
      </c>
      <c r="K185" s="63">
        <f>VLOOKUP(Table_1[[#This Row],[AÇÕES]],'Dados Status Invest'!A:AA,27,0)</f>
        <v/>
      </c>
      <c r="L185" s="63">
        <f>Table_1[[#This Row],[PREÇO]]*Table_1[[#This Row],[DY]]</f>
        <v/>
      </c>
      <c r="M185" s="62">
        <f>$E$13</f>
        <v/>
      </c>
      <c r="N185" s="62" t="n">
        <v>0.3</v>
      </c>
      <c r="O185" s="62">
        <f>Table_1[[#This Row],[DPA]]/Table_1[[#This Row],[LPA]]</f>
        <v/>
      </c>
      <c r="P185" s="62">
        <f>IF(Table_1[[#This Row],[PAYOUT]]&lt;=40%,"CRESCIMENTO",IF(Table_1[[#This Row],[PAYOUT]]&lt;=60%,"INDEFINIDO","DIVIDENDOS"))</f>
        <v/>
      </c>
      <c r="Q185" s="62">
        <f>VLOOKUP(Table_1[[#This Row],[AÇÕES]],'Dados Status Invest'!A:R,18,0)/100</f>
        <v/>
      </c>
      <c r="R185" s="62">
        <f>VLOOKUP(Table_1[[#This Row],[AÇÕES]],'Dados Status Invest'!A:Y,25,0)/100</f>
        <v/>
      </c>
      <c r="S185" s="62">
        <f>(1-Table_1[[#This Row],[PAYOUT]])*Table_1[[#This Row],[ROE]]</f>
        <v/>
      </c>
      <c r="T185" s="98">
        <f>AVERAGE(Table_1[[#This Row],[CAGR LUCRO 5A]],Table_1[[#This Row],[CRESCIMENTO DAMODARAN]])</f>
        <v/>
      </c>
      <c r="U185" s="64">
        <f>(Table_1[[#This Row],[PREÇO JUSTO BAZIN]]-Table_1[[#This Row],[PREÇO]])/Table_1[[#This Row],[PREÇO JUSTO BAZIN]]</f>
        <v/>
      </c>
      <c r="V185" s="129">
        <f>Table_1[[#This Row],[DPA]]/6%</f>
        <v/>
      </c>
      <c r="W185" s="129">
        <f>Table_1[[#This Row],[PREÇO JUSTO BAZIN]]/(1+Table_1[[#This Row],[MARGEM DE DESCONTO]])</f>
        <v/>
      </c>
      <c r="X185" s="64">
        <f>(Table_1[[#This Row],[PREÇO JUSTO GRAHAM]]-Table_1[[#This Row],[PREÇO]])/Table_1[[#This Row],[PREÇO JUSTO GRAHAM]]</f>
        <v/>
      </c>
      <c r="Y185" s="129">
        <f>(22.5*Table_1[[#This Row],[LPA]]*Table_1[[#This Row],[VPA]])^0.5</f>
        <v/>
      </c>
      <c r="Z185" s="129">
        <f>Table_1[[#This Row],[PREÇO JUSTO GRAHAM]]/(1+Table_1[[#This Row],[MARGEM DE DESCONTO]])</f>
        <v/>
      </c>
      <c r="AA185" s="64">
        <f>(Table_1[[#This Row],[PREÇO JUSTO GORDON]]-Table_1[[#This Row],[PREÇO]])/Table_1[[#This Row],[PREÇO JUSTO GORDON]]</f>
        <v/>
      </c>
      <c r="AB185" s="130">
        <f>Table_1[[#This Row],[DPA]]*(1+Table_1[[#This Row],[MÉDIA DE CRESCIMENTO]])</f>
        <v/>
      </c>
      <c r="AC185" s="130">
        <f>Table_1[[#This Row],[D1]]/(Table_1[[#This Row],[RISCO]]-Table_1[[#This Row],[MÉDIA DE CRESCIMENTO]])</f>
        <v/>
      </c>
      <c r="AD185" s="130">
        <f>Table_1[[#This Row],[PREÇO JUSTO GORDON]]/(1+Table_1[[#This Row],[MARGEM DE DESCONTO]])</f>
        <v/>
      </c>
      <c r="AE185" s="78">
        <f>Table_1[[#This Row],[P/L]]/Table_1[[#This Row],[MÉDIA DE CRESCIMENTO]]</f>
        <v/>
      </c>
    </row>
    <row r="186" ht="15.75" customHeight="1">
      <c r="B186" s="77">
        <f>'Dados Status Invest'!A172</f>
        <v/>
      </c>
      <c r="C186" s="60">
        <f>VLOOKUP(Table_1[[#This Row],[AÇÕES]],'Classificação B3'!A:B,2,0)</f>
        <v/>
      </c>
      <c r="D186" s="60">
        <f>VLOOKUP(Table_1[[#This Row],[AÇÕES]],'Classificação B3'!A:D,4,0)</f>
        <v/>
      </c>
      <c r="E186" s="60">
        <f>VLOOKUP(Table_1[[#This Row],[AÇÕES]],'Classificação B3'!A:F,6,0)</f>
        <v/>
      </c>
      <c r="F186" s="60">
        <f>VLOOKUP(Table_1[[#This Row],[AÇÕES]],'Classificação B3'!A:G,7,0)</f>
        <v/>
      </c>
      <c r="G186" s="61">
        <f>VLOOKUP(Table_1[[#This Row],[AÇÕES]],'Dados Status Invest'!A:B,2,0)</f>
        <v/>
      </c>
      <c r="H186" s="62">
        <f>VLOOKUP(Table_1[[#This Row],[AÇÕES]],'Dados Status Invest'!A:C,3,0)/100</f>
        <v/>
      </c>
      <c r="I186" s="62">
        <f>VLOOKUP(Table_1[[#This Row],[AÇÕES]],'Dados Status Invest'!A:D,4,0)/100</f>
        <v/>
      </c>
      <c r="J186" s="63">
        <f>VLOOKUP(Table_1[[#This Row],[AÇÕES]],'Dados Status Invest'!A:AB,28,0)</f>
        <v/>
      </c>
      <c r="K186" s="63">
        <f>VLOOKUP(Table_1[[#This Row],[AÇÕES]],'Dados Status Invest'!A:AA,27,0)</f>
        <v/>
      </c>
      <c r="L186" s="63">
        <f>Table_1[[#This Row],[PREÇO]]*Table_1[[#This Row],[DY]]</f>
        <v/>
      </c>
      <c r="M186" s="62">
        <f>$E$13</f>
        <v/>
      </c>
      <c r="N186" s="62" t="n">
        <v>0.3</v>
      </c>
      <c r="O186" s="62">
        <f>Table_1[[#This Row],[DPA]]/Table_1[[#This Row],[LPA]]</f>
        <v/>
      </c>
      <c r="P186" s="62">
        <f>IF(Table_1[[#This Row],[PAYOUT]]&lt;=40%,"CRESCIMENTO",IF(Table_1[[#This Row],[PAYOUT]]&lt;=60%,"INDEFINIDO","DIVIDENDOS"))</f>
        <v/>
      </c>
      <c r="Q186" s="62">
        <f>VLOOKUP(Table_1[[#This Row],[AÇÕES]],'Dados Status Invest'!A:R,18,0)/100</f>
        <v/>
      </c>
      <c r="R186" s="62">
        <f>VLOOKUP(Table_1[[#This Row],[AÇÕES]],'Dados Status Invest'!A:Y,25,0)/100</f>
        <v/>
      </c>
      <c r="S186" s="62">
        <f>(1-Table_1[[#This Row],[PAYOUT]])*Table_1[[#This Row],[ROE]]</f>
        <v/>
      </c>
      <c r="T186" s="98">
        <f>AVERAGE(Table_1[[#This Row],[CAGR LUCRO 5A]],Table_1[[#This Row],[CRESCIMENTO DAMODARAN]])</f>
        <v/>
      </c>
      <c r="U186" s="64">
        <f>(Table_1[[#This Row],[PREÇO JUSTO BAZIN]]-Table_1[[#This Row],[PREÇO]])/Table_1[[#This Row],[PREÇO JUSTO BAZIN]]</f>
        <v/>
      </c>
      <c r="V186" s="129">
        <f>Table_1[[#This Row],[DPA]]/6%</f>
        <v/>
      </c>
      <c r="W186" s="129">
        <f>Table_1[[#This Row],[PREÇO JUSTO BAZIN]]/(1+Table_1[[#This Row],[MARGEM DE DESCONTO]])</f>
        <v/>
      </c>
      <c r="X186" s="64">
        <f>(Table_1[[#This Row],[PREÇO JUSTO GRAHAM]]-Table_1[[#This Row],[PREÇO]])/Table_1[[#This Row],[PREÇO JUSTO GRAHAM]]</f>
        <v/>
      </c>
      <c r="Y186" s="129">
        <f>(22.5*Table_1[[#This Row],[LPA]]*Table_1[[#This Row],[VPA]])^0.5</f>
        <v/>
      </c>
      <c r="Z186" s="129">
        <f>Table_1[[#This Row],[PREÇO JUSTO GRAHAM]]/(1+Table_1[[#This Row],[MARGEM DE DESCONTO]])</f>
        <v/>
      </c>
      <c r="AA186" s="64">
        <f>(Table_1[[#This Row],[PREÇO JUSTO GORDON]]-Table_1[[#This Row],[PREÇO]])/Table_1[[#This Row],[PREÇO JUSTO GORDON]]</f>
        <v/>
      </c>
      <c r="AB186" s="130">
        <f>Table_1[[#This Row],[DPA]]*(1+Table_1[[#This Row],[MÉDIA DE CRESCIMENTO]])</f>
        <v/>
      </c>
      <c r="AC186" s="130">
        <f>Table_1[[#This Row],[D1]]/(Table_1[[#This Row],[RISCO]]-Table_1[[#This Row],[MÉDIA DE CRESCIMENTO]])</f>
        <v/>
      </c>
      <c r="AD186" s="130">
        <f>Table_1[[#This Row],[PREÇO JUSTO GORDON]]/(1+Table_1[[#This Row],[MARGEM DE DESCONTO]])</f>
        <v/>
      </c>
      <c r="AE186" s="78">
        <f>Table_1[[#This Row],[P/L]]/Table_1[[#This Row],[MÉDIA DE CRESCIMENTO]]</f>
        <v/>
      </c>
    </row>
    <row r="187" ht="15.75" customHeight="1">
      <c r="B187" s="77">
        <f>'Dados Status Invest'!A173</f>
        <v/>
      </c>
      <c r="C187" s="60">
        <f>VLOOKUP(Table_1[[#This Row],[AÇÕES]],'Classificação B3'!A:B,2,0)</f>
        <v/>
      </c>
      <c r="D187" s="60">
        <f>VLOOKUP(Table_1[[#This Row],[AÇÕES]],'Classificação B3'!A:D,4,0)</f>
        <v/>
      </c>
      <c r="E187" s="60">
        <f>VLOOKUP(Table_1[[#This Row],[AÇÕES]],'Classificação B3'!A:F,6,0)</f>
        <v/>
      </c>
      <c r="F187" s="60">
        <f>VLOOKUP(Table_1[[#This Row],[AÇÕES]],'Classificação B3'!A:G,7,0)</f>
        <v/>
      </c>
      <c r="G187" s="61">
        <f>VLOOKUP(Table_1[[#This Row],[AÇÕES]],'Dados Status Invest'!A:B,2,0)</f>
        <v/>
      </c>
      <c r="H187" s="62">
        <f>VLOOKUP(Table_1[[#This Row],[AÇÕES]],'Dados Status Invest'!A:C,3,0)/100</f>
        <v/>
      </c>
      <c r="I187" s="62">
        <f>VLOOKUP(Table_1[[#This Row],[AÇÕES]],'Dados Status Invest'!A:D,4,0)/100</f>
        <v/>
      </c>
      <c r="J187" s="63">
        <f>VLOOKUP(Table_1[[#This Row],[AÇÕES]],'Dados Status Invest'!A:AB,28,0)</f>
        <v/>
      </c>
      <c r="K187" s="63">
        <f>VLOOKUP(Table_1[[#This Row],[AÇÕES]],'Dados Status Invest'!A:AA,27,0)</f>
        <v/>
      </c>
      <c r="L187" s="63">
        <f>Table_1[[#This Row],[PREÇO]]*Table_1[[#This Row],[DY]]</f>
        <v/>
      </c>
      <c r="M187" s="62">
        <f>$E$13</f>
        <v/>
      </c>
      <c r="N187" s="62" t="n">
        <v>0.3</v>
      </c>
      <c r="O187" s="62">
        <f>Table_1[[#This Row],[DPA]]/Table_1[[#This Row],[LPA]]</f>
        <v/>
      </c>
      <c r="P187" s="62">
        <f>IF(Table_1[[#This Row],[PAYOUT]]&lt;=40%,"CRESCIMENTO",IF(Table_1[[#This Row],[PAYOUT]]&lt;=60%,"INDEFINIDO","DIVIDENDOS"))</f>
        <v/>
      </c>
      <c r="Q187" s="62">
        <f>VLOOKUP(Table_1[[#This Row],[AÇÕES]],'Dados Status Invest'!A:R,18,0)/100</f>
        <v/>
      </c>
      <c r="R187" s="62">
        <f>VLOOKUP(Table_1[[#This Row],[AÇÕES]],'Dados Status Invest'!A:Y,25,0)/100</f>
        <v/>
      </c>
      <c r="S187" s="62">
        <f>(1-Table_1[[#This Row],[PAYOUT]])*Table_1[[#This Row],[ROE]]</f>
        <v/>
      </c>
      <c r="T187" s="98">
        <f>AVERAGE(Table_1[[#This Row],[CAGR LUCRO 5A]],Table_1[[#This Row],[CRESCIMENTO DAMODARAN]])</f>
        <v/>
      </c>
      <c r="U187" s="64">
        <f>(Table_1[[#This Row],[PREÇO JUSTO BAZIN]]-Table_1[[#This Row],[PREÇO]])/Table_1[[#This Row],[PREÇO JUSTO BAZIN]]</f>
        <v/>
      </c>
      <c r="V187" s="129">
        <f>Table_1[[#This Row],[DPA]]/6%</f>
        <v/>
      </c>
      <c r="W187" s="129">
        <f>Table_1[[#This Row],[PREÇO JUSTO BAZIN]]/(1+Table_1[[#This Row],[MARGEM DE DESCONTO]])</f>
        <v/>
      </c>
      <c r="X187" s="64">
        <f>(Table_1[[#This Row],[PREÇO JUSTO GRAHAM]]-Table_1[[#This Row],[PREÇO]])/Table_1[[#This Row],[PREÇO JUSTO GRAHAM]]</f>
        <v/>
      </c>
      <c r="Y187" s="129">
        <f>(22.5*Table_1[[#This Row],[LPA]]*Table_1[[#This Row],[VPA]])^0.5</f>
        <v/>
      </c>
      <c r="Z187" s="129">
        <f>Table_1[[#This Row],[PREÇO JUSTO GRAHAM]]/(1+Table_1[[#This Row],[MARGEM DE DESCONTO]])</f>
        <v/>
      </c>
      <c r="AA187" s="64">
        <f>(Table_1[[#This Row],[PREÇO JUSTO GORDON]]-Table_1[[#This Row],[PREÇO]])/Table_1[[#This Row],[PREÇO JUSTO GORDON]]</f>
        <v/>
      </c>
      <c r="AB187" s="130">
        <f>Table_1[[#This Row],[DPA]]*(1+Table_1[[#This Row],[MÉDIA DE CRESCIMENTO]])</f>
        <v/>
      </c>
      <c r="AC187" s="130">
        <f>Table_1[[#This Row],[D1]]/(Table_1[[#This Row],[RISCO]]-Table_1[[#This Row],[MÉDIA DE CRESCIMENTO]])</f>
        <v/>
      </c>
      <c r="AD187" s="130">
        <f>Table_1[[#This Row],[PREÇO JUSTO GORDON]]/(1+Table_1[[#This Row],[MARGEM DE DESCONTO]])</f>
        <v/>
      </c>
      <c r="AE187" s="78">
        <f>Table_1[[#This Row],[P/L]]/Table_1[[#This Row],[MÉDIA DE CRESCIMENTO]]</f>
        <v/>
      </c>
    </row>
    <row r="188" ht="15.75" customHeight="1">
      <c r="B188" s="77">
        <f>'Dados Status Invest'!A174</f>
        <v/>
      </c>
      <c r="C188" s="60">
        <f>VLOOKUP(Table_1[[#This Row],[AÇÕES]],'Classificação B3'!A:B,2,0)</f>
        <v/>
      </c>
      <c r="D188" s="60">
        <f>VLOOKUP(Table_1[[#This Row],[AÇÕES]],'Classificação B3'!A:D,4,0)</f>
        <v/>
      </c>
      <c r="E188" s="60">
        <f>VLOOKUP(Table_1[[#This Row],[AÇÕES]],'Classificação B3'!A:F,6,0)</f>
        <v/>
      </c>
      <c r="F188" s="60">
        <f>VLOOKUP(Table_1[[#This Row],[AÇÕES]],'Classificação B3'!A:G,7,0)</f>
        <v/>
      </c>
      <c r="G188" s="61">
        <f>VLOOKUP(Table_1[[#This Row],[AÇÕES]],'Dados Status Invest'!A:B,2,0)</f>
        <v/>
      </c>
      <c r="H188" s="62">
        <f>VLOOKUP(Table_1[[#This Row],[AÇÕES]],'Dados Status Invest'!A:C,3,0)/100</f>
        <v/>
      </c>
      <c r="I188" s="62">
        <f>VLOOKUP(Table_1[[#This Row],[AÇÕES]],'Dados Status Invest'!A:D,4,0)/100</f>
        <v/>
      </c>
      <c r="J188" s="63">
        <f>VLOOKUP(Table_1[[#This Row],[AÇÕES]],'Dados Status Invest'!A:AB,28,0)</f>
        <v/>
      </c>
      <c r="K188" s="63">
        <f>VLOOKUP(Table_1[[#This Row],[AÇÕES]],'Dados Status Invest'!A:AA,27,0)</f>
        <v/>
      </c>
      <c r="L188" s="63">
        <f>Table_1[[#This Row],[PREÇO]]*Table_1[[#This Row],[DY]]</f>
        <v/>
      </c>
      <c r="M188" s="62">
        <f>$E$13</f>
        <v/>
      </c>
      <c r="N188" s="62" t="n">
        <v>0.3</v>
      </c>
      <c r="O188" s="62">
        <f>Table_1[[#This Row],[DPA]]/Table_1[[#This Row],[LPA]]</f>
        <v/>
      </c>
      <c r="P188" s="62">
        <f>IF(Table_1[[#This Row],[PAYOUT]]&lt;=40%,"CRESCIMENTO",IF(Table_1[[#This Row],[PAYOUT]]&lt;=60%,"INDEFINIDO","DIVIDENDOS"))</f>
        <v/>
      </c>
      <c r="Q188" s="62">
        <f>VLOOKUP(Table_1[[#This Row],[AÇÕES]],'Dados Status Invest'!A:R,18,0)/100</f>
        <v/>
      </c>
      <c r="R188" s="62">
        <f>VLOOKUP(Table_1[[#This Row],[AÇÕES]],'Dados Status Invest'!A:Y,25,0)/100</f>
        <v/>
      </c>
      <c r="S188" s="62">
        <f>(1-Table_1[[#This Row],[PAYOUT]])*Table_1[[#This Row],[ROE]]</f>
        <v/>
      </c>
      <c r="T188" s="98">
        <f>AVERAGE(Table_1[[#This Row],[CAGR LUCRO 5A]],Table_1[[#This Row],[CRESCIMENTO DAMODARAN]])</f>
        <v/>
      </c>
      <c r="U188" s="64">
        <f>(Table_1[[#This Row],[PREÇO JUSTO BAZIN]]-Table_1[[#This Row],[PREÇO]])/Table_1[[#This Row],[PREÇO JUSTO BAZIN]]</f>
        <v/>
      </c>
      <c r="V188" s="129">
        <f>Table_1[[#This Row],[DPA]]/6%</f>
        <v/>
      </c>
      <c r="W188" s="129">
        <f>Table_1[[#This Row],[PREÇO JUSTO BAZIN]]/(1+Table_1[[#This Row],[MARGEM DE DESCONTO]])</f>
        <v/>
      </c>
      <c r="X188" s="64">
        <f>(Table_1[[#This Row],[PREÇO JUSTO GRAHAM]]-Table_1[[#This Row],[PREÇO]])/Table_1[[#This Row],[PREÇO JUSTO GRAHAM]]</f>
        <v/>
      </c>
      <c r="Y188" s="129">
        <f>(22.5*Table_1[[#This Row],[LPA]]*Table_1[[#This Row],[VPA]])^0.5</f>
        <v/>
      </c>
      <c r="Z188" s="129">
        <f>Table_1[[#This Row],[PREÇO JUSTO GRAHAM]]/(1+Table_1[[#This Row],[MARGEM DE DESCONTO]])</f>
        <v/>
      </c>
      <c r="AA188" s="64">
        <f>(Table_1[[#This Row],[PREÇO JUSTO GORDON]]-Table_1[[#This Row],[PREÇO]])/Table_1[[#This Row],[PREÇO JUSTO GORDON]]</f>
        <v/>
      </c>
      <c r="AB188" s="130">
        <f>Table_1[[#This Row],[DPA]]*(1+Table_1[[#This Row],[MÉDIA DE CRESCIMENTO]])</f>
        <v/>
      </c>
      <c r="AC188" s="130">
        <f>Table_1[[#This Row],[D1]]/(Table_1[[#This Row],[RISCO]]-Table_1[[#This Row],[MÉDIA DE CRESCIMENTO]])</f>
        <v/>
      </c>
      <c r="AD188" s="130">
        <f>Table_1[[#This Row],[PREÇO JUSTO GORDON]]/(1+Table_1[[#This Row],[MARGEM DE DESCONTO]])</f>
        <v/>
      </c>
      <c r="AE188" s="78">
        <f>Table_1[[#This Row],[P/L]]/Table_1[[#This Row],[MÉDIA DE CRESCIMENTO]]</f>
        <v/>
      </c>
    </row>
    <row r="189" ht="15.75" customHeight="1">
      <c r="B189" s="77">
        <f>'Dados Status Invest'!A175</f>
        <v/>
      </c>
      <c r="C189" s="60">
        <f>VLOOKUP(Table_1[[#This Row],[AÇÕES]],'Classificação B3'!A:B,2,0)</f>
        <v/>
      </c>
      <c r="D189" s="60">
        <f>VLOOKUP(Table_1[[#This Row],[AÇÕES]],'Classificação B3'!A:D,4,0)</f>
        <v/>
      </c>
      <c r="E189" s="60">
        <f>VLOOKUP(Table_1[[#This Row],[AÇÕES]],'Classificação B3'!A:F,6,0)</f>
        <v/>
      </c>
      <c r="F189" s="60">
        <f>VLOOKUP(Table_1[[#This Row],[AÇÕES]],'Classificação B3'!A:G,7,0)</f>
        <v/>
      </c>
      <c r="G189" s="61">
        <f>VLOOKUP(Table_1[[#This Row],[AÇÕES]],'Dados Status Invest'!A:B,2,0)</f>
        <v/>
      </c>
      <c r="H189" s="62">
        <f>VLOOKUP(Table_1[[#This Row],[AÇÕES]],'Dados Status Invest'!A:C,3,0)/100</f>
        <v/>
      </c>
      <c r="I189" s="62">
        <f>VLOOKUP(Table_1[[#This Row],[AÇÕES]],'Dados Status Invest'!A:D,4,0)/100</f>
        <v/>
      </c>
      <c r="J189" s="63">
        <f>VLOOKUP(Table_1[[#This Row],[AÇÕES]],'Dados Status Invest'!A:AB,28,0)</f>
        <v/>
      </c>
      <c r="K189" s="63">
        <f>VLOOKUP(Table_1[[#This Row],[AÇÕES]],'Dados Status Invest'!A:AA,27,0)</f>
        <v/>
      </c>
      <c r="L189" s="63">
        <f>Table_1[[#This Row],[PREÇO]]*Table_1[[#This Row],[DY]]</f>
        <v/>
      </c>
      <c r="M189" s="62">
        <f>$E$13</f>
        <v/>
      </c>
      <c r="N189" s="62" t="n">
        <v>0.3</v>
      </c>
      <c r="O189" s="62">
        <f>Table_1[[#This Row],[DPA]]/Table_1[[#This Row],[LPA]]</f>
        <v/>
      </c>
      <c r="P189" s="62">
        <f>IF(Table_1[[#This Row],[PAYOUT]]&lt;=40%,"CRESCIMENTO",IF(Table_1[[#This Row],[PAYOUT]]&lt;=60%,"INDEFINIDO","DIVIDENDOS"))</f>
        <v/>
      </c>
      <c r="Q189" s="62">
        <f>VLOOKUP(Table_1[[#This Row],[AÇÕES]],'Dados Status Invest'!A:R,18,0)/100</f>
        <v/>
      </c>
      <c r="R189" s="62">
        <f>VLOOKUP(Table_1[[#This Row],[AÇÕES]],'Dados Status Invest'!A:Y,25,0)/100</f>
        <v/>
      </c>
      <c r="S189" s="62">
        <f>(1-Table_1[[#This Row],[PAYOUT]])*Table_1[[#This Row],[ROE]]</f>
        <v/>
      </c>
      <c r="T189" s="98">
        <f>AVERAGE(Table_1[[#This Row],[CAGR LUCRO 5A]],Table_1[[#This Row],[CRESCIMENTO DAMODARAN]])</f>
        <v/>
      </c>
      <c r="U189" s="64">
        <f>(Table_1[[#This Row],[PREÇO JUSTO BAZIN]]-Table_1[[#This Row],[PREÇO]])/Table_1[[#This Row],[PREÇO JUSTO BAZIN]]</f>
        <v/>
      </c>
      <c r="V189" s="129">
        <f>Table_1[[#This Row],[DPA]]/6%</f>
        <v/>
      </c>
      <c r="W189" s="129">
        <f>Table_1[[#This Row],[PREÇO JUSTO BAZIN]]/(1+Table_1[[#This Row],[MARGEM DE DESCONTO]])</f>
        <v/>
      </c>
      <c r="X189" s="64">
        <f>(Table_1[[#This Row],[PREÇO JUSTO GRAHAM]]-Table_1[[#This Row],[PREÇO]])/Table_1[[#This Row],[PREÇO JUSTO GRAHAM]]</f>
        <v/>
      </c>
      <c r="Y189" s="129">
        <f>(22.5*Table_1[[#This Row],[LPA]]*Table_1[[#This Row],[VPA]])^0.5</f>
        <v/>
      </c>
      <c r="Z189" s="129">
        <f>Table_1[[#This Row],[PREÇO JUSTO GRAHAM]]/(1+Table_1[[#This Row],[MARGEM DE DESCONTO]])</f>
        <v/>
      </c>
      <c r="AA189" s="64">
        <f>(Table_1[[#This Row],[PREÇO JUSTO GORDON]]-Table_1[[#This Row],[PREÇO]])/Table_1[[#This Row],[PREÇO JUSTO GORDON]]</f>
        <v/>
      </c>
      <c r="AB189" s="130">
        <f>Table_1[[#This Row],[DPA]]*(1+Table_1[[#This Row],[MÉDIA DE CRESCIMENTO]])</f>
        <v/>
      </c>
      <c r="AC189" s="130">
        <f>Table_1[[#This Row],[D1]]/(Table_1[[#This Row],[RISCO]]-Table_1[[#This Row],[MÉDIA DE CRESCIMENTO]])</f>
        <v/>
      </c>
      <c r="AD189" s="130">
        <f>Table_1[[#This Row],[PREÇO JUSTO GORDON]]/(1+Table_1[[#This Row],[MARGEM DE DESCONTO]])</f>
        <v/>
      </c>
      <c r="AE189" s="78">
        <f>Table_1[[#This Row],[P/L]]/Table_1[[#This Row],[MÉDIA DE CRESCIMENTO]]</f>
        <v/>
      </c>
    </row>
    <row r="190" ht="15.75" customHeight="1">
      <c r="B190" s="77">
        <f>'Dados Status Invest'!A176</f>
        <v/>
      </c>
      <c r="C190" s="60">
        <f>VLOOKUP(Table_1[[#This Row],[AÇÕES]],'Classificação B3'!A:B,2,0)</f>
        <v/>
      </c>
      <c r="D190" s="60">
        <f>VLOOKUP(Table_1[[#This Row],[AÇÕES]],'Classificação B3'!A:D,4,0)</f>
        <v/>
      </c>
      <c r="E190" s="60">
        <f>VLOOKUP(Table_1[[#This Row],[AÇÕES]],'Classificação B3'!A:F,6,0)</f>
        <v/>
      </c>
      <c r="F190" s="60">
        <f>VLOOKUP(Table_1[[#This Row],[AÇÕES]],'Classificação B3'!A:G,7,0)</f>
        <v/>
      </c>
      <c r="G190" s="61">
        <f>VLOOKUP(Table_1[[#This Row],[AÇÕES]],'Dados Status Invest'!A:B,2,0)</f>
        <v/>
      </c>
      <c r="H190" s="62">
        <f>VLOOKUP(Table_1[[#This Row],[AÇÕES]],'Dados Status Invest'!A:C,3,0)/100</f>
        <v/>
      </c>
      <c r="I190" s="62">
        <f>VLOOKUP(Table_1[[#This Row],[AÇÕES]],'Dados Status Invest'!A:D,4,0)/100</f>
        <v/>
      </c>
      <c r="J190" s="63">
        <f>VLOOKUP(Table_1[[#This Row],[AÇÕES]],'Dados Status Invest'!A:AB,28,0)</f>
        <v/>
      </c>
      <c r="K190" s="63">
        <f>VLOOKUP(Table_1[[#This Row],[AÇÕES]],'Dados Status Invest'!A:AA,27,0)</f>
        <v/>
      </c>
      <c r="L190" s="63">
        <f>Table_1[[#This Row],[PREÇO]]*Table_1[[#This Row],[DY]]</f>
        <v/>
      </c>
      <c r="M190" s="62">
        <f>$E$13</f>
        <v/>
      </c>
      <c r="N190" s="62" t="n">
        <v>0.3</v>
      </c>
      <c r="O190" s="62">
        <f>Table_1[[#This Row],[DPA]]/Table_1[[#This Row],[LPA]]</f>
        <v/>
      </c>
      <c r="P190" s="62">
        <f>IF(Table_1[[#This Row],[PAYOUT]]&lt;=40%,"CRESCIMENTO",IF(Table_1[[#This Row],[PAYOUT]]&lt;=60%,"INDEFINIDO","DIVIDENDOS"))</f>
        <v/>
      </c>
      <c r="Q190" s="62">
        <f>VLOOKUP(Table_1[[#This Row],[AÇÕES]],'Dados Status Invest'!A:R,18,0)/100</f>
        <v/>
      </c>
      <c r="R190" s="62">
        <f>VLOOKUP(Table_1[[#This Row],[AÇÕES]],'Dados Status Invest'!A:Y,25,0)/100</f>
        <v/>
      </c>
      <c r="S190" s="62">
        <f>(1-Table_1[[#This Row],[PAYOUT]])*Table_1[[#This Row],[ROE]]</f>
        <v/>
      </c>
      <c r="T190" s="98">
        <f>AVERAGE(Table_1[[#This Row],[CAGR LUCRO 5A]],Table_1[[#This Row],[CRESCIMENTO DAMODARAN]])</f>
        <v/>
      </c>
      <c r="U190" s="64">
        <f>(Table_1[[#This Row],[PREÇO JUSTO BAZIN]]-Table_1[[#This Row],[PREÇO]])/Table_1[[#This Row],[PREÇO JUSTO BAZIN]]</f>
        <v/>
      </c>
      <c r="V190" s="129">
        <f>Table_1[[#This Row],[DPA]]/6%</f>
        <v/>
      </c>
      <c r="W190" s="129">
        <f>Table_1[[#This Row],[PREÇO JUSTO BAZIN]]/(1+Table_1[[#This Row],[MARGEM DE DESCONTO]])</f>
        <v/>
      </c>
      <c r="X190" s="64">
        <f>(Table_1[[#This Row],[PREÇO JUSTO GRAHAM]]-Table_1[[#This Row],[PREÇO]])/Table_1[[#This Row],[PREÇO JUSTO GRAHAM]]</f>
        <v/>
      </c>
      <c r="Y190" s="129">
        <f>(22.5*Table_1[[#This Row],[LPA]]*Table_1[[#This Row],[VPA]])^0.5</f>
        <v/>
      </c>
      <c r="Z190" s="129">
        <f>Table_1[[#This Row],[PREÇO JUSTO GRAHAM]]/(1+Table_1[[#This Row],[MARGEM DE DESCONTO]])</f>
        <v/>
      </c>
      <c r="AA190" s="64">
        <f>(Table_1[[#This Row],[PREÇO JUSTO GORDON]]-Table_1[[#This Row],[PREÇO]])/Table_1[[#This Row],[PREÇO JUSTO GORDON]]</f>
        <v/>
      </c>
      <c r="AB190" s="130">
        <f>Table_1[[#This Row],[DPA]]*(1+Table_1[[#This Row],[MÉDIA DE CRESCIMENTO]])</f>
        <v/>
      </c>
      <c r="AC190" s="130">
        <f>Table_1[[#This Row],[D1]]/(Table_1[[#This Row],[RISCO]]-Table_1[[#This Row],[MÉDIA DE CRESCIMENTO]])</f>
        <v/>
      </c>
      <c r="AD190" s="130">
        <f>Table_1[[#This Row],[PREÇO JUSTO GORDON]]/(1+Table_1[[#This Row],[MARGEM DE DESCONTO]])</f>
        <v/>
      </c>
      <c r="AE190" s="78">
        <f>Table_1[[#This Row],[P/L]]/Table_1[[#This Row],[MÉDIA DE CRESCIMENTO]]</f>
        <v/>
      </c>
    </row>
    <row r="191" ht="15.75" customHeight="1">
      <c r="B191" s="77">
        <f>'Dados Status Invest'!A177</f>
        <v/>
      </c>
      <c r="C191" s="60">
        <f>VLOOKUP(Table_1[[#This Row],[AÇÕES]],'Classificação B3'!A:B,2,0)</f>
        <v/>
      </c>
      <c r="D191" s="60">
        <f>VLOOKUP(Table_1[[#This Row],[AÇÕES]],'Classificação B3'!A:D,4,0)</f>
        <v/>
      </c>
      <c r="E191" s="60">
        <f>VLOOKUP(Table_1[[#This Row],[AÇÕES]],'Classificação B3'!A:F,6,0)</f>
        <v/>
      </c>
      <c r="F191" s="60">
        <f>VLOOKUP(Table_1[[#This Row],[AÇÕES]],'Classificação B3'!A:G,7,0)</f>
        <v/>
      </c>
      <c r="G191" s="61">
        <f>VLOOKUP(Table_1[[#This Row],[AÇÕES]],'Dados Status Invest'!A:B,2,0)</f>
        <v/>
      </c>
      <c r="H191" s="62">
        <f>VLOOKUP(Table_1[[#This Row],[AÇÕES]],'Dados Status Invest'!A:C,3,0)/100</f>
        <v/>
      </c>
      <c r="I191" s="62">
        <f>VLOOKUP(Table_1[[#This Row],[AÇÕES]],'Dados Status Invest'!A:D,4,0)/100</f>
        <v/>
      </c>
      <c r="J191" s="63">
        <f>VLOOKUP(Table_1[[#This Row],[AÇÕES]],'Dados Status Invest'!A:AB,28,0)</f>
        <v/>
      </c>
      <c r="K191" s="63">
        <f>VLOOKUP(Table_1[[#This Row],[AÇÕES]],'Dados Status Invest'!A:AA,27,0)</f>
        <v/>
      </c>
      <c r="L191" s="63">
        <f>Table_1[[#This Row],[PREÇO]]*Table_1[[#This Row],[DY]]</f>
        <v/>
      </c>
      <c r="M191" s="62">
        <f>$E$13</f>
        <v/>
      </c>
      <c r="N191" s="62" t="n">
        <v>0.3</v>
      </c>
      <c r="O191" s="62">
        <f>Table_1[[#This Row],[DPA]]/Table_1[[#This Row],[LPA]]</f>
        <v/>
      </c>
      <c r="P191" s="62">
        <f>IF(Table_1[[#This Row],[PAYOUT]]&lt;=40%,"CRESCIMENTO",IF(Table_1[[#This Row],[PAYOUT]]&lt;=60%,"INDEFINIDO","DIVIDENDOS"))</f>
        <v/>
      </c>
      <c r="Q191" s="62">
        <f>VLOOKUP(Table_1[[#This Row],[AÇÕES]],'Dados Status Invest'!A:R,18,0)/100</f>
        <v/>
      </c>
      <c r="R191" s="62">
        <f>VLOOKUP(Table_1[[#This Row],[AÇÕES]],'Dados Status Invest'!A:Y,25,0)/100</f>
        <v/>
      </c>
      <c r="S191" s="62">
        <f>(1-Table_1[[#This Row],[PAYOUT]])*Table_1[[#This Row],[ROE]]</f>
        <v/>
      </c>
      <c r="T191" s="98">
        <f>AVERAGE(Table_1[[#This Row],[CAGR LUCRO 5A]],Table_1[[#This Row],[CRESCIMENTO DAMODARAN]])</f>
        <v/>
      </c>
      <c r="U191" s="64">
        <f>(Table_1[[#This Row],[PREÇO JUSTO BAZIN]]-Table_1[[#This Row],[PREÇO]])/Table_1[[#This Row],[PREÇO JUSTO BAZIN]]</f>
        <v/>
      </c>
      <c r="V191" s="129">
        <f>Table_1[[#This Row],[DPA]]/6%</f>
        <v/>
      </c>
      <c r="W191" s="129">
        <f>Table_1[[#This Row],[PREÇO JUSTO BAZIN]]/(1+Table_1[[#This Row],[MARGEM DE DESCONTO]])</f>
        <v/>
      </c>
      <c r="X191" s="64">
        <f>(Table_1[[#This Row],[PREÇO JUSTO GRAHAM]]-Table_1[[#This Row],[PREÇO]])/Table_1[[#This Row],[PREÇO JUSTO GRAHAM]]</f>
        <v/>
      </c>
      <c r="Y191" s="129">
        <f>(22.5*Table_1[[#This Row],[LPA]]*Table_1[[#This Row],[VPA]])^0.5</f>
        <v/>
      </c>
      <c r="Z191" s="129">
        <f>Table_1[[#This Row],[PREÇO JUSTO GRAHAM]]/(1+Table_1[[#This Row],[MARGEM DE DESCONTO]])</f>
        <v/>
      </c>
      <c r="AA191" s="64">
        <f>(Table_1[[#This Row],[PREÇO JUSTO GORDON]]-Table_1[[#This Row],[PREÇO]])/Table_1[[#This Row],[PREÇO JUSTO GORDON]]</f>
        <v/>
      </c>
      <c r="AB191" s="130">
        <f>Table_1[[#This Row],[DPA]]*(1+Table_1[[#This Row],[MÉDIA DE CRESCIMENTO]])</f>
        <v/>
      </c>
      <c r="AC191" s="130">
        <f>Table_1[[#This Row],[D1]]/(Table_1[[#This Row],[RISCO]]-Table_1[[#This Row],[MÉDIA DE CRESCIMENTO]])</f>
        <v/>
      </c>
      <c r="AD191" s="130">
        <f>Table_1[[#This Row],[PREÇO JUSTO GORDON]]/(1+Table_1[[#This Row],[MARGEM DE DESCONTO]])</f>
        <v/>
      </c>
      <c r="AE191" s="78">
        <f>Table_1[[#This Row],[P/L]]/Table_1[[#This Row],[MÉDIA DE CRESCIMENTO]]</f>
        <v/>
      </c>
    </row>
    <row r="192" ht="15.75" customHeight="1">
      <c r="B192" s="77">
        <f>'Dados Status Invest'!A178</f>
        <v/>
      </c>
      <c r="C192" s="60">
        <f>VLOOKUP(Table_1[[#This Row],[AÇÕES]],'Classificação B3'!A:B,2,0)</f>
        <v/>
      </c>
      <c r="D192" s="60">
        <f>VLOOKUP(Table_1[[#This Row],[AÇÕES]],'Classificação B3'!A:D,4,0)</f>
        <v/>
      </c>
      <c r="E192" s="60">
        <f>VLOOKUP(Table_1[[#This Row],[AÇÕES]],'Classificação B3'!A:F,6,0)</f>
        <v/>
      </c>
      <c r="F192" s="60">
        <f>VLOOKUP(Table_1[[#This Row],[AÇÕES]],'Classificação B3'!A:G,7,0)</f>
        <v/>
      </c>
      <c r="G192" s="61">
        <f>VLOOKUP(Table_1[[#This Row],[AÇÕES]],'Dados Status Invest'!A:B,2,0)</f>
        <v/>
      </c>
      <c r="H192" s="62">
        <f>VLOOKUP(Table_1[[#This Row],[AÇÕES]],'Dados Status Invest'!A:C,3,0)/100</f>
        <v/>
      </c>
      <c r="I192" s="62">
        <f>VLOOKUP(Table_1[[#This Row],[AÇÕES]],'Dados Status Invest'!A:D,4,0)/100</f>
        <v/>
      </c>
      <c r="J192" s="63">
        <f>VLOOKUP(Table_1[[#This Row],[AÇÕES]],'Dados Status Invest'!A:AB,28,0)</f>
        <v/>
      </c>
      <c r="K192" s="63">
        <f>VLOOKUP(Table_1[[#This Row],[AÇÕES]],'Dados Status Invest'!A:AA,27,0)</f>
        <v/>
      </c>
      <c r="L192" s="63">
        <f>Table_1[[#This Row],[PREÇO]]*Table_1[[#This Row],[DY]]</f>
        <v/>
      </c>
      <c r="M192" s="62">
        <f>$E$13</f>
        <v/>
      </c>
      <c r="N192" s="62" t="n">
        <v>0.3</v>
      </c>
      <c r="O192" s="62">
        <f>Table_1[[#This Row],[DPA]]/Table_1[[#This Row],[LPA]]</f>
        <v/>
      </c>
      <c r="P192" s="62">
        <f>IF(Table_1[[#This Row],[PAYOUT]]&lt;=40%,"CRESCIMENTO",IF(Table_1[[#This Row],[PAYOUT]]&lt;=60%,"INDEFINIDO","DIVIDENDOS"))</f>
        <v/>
      </c>
      <c r="Q192" s="62">
        <f>VLOOKUP(Table_1[[#This Row],[AÇÕES]],'Dados Status Invest'!A:R,18,0)/100</f>
        <v/>
      </c>
      <c r="R192" s="62">
        <f>VLOOKUP(Table_1[[#This Row],[AÇÕES]],'Dados Status Invest'!A:Y,25,0)/100</f>
        <v/>
      </c>
      <c r="S192" s="62">
        <f>(1-Table_1[[#This Row],[PAYOUT]])*Table_1[[#This Row],[ROE]]</f>
        <v/>
      </c>
      <c r="T192" s="98">
        <f>AVERAGE(Table_1[[#This Row],[CAGR LUCRO 5A]],Table_1[[#This Row],[CRESCIMENTO DAMODARAN]])</f>
        <v/>
      </c>
      <c r="U192" s="64">
        <f>(Table_1[[#This Row],[PREÇO JUSTO BAZIN]]-Table_1[[#This Row],[PREÇO]])/Table_1[[#This Row],[PREÇO JUSTO BAZIN]]</f>
        <v/>
      </c>
      <c r="V192" s="129">
        <f>Table_1[[#This Row],[DPA]]/6%</f>
        <v/>
      </c>
      <c r="W192" s="129">
        <f>Table_1[[#This Row],[PREÇO JUSTO BAZIN]]/(1+Table_1[[#This Row],[MARGEM DE DESCONTO]])</f>
        <v/>
      </c>
      <c r="X192" s="64">
        <f>(Table_1[[#This Row],[PREÇO JUSTO GRAHAM]]-Table_1[[#This Row],[PREÇO]])/Table_1[[#This Row],[PREÇO JUSTO GRAHAM]]</f>
        <v/>
      </c>
      <c r="Y192" s="129">
        <f>(22.5*Table_1[[#This Row],[LPA]]*Table_1[[#This Row],[VPA]])^0.5</f>
        <v/>
      </c>
      <c r="Z192" s="129">
        <f>Table_1[[#This Row],[PREÇO JUSTO GRAHAM]]/(1+Table_1[[#This Row],[MARGEM DE DESCONTO]])</f>
        <v/>
      </c>
      <c r="AA192" s="64">
        <f>(Table_1[[#This Row],[PREÇO JUSTO GORDON]]-Table_1[[#This Row],[PREÇO]])/Table_1[[#This Row],[PREÇO JUSTO GORDON]]</f>
        <v/>
      </c>
      <c r="AB192" s="130">
        <f>Table_1[[#This Row],[DPA]]*(1+Table_1[[#This Row],[MÉDIA DE CRESCIMENTO]])</f>
        <v/>
      </c>
      <c r="AC192" s="130">
        <f>Table_1[[#This Row],[D1]]/(Table_1[[#This Row],[RISCO]]-Table_1[[#This Row],[MÉDIA DE CRESCIMENTO]])</f>
        <v/>
      </c>
      <c r="AD192" s="130">
        <f>Table_1[[#This Row],[PREÇO JUSTO GORDON]]/(1+Table_1[[#This Row],[MARGEM DE DESCONTO]])</f>
        <v/>
      </c>
      <c r="AE192" s="78">
        <f>Table_1[[#This Row],[P/L]]/Table_1[[#This Row],[MÉDIA DE CRESCIMENTO]]</f>
        <v/>
      </c>
    </row>
    <row r="193" ht="15.75" customHeight="1">
      <c r="B193" s="77">
        <f>'Dados Status Invest'!A179</f>
        <v/>
      </c>
      <c r="C193" s="60">
        <f>VLOOKUP(Table_1[[#This Row],[AÇÕES]],'Classificação B3'!A:B,2,0)</f>
        <v/>
      </c>
      <c r="D193" s="60">
        <f>VLOOKUP(Table_1[[#This Row],[AÇÕES]],'Classificação B3'!A:D,4,0)</f>
        <v/>
      </c>
      <c r="E193" s="60">
        <f>VLOOKUP(Table_1[[#This Row],[AÇÕES]],'Classificação B3'!A:F,6,0)</f>
        <v/>
      </c>
      <c r="F193" s="60">
        <f>VLOOKUP(Table_1[[#This Row],[AÇÕES]],'Classificação B3'!A:G,7,0)</f>
        <v/>
      </c>
      <c r="G193" s="61">
        <f>VLOOKUP(Table_1[[#This Row],[AÇÕES]],'Dados Status Invest'!A:B,2,0)</f>
        <v/>
      </c>
      <c r="H193" s="62">
        <f>VLOOKUP(Table_1[[#This Row],[AÇÕES]],'Dados Status Invest'!A:C,3,0)/100</f>
        <v/>
      </c>
      <c r="I193" s="62">
        <f>VLOOKUP(Table_1[[#This Row],[AÇÕES]],'Dados Status Invest'!A:D,4,0)/100</f>
        <v/>
      </c>
      <c r="J193" s="63">
        <f>VLOOKUP(Table_1[[#This Row],[AÇÕES]],'Dados Status Invest'!A:AB,28,0)</f>
        <v/>
      </c>
      <c r="K193" s="63">
        <f>VLOOKUP(Table_1[[#This Row],[AÇÕES]],'Dados Status Invest'!A:AA,27,0)</f>
        <v/>
      </c>
      <c r="L193" s="63">
        <f>Table_1[[#This Row],[PREÇO]]*Table_1[[#This Row],[DY]]</f>
        <v/>
      </c>
      <c r="M193" s="62">
        <f>$E$13</f>
        <v/>
      </c>
      <c r="N193" s="62" t="n">
        <v>0.3</v>
      </c>
      <c r="O193" s="62">
        <f>Table_1[[#This Row],[DPA]]/Table_1[[#This Row],[LPA]]</f>
        <v/>
      </c>
      <c r="P193" s="62">
        <f>IF(Table_1[[#This Row],[PAYOUT]]&lt;=40%,"CRESCIMENTO",IF(Table_1[[#This Row],[PAYOUT]]&lt;=60%,"INDEFINIDO","DIVIDENDOS"))</f>
        <v/>
      </c>
      <c r="Q193" s="62">
        <f>VLOOKUP(Table_1[[#This Row],[AÇÕES]],'Dados Status Invest'!A:R,18,0)/100</f>
        <v/>
      </c>
      <c r="R193" s="62">
        <f>VLOOKUP(Table_1[[#This Row],[AÇÕES]],'Dados Status Invest'!A:Y,25,0)/100</f>
        <v/>
      </c>
      <c r="S193" s="62">
        <f>(1-Table_1[[#This Row],[PAYOUT]])*Table_1[[#This Row],[ROE]]</f>
        <v/>
      </c>
      <c r="T193" s="98">
        <f>AVERAGE(Table_1[[#This Row],[CAGR LUCRO 5A]],Table_1[[#This Row],[CRESCIMENTO DAMODARAN]])</f>
        <v/>
      </c>
      <c r="U193" s="64">
        <f>(Table_1[[#This Row],[PREÇO JUSTO BAZIN]]-Table_1[[#This Row],[PREÇO]])/Table_1[[#This Row],[PREÇO JUSTO BAZIN]]</f>
        <v/>
      </c>
      <c r="V193" s="129">
        <f>Table_1[[#This Row],[DPA]]/6%</f>
        <v/>
      </c>
      <c r="W193" s="129">
        <f>Table_1[[#This Row],[PREÇO JUSTO BAZIN]]/(1+Table_1[[#This Row],[MARGEM DE DESCONTO]])</f>
        <v/>
      </c>
      <c r="X193" s="64">
        <f>(Table_1[[#This Row],[PREÇO JUSTO GRAHAM]]-Table_1[[#This Row],[PREÇO]])/Table_1[[#This Row],[PREÇO JUSTO GRAHAM]]</f>
        <v/>
      </c>
      <c r="Y193" s="129">
        <f>(22.5*Table_1[[#This Row],[LPA]]*Table_1[[#This Row],[VPA]])^0.5</f>
        <v/>
      </c>
      <c r="Z193" s="129">
        <f>Table_1[[#This Row],[PREÇO JUSTO GRAHAM]]/(1+Table_1[[#This Row],[MARGEM DE DESCONTO]])</f>
        <v/>
      </c>
      <c r="AA193" s="64">
        <f>(Table_1[[#This Row],[PREÇO JUSTO GORDON]]-Table_1[[#This Row],[PREÇO]])/Table_1[[#This Row],[PREÇO JUSTO GORDON]]</f>
        <v/>
      </c>
      <c r="AB193" s="130">
        <f>Table_1[[#This Row],[DPA]]*(1+Table_1[[#This Row],[MÉDIA DE CRESCIMENTO]])</f>
        <v/>
      </c>
      <c r="AC193" s="130">
        <f>Table_1[[#This Row],[D1]]/(Table_1[[#This Row],[RISCO]]-Table_1[[#This Row],[MÉDIA DE CRESCIMENTO]])</f>
        <v/>
      </c>
      <c r="AD193" s="130">
        <f>Table_1[[#This Row],[PREÇO JUSTO GORDON]]/(1+Table_1[[#This Row],[MARGEM DE DESCONTO]])</f>
        <v/>
      </c>
      <c r="AE193" s="78">
        <f>Table_1[[#This Row],[P/L]]/Table_1[[#This Row],[MÉDIA DE CRESCIMENTO]]</f>
        <v/>
      </c>
    </row>
    <row r="194" ht="15.75" customHeight="1">
      <c r="B194" s="77">
        <f>'Dados Status Invest'!A180</f>
        <v/>
      </c>
      <c r="C194" s="60">
        <f>VLOOKUP(Table_1[[#This Row],[AÇÕES]],'Classificação B3'!A:B,2,0)</f>
        <v/>
      </c>
      <c r="D194" s="60">
        <f>VLOOKUP(Table_1[[#This Row],[AÇÕES]],'Classificação B3'!A:D,4,0)</f>
        <v/>
      </c>
      <c r="E194" s="60">
        <f>VLOOKUP(Table_1[[#This Row],[AÇÕES]],'Classificação B3'!A:F,6,0)</f>
        <v/>
      </c>
      <c r="F194" s="60">
        <f>VLOOKUP(Table_1[[#This Row],[AÇÕES]],'Classificação B3'!A:G,7,0)</f>
        <v/>
      </c>
      <c r="G194" s="61">
        <f>VLOOKUP(Table_1[[#This Row],[AÇÕES]],'Dados Status Invest'!A:B,2,0)</f>
        <v/>
      </c>
      <c r="H194" s="62">
        <f>VLOOKUP(Table_1[[#This Row],[AÇÕES]],'Dados Status Invest'!A:C,3,0)/100</f>
        <v/>
      </c>
      <c r="I194" s="62">
        <f>VLOOKUP(Table_1[[#This Row],[AÇÕES]],'Dados Status Invest'!A:D,4,0)/100</f>
        <v/>
      </c>
      <c r="J194" s="63">
        <f>VLOOKUP(Table_1[[#This Row],[AÇÕES]],'Dados Status Invest'!A:AB,28,0)</f>
        <v/>
      </c>
      <c r="K194" s="63">
        <f>VLOOKUP(Table_1[[#This Row],[AÇÕES]],'Dados Status Invest'!A:AA,27,0)</f>
        <v/>
      </c>
      <c r="L194" s="63">
        <f>Table_1[[#This Row],[PREÇO]]*Table_1[[#This Row],[DY]]</f>
        <v/>
      </c>
      <c r="M194" s="62">
        <f>$E$13</f>
        <v/>
      </c>
      <c r="N194" s="62" t="n">
        <v>0.3</v>
      </c>
      <c r="O194" s="62">
        <f>Table_1[[#This Row],[DPA]]/Table_1[[#This Row],[LPA]]</f>
        <v/>
      </c>
      <c r="P194" s="62">
        <f>IF(Table_1[[#This Row],[PAYOUT]]&lt;=40%,"CRESCIMENTO",IF(Table_1[[#This Row],[PAYOUT]]&lt;=60%,"INDEFINIDO","DIVIDENDOS"))</f>
        <v/>
      </c>
      <c r="Q194" s="62">
        <f>VLOOKUP(Table_1[[#This Row],[AÇÕES]],'Dados Status Invest'!A:R,18,0)/100</f>
        <v/>
      </c>
      <c r="R194" s="62">
        <f>VLOOKUP(Table_1[[#This Row],[AÇÕES]],'Dados Status Invest'!A:Y,25,0)/100</f>
        <v/>
      </c>
      <c r="S194" s="62">
        <f>(1-Table_1[[#This Row],[PAYOUT]])*Table_1[[#This Row],[ROE]]</f>
        <v/>
      </c>
      <c r="T194" s="98">
        <f>AVERAGE(Table_1[[#This Row],[CAGR LUCRO 5A]],Table_1[[#This Row],[CRESCIMENTO DAMODARAN]])</f>
        <v/>
      </c>
      <c r="U194" s="64">
        <f>(Table_1[[#This Row],[PREÇO JUSTO BAZIN]]-Table_1[[#This Row],[PREÇO]])/Table_1[[#This Row],[PREÇO JUSTO BAZIN]]</f>
        <v/>
      </c>
      <c r="V194" s="129">
        <f>Table_1[[#This Row],[DPA]]/6%</f>
        <v/>
      </c>
      <c r="W194" s="129">
        <f>Table_1[[#This Row],[PREÇO JUSTO BAZIN]]/(1+Table_1[[#This Row],[MARGEM DE DESCONTO]])</f>
        <v/>
      </c>
      <c r="X194" s="64">
        <f>(Table_1[[#This Row],[PREÇO JUSTO GRAHAM]]-Table_1[[#This Row],[PREÇO]])/Table_1[[#This Row],[PREÇO JUSTO GRAHAM]]</f>
        <v/>
      </c>
      <c r="Y194" s="129">
        <f>(22.5*Table_1[[#This Row],[LPA]]*Table_1[[#This Row],[VPA]])^0.5</f>
        <v/>
      </c>
      <c r="Z194" s="129">
        <f>Table_1[[#This Row],[PREÇO JUSTO GRAHAM]]/(1+Table_1[[#This Row],[MARGEM DE DESCONTO]])</f>
        <v/>
      </c>
      <c r="AA194" s="64">
        <f>(Table_1[[#This Row],[PREÇO JUSTO GORDON]]-Table_1[[#This Row],[PREÇO]])/Table_1[[#This Row],[PREÇO JUSTO GORDON]]</f>
        <v/>
      </c>
      <c r="AB194" s="130">
        <f>Table_1[[#This Row],[DPA]]*(1+Table_1[[#This Row],[MÉDIA DE CRESCIMENTO]])</f>
        <v/>
      </c>
      <c r="AC194" s="130">
        <f>Table_1[[#This Row],[D1]]/(Table_1[[#This Row],[RISCO]]-Table_1[[#This Row],[MÉDIA DE CRESCIMENTO]])</f>
        <v/>
      </c>
      <c r="AD194" s="130">
        <f>Table_1[[#This Row],[PREÇO JUSTO GORDON]]/(1+Table_1[[#This Row],[MARGEM DE DESCONTO]])</f>
        <v/>
      </c>
      <c r="AE194" s="78">
        <f>Table_1[[#This Row],[P/L]]/Table_1[[#This Row],[MÉDIA DE CRESCIMENTO]]</f>
        <v/>
      </c>
    </row>
    <row r="195" ht="15.75" customHeight="1">
      <c r="B195" s="77">
        <f>'Dados Status Invest'!A181</f>
        <v/>
      </c>
      <c r="C195" s="60">
        <f>VLOOKUP(Table_1[[#This Row],[AÇÕES]],'Classificação B3'!A:B,2,0)</f>
        <v/>
      </c>
      <c r="D195" s="60">
        <f>VLOOKUP(Table_1[[#This Row],[AÇÕES]],'Classificação B3'!A:D,4,0)</f>
        <v/>
      </c>
      <c r="E195" s="60">
        <f>VLOOKUP(Table_1[[#This Row],[AÇÕES]],'Classificação B3'!A:F,6,0)</f>
        <v/>
      </c>
      <c r="F195" s="60">
        <f>VLOOKUP(Table_1[[#This Row],[AÇÕES]],'Classificação B3'!A:G,7,0)</f>
        <v/>
      </c>
      <c r="G195" s="61">
        <f>VLOOKUP(Table_1[[#This Row],[AÇÕES]],'Dados Status Invest'!A:B,2,0)</f>
        <v/>
      </c>
      <c r="H195" s="62">
        <f>VLOOKUP(Table_1[[#This Row],[AÇÕES]],'Dados Status Invest'!A:C,3,0)/100</f>
        <v/>
      </c>
      <c r="I195" s="62">
        <f>VLOOKUP(Table_1[[#This Row],[AÇÕES]],'Dados Status Invest'!A:D,4,0)/100</f>
        <v/>
      </c>
      <c r="J195" s="63">
        <f>VLOOKUP(Table_1[[#This Row],[AÇÕES]],'Dados Status Invest'!A:AB,28,0)</f>
        <v/>
      </c>
      <c r="K195" s="63">
        <f>VLOOKUP(Table_1[[#This Row],[AÇÕES]],'Dados Status Invest'!A:AA,27,0)</f>
        <v/>
      </c>
      <c r="L195" s="63">
        <f>Table_1[[#This Row],[PREÇO]]*Table_1[[#This Row],[DY]]</f>
        <v/>
      </c>
      <c r="M195" s="62">
        <f>$E$13</f>
        <v/>
      </c>
      <c r="N195" s="62" t="n">
        <v>0.3</v>
      </c>
      <c r="O195" s="62">
        <f>Table_1[[#This Row],[DPA]]/Table_1[[#This Row],[LPA]]</f>
        <v/>
      </c>
      <c r="P195" s="62">
        <f>IF(Table_1[[#This Row],[PAYOUT]]&lt;=40%,"CRESCIMENTO",IF(Table_1[[#This Row],[PAYOUT]]&lt;=60%,"INDEFINIDO","DIVIDENDOS"))</f>
        <v/>
      </c>
      <c r="Q195" s="62">
        <f>VLOOKUP(Table_1[[#This Row],[AÇÕES]],'Dados Status Invest'!A:R,18,0)/100</f>
        <v/>
      </c>
      <c r="R195" s="62">
        <f>VLOOKUP(Table_1[[#This Row],[AÇÕES]],'Dados Status Invest'!A:Y,25,0)/100</f>
        <v/>
      </c>
      <c r="S195" s="62">
        <f>(1-Table_1[[#This Row],[PAYOUT]])*Table_1[[#This Row],[ROE]]</f>
        <v/>
      </c>
      <c r="T195" s="98">
        <f>AVERAGE(Table_1[[#This Row],[CAGR LUCRO 5A]],Table_1[[#This Row],[CRESCIMENTO DAMODARAN]])</f>
        <v/>
      </c>
      <c r="U195" s="64">
        <f>(Table_1[[#This Row],[PREÇO JUSTO BAZIN]]-Table_1[[#This Row],[PREÇO]])/Table_1[[#This Row],[PREÇO JUSTO BAZIN]]</f>
        <v/>
      </c>
      <c r="V195" s="129">
        <f>Table_1[[#This Row],[DPA]]/6%</f>
        <v/>
      </c>
      <c r="W195" s="129">
        <f>Table_1[[#This Row],[PREÇO JUSTO BAZIN]]/(1+Table_1[[#This Row],[MARGEM DE DESCONTO]])</f>
        <v/>
      </c>
      <c r="X195" s="64">
        <f>(Table_1[[#This Row],[PREÇO JUSTO GRAHAM]]-Table_1[[#This Row],[PREÇO]])/Table_1[[#This Row],[PREÇO JUSTO GRAHAM]]</f>
        <v/>
      </c>
      <c r="Y195" s="129">
        <f>(22.5*Table_1[[#This Row],[LPA]]*Table_1[[#This Row],[VPA]])^0.5</f>
        <v/>
      </c>
      <c r="Z195" s="129">
        <f>Table_1[[#This Row],[PREÇO JUSTO GRAHAM]]/(1+Table_1[[#This Row],[MARGEM DE DESCONTO]])</f>
        <v/>
      </c>
      <c r="AA195" s="64">
        <f>(Table_1[[#This Row],[PREÇO JUSTO GORDON]]-Table_1[[#This Row],[PREÇO]])/Table_1[[#This Row],[PREÇO JUSTO GORDON]]</f>
        <v/>
      </c>
      <c r="AB195" s="130">
        <f>Table_1[[#This Row],[DPA]]*(1+Table_1[[#This Row],[MÉDIA DE CRESCIMENTO]])</f>
        <v/>
      </c>
      <c r="AC195" s="130">
        <f>Table_1[[#This Row],[D1]]/(Table_1[[#This Row],[RISCO]]-Table_1[[#This Row],[MÉDIA DE CRESCIMENTO]])</f>
        <v/>
      </c>
      <c r="AD195" s="130">
        <f>Table_1[[#This Row],[PREÇO JUSTO GORDON]]/(1+Table_1[[#This Row],[MARGEM DE DESCONTO]])</f>
        <v/>
      </c>
      <c r="AE195" s="78">
        <f>Table_1[[#This Row],[P/L]]/Table_1[[#This Row],[MÉDIA DE CRESCIMENTO]]</f>
        <v/>
      </c>
    </row>
    <row r="196" ht="15.75" customHeight="1">
      <c r="B196" s="77">
        <f>'Dados Status Invest'!A182</f>
        <v/>
      </c>
      <c r="C196" s="60">
        <f>VLOOKUP(Table_1[[#This Row],[AÇÕES]],'Classificação B3'!A:B,2,0)</f>
        <v/>
      </c>
      <c r="D196" s="60">
        <f>VLOOKUP(Table_1[[#This Row],[AÇÕES]],'Classificação B3'!A:D,4,0)</f>
        <v/>
      </c>
      <c r="E196" s="60">
        <f>VLOOKUP(Table_1[[#This Row],[AÇÕES]],'Classificação B3'!A:F,6,0)</f>
        <v/>
      </c>
      <c r="F196" s="60">
        <f>VLOOKUP(Table_1[[#This Row],[AÇÕES]],'Classificação B3'!A:G,7,0)</f>
        <v/>
      </c>
      <c r="G196" s="61">
        <f>VLOOKUP(Table_1[[#This Row],[AÇÕES]],'Dados Status Invest'!A:B,2,0)</f>
        <v/>
      </c>
      <c r="H196" s="62">
        <f>VLOOKUP(Table_1[[#This Row],[AÇÕES]],'Dados Status Invest'!A:C,3,0)/100</f>
        <v/>
      </c>
      <c r="I196" s="62">
        <f>VLOOKUP(Table_1[[#This Row],[AÇÕES]],'Dados Status Invest'!A:D,4,0)/100</f>
        <v/>
      </c>
      <c r="J196" s="63">
        <f>VLOOKUP(Table_1[[#This Row],[AÇÕES]],'Dados Status Invest'!A:AB,28,0)</f>
        <v/>
      </c>
      <c r="K196" s="63">
        <f>VLOOKUP(Table_1[[#This Row],[AÇÕES]],'Dados Status Invest'!A:AA,27,0)</f>
        <v/>
      </c>
      <c r="L196" s="63">
        <f>Table_1[[#This Row],[PREÇO]]*Table_1[[#This Row],[DY]]</f>
        <v/>
      </c>
      <c r="M196" s="62">
        <f>$E$13</f>
        <v/>
      </c>
      <c r="N196" s="62" t="n">
        <v>0.3</v>
      </c>
      <c r="O196" s="62">
        <f>Table_1[[#This Row],[DPA]]/Table_1[[#This Row],[LPA]]</f>
        <v/>
      </c>
      <c r="P196" s="62">
        <f>IF(Table_1[[#This Row],[PAYOUT]]&lt;=40%,"CRESCIMENTO",IF(Table_1[[#This Row],[PAYOUT]]&lt;=60%,"INDEFINIDO","DIVIDENDOS"))</f>
        <v/>
      </c>
      <c r="Q196" s="62">
        <f>VLOOKUP(Table_1[[#This Row],[AÇÕES]],'Dados Status Invest'!A:R,18,0)/100</f>
        <v/>
      </c>
      <c r="R196" s="62">
        <f>VLOOKUP(Table_1[[#This Row],[AÇÕES]],'Dados Status Invest'!A:Y,25,0)/100</f>
        <v/>
      </c>
      <c r="S196" s="62">
        <f>(1-Table_1[[#This Row],[PAYOUT]])*Table_1[[#This Row],[ROE]]</f>
        <v/>
      </c>
      <c r="T196" s="98">
        <f>AVERAGE(Table_1[[#This Row],[CAGR LUCRO 5A]],Table_1[[#This Row],[CRESCIMENTO DAMODARAN]])</f>
        <v/>
      </c>
      <c r="U196" s="64">
        <f>(Table_1[[#This Row],[PREÇO JUSTO BAZIN]]-Table_1[[#This Row],[PREÇO]])/Table_1[[#This Row],[PREÇO JUSTO BAZIN]]</f>
        <v/>
      </c>
      <c r="V196" s="129">
        <f>Table_1[[#This Row],[DPA]]/6%</f>
        <v/>
      </c>
      <c r="W196" s="129">
        <f>Table_1[[#This Row],[PREÇO JUSTO BAZIN]]/(1+Table_1[[#This Row],[MARGEM DE DESCONTO]])</f>
        <v/>
      </c>
      <c r="X196" s="64">
        <f>(Table_1[[#This Row],[PREÇO JUSTO GRAHAM]]-Table_1[[#This Row],[PREÇO]])/Table_1[[#This Row],[PREÇO JUSTO GRAHAM]]</f>
        <v/>
      </c>
      <c r="Y196" s="129">
        <f>(22.5*Table_1[[#This Row],[LPA]]*Table_1[[#This Row],[VPA]])^0.5</f>
        <v/>
      </c>
      <c r="Z196" s="129">
        <f>Table_1[[#This Row],[PREÇO JUSTO GRAHAM]]/(1+Table_1[[#This Row],[MARGEM DE DESCONTO]])</f>
        <v/>
      </c>
      <c r="AA196" s="64">
        <f>(Table_1[[#This Row],[PREÇO JUSTO GORDON]]-Table_1[[#This Row],[PREÇO]])/Table_1[[#This Row],[PREÇO JUSTO GORDON]]</f>
        <v/>
      </c>
      <c r="AB196" s="130">
        <f>Table_1[[#This Row],[DPA]]*(1+Table_1[[#This Row],[MÉDIA DE CRESCIMENTO]])</f>
        <v/>
      </c>
      <c r="AC196" s="130">
        <f>Table_1[[#This Row],[D1]]/(Table_1[[#This Row],[RISCO]]-Table_1[[#This Row],[MÉDIA DE CRESCIMENTO]])</f>
        <v/>
      </c>
      <c r="AD196" s="130">
        <f>Table_1[[#This Row],[PREÇO JUSTO GORDON]]/(1+Table_1[[#This Row],[MARGEM DE DESCONTO]])</f>
        <v/>
      </c>
      <c r="AE196" s="78">
        <f>Table_1[[#This Row],[P/L]]/Table_1[[#This Row],[MÉDIA DE CRESCIMENTO]]</f>
        <v/>
      </c>
    </row>
    <row r="197" ht="15.75" customHeight="1">
      <c r="B197" s="77">
        <f>'Dados Status Invest'!A183</f>
        <v/>
      </c>
      <c r="C197" s="60">
        <f>VLOOKUP(Table_1[[#This Row],[AÇÕES]],'Classificação B3'!A:B,2,0)</f>
        <v/>
      </c>
      <c r="D197" s="60">
        <f>VLOOKUP(Table_1[[#This Row],[AÇÕES]],'Classificação B3'!A:D,4,0)</f>
        <v/>
      </c>
      <c r="E197" s="60">
        <f>VLOOKUP(Table_1[[#This Row],[AÇÕES]],'Classificação B3'!A:F,6,0)</f>
        <v/>
      </c>
      <c r="F197" s="60">
        <f>VLOOKUP(Table_1[[#This Row],[AÇÕES]],'Classificação B3'!A:G,7,0)</f>
        <v/>
      </c>
      <c r="G197" s="61">
        <f>VLOOKUP(Table_1[[#This Row],[AÇÕES]],'Dados Status Invest'!A:B,2,0)</f>
        <v/>
      </c>
      <c r="H197" s="62">
        <f>VLOOKUP(Table_1[[#This Row],[AÇÕES]],'Dados Status Invest'!A:C,3,0)/100</f>
        <v/>
      </c>
      <c r="I197" s="62">
        <f>VLOOKUP(Table_1[[#This Row],[AÇÕES]],'Dados Status Invest'!A:D,4,0)/100</f>
        <v/>
      </c>
      <c r="J197" s="63">
        <f>VLOOKUP(Table_1[[#This Row],[AÇÕES]],'Dados Status Invest'!A:AB,28,0)</f>
        <v/>
      </c>
      <c r="K197" s="63">
        <f>VLOOKUP(Table_1[[#This Row],[AÇÕES]],'Dados Status Invest'!A:AA,27,0)</f>
        <v/>
      </c>
      <c r="L197" s="63">
        <f>Table_1[[#This Row],[PREÇO]]*Table_1[[#This Row],[DY]]</f>
        <v/>
      </c>
      <c r="M197" s="62">
        <f>$E$13</f>
        <v/>
      </c>
      <c r="N197" s="62" t="n">
        <v>0.3</v>
      </c>
      <c r="O197" s="62">
        <f>Table_1[[#This Row],[DPA]]/Table_1[[#This Row],[LPA]]</f>
        <v/>
      </c>
      <c r="P197" s="62">
        <f>IF(Table_1[[#This Row],[PAYOUT]]&lt;=40%,"CRESCIMENTO",IF(Table_1[[#This Row],[PAYOUT]]&lt;=60%,"INDEFINIDO","DIVIDENDOS"))</f>
        <v/>
      </c>
      <c r="Q197" s="62">
        <f>VLOOKUP(Table_1[[#This Row],[AÇÕES]],'Dados Status Invest'!A:R,18,0)/100</f>
        <v/>
      </c>
      <c r="R197" s="62">
        <f>VLOOKUP(Table_1[[#This Row],[AÇÕES]],'Dados Status Invest'!A:Y,25,0)/100</f>
        <v/>
      </c>
      <c r="S197" s="62">
        <f>(1-Table_1[[#This Row],[PAYOUT]])*Table_1[[#This Row],[ROE]]</f>
        <v/>
      </c>
      <c r="T197" s="98">
        <f>AVERAGE(Table_1[[#This Row],[CAGR LUCRO 5A]],Table_1[[#This Row],[CRESCIMENTO DAMODARAN]])</f>
        <v/>
      </c>
      <c r="U197" s="64">
        <f>(Table_1[[#This Row],[PREÇO JUSTO BAZIN]]-Table_1[[#This Row],[PREÇO]])/Table_1[[#This Row],[PREÇO JUSTO BAZIN]]</f>
        <v/>
      </c>
      <c r="V197" s="129">
        <f>Table_1[[#This Row],[DPA]]/6%</f>
        <v/>
      </c>
      <c r="W197" s="129">
        <f>Table_1[[#This Row],[PREÇO JUSTO BAZIN]]/(1+Table_1[[#This Row],[MARGEM DE DESCONTO]])</f>
        <v/>
      </c>
      <c r="X197" s="64">
        <f>(Table_1[[#This Row],[PREÇO JUSTO GRAHAM]]-Table_1[[#This Row],[PREÇO]])/Table_1[[#This Row],[PREÇO JUSTO GRAHAM]]</f>
        <v/>
      </c>
      <c r="Y197" s="129">
        <f>(22.5*Table_1[[#This Row],[LPA]]*Table_1[[#This Row],[VPA]])^0.5</f>
        <v/>
      </c>
      <c r="Z197" s="129">
        <f>Table_1[[#This Row],[PREÇO JUSTO GRAHAM]]/(1+Table_1[[#This Row],[MARGEM DE DESCONTO]])</f>
        <v/>
      </c>
      <c r="AA197" s="64">
        <f>(Table_1[[#This Row],[PREÇO JUSTO GORDON]]-Table_1[[#This Row],[PREÇO]])/Table_1[[#This Row],[PREÇO JUSTO GORDON]]</f>
        <v/>
      </c>
      <c r="AB197" s="130">
        <f>Table_1[[#This Row],[DPA]]*(1+Table_1[[#This Row],[MÉDIA DE CRESCIMENTO]])</f>
        <v/>
      </c>
      <c r="AC197" s="130">
        <f>Table_1[[#This Row],[D1]]/(Table_1[[#This Row],[RISCO]]-Table_1[[#This Row],[MÉDIA DE CRESCIMENTO]])</f>
        <v/>
      </c>
      <c r="AD197" s="130">
        <f>Table_1[[#This Row],[PREÇO JUSTO GORDON]]/(1+Table_1[[#This Row],[MARGEM DE DESCONTO]])</f>
        <v/>
      </c>
      <c r="AE197" s="78">
        <f>Table_1[[#This Row],[P/L]]/Table_1[[#This Row],[MÉDIA DE CRESCIMENTO]]</f>
        <v/>
      </c>
    </row>
    <row r="198" ht="15.75" customHeight="1">
      <c r="B198" s="77">
        <f>'Dados Status Invest'!A184</f>
        <v/>
      </c>
      <c r="C198" s="60">
        <f>VLOOKUP(Table_1[[#This Row],[AÇÕES]],'Classificação B3'!A:B,2,0)</f>
        <v/>
      </c>
      <c r="D198" s="60">
        <f>VLOOKUP(Table_1[[#This Row],[AÇÕES]],'Classificação B3'!A:D,4,0)</f>
        <v/>
      </c>
      <c r="E198" s="60">
        <f>VLOOKUP(Table_1[[#This Row],[AÇÕES]],'Classificação B3'!A:F,6,0)</f>
        <v/>
      </c>
      <c r="F198" s="60">
        <f>VLOOKUP(Table_1[[#This Row],[AÇÕES]],'Classificação B3'!A:G,7,0)</f>
        <v/>
      </c>
      <c r="G198" s="61">
        <f>VLOOKUP(Table_1[[#This Row],[AÇÕES]],'Dados Status Invest'!A:B,2,0)</f>
        <v/>
      </c>
      <c r="H198" s="62">
        <f>VLOOKUP(Table_1[[#This Row],[AÇÕES]],'Dados Status Invest'!A:C,3,0)/100</f>
        <v/>
      </c>
      <c r="I198" s="62">
        <f>VLOOKUP(Table_1[[#This Row],[AÇÕES]],'Dados Status Invest'!A:D,4,0)/100</f>
        <v/>
      </c>
      <c r="J198" s="63">
        <f>VLOOKUP(Table_1[[#This Row],[AÇÕES]],'Dados Status Invest'!A:AB,28,0)</f>
        <v/>
      </c>
      <c r="K198" s="63">
        <f>VLOOKUP(Table_1[[#This Row],[AÇÕES]],'Dados Status Invest'!A:AA,27,0)</f>
        <v/>
      </c>
      <c r="L198" s="63">
        <f>Table_1[[#This Row],[PREÇO]]*Table_1[[#This Row],[DY]]</f>
        <v/>
      </c>
      <c r="M198" s="62">
        <f>$E$13</f>
        <v/>
      </c>
      <c r="N198" s="62" t="n">
        <v>0.3</v>
      </c>
      <c r="O198" s="62">
        <f>Table_1[[#This Row],[DPA]]/Table_1[[#This Row],[LPA]]</f>
        <v/>
      </c>
      <c r="P198" s="62">
        <f>IF(Table_1[[#This Row],[PAYOUT]]&lt;=40%,"CRESCIMENTO",IF(Table_1[[#This Row],[PAYOUT]]&lt;=60%,"INDEFINIDO","DIVIDENDOS"))</f>
        <v/>
      </c>
      <c r="Q198" s="62">
        <f>VLOOKUP(Table_1[[#This Row],[AÇÕES]],'Dados Status Invest'!A:R,18,0)/100</f>
        <v/>
      </c>
      <c r="R198" s="62">
        <f>VLOOKUP(Table_1[[#This Row],[AÇÕES]],'Dados Status Invest'!A:Y,25,0)/100</f>
        <v/>
      </c>
      <c r="S198" s="62">
        <f>(1-Table_1[[#This Row],[PAYOUT]])*Table_1[[#This Row],[ROE]]</f>
        <v/>
      </c>
      <c r="T198" s="98">
        <f>AVERAGE(Table_1[[#This Row],[CAGR LUCRO 5A]],Table_1[[#This Row],[CRESCIMENTO DAMODARAN]])</f>
        <v/>
      </c>
      <c r="U198" s="64">
        <f>(Table_1[[#This Row],[PREÇO JUSTO BAZIN]]-Table_1[[#This Row],[PREÇO]])/Table_1[[#This Row],[PREÇO JUSTO BAZIN]]</f>
        <v/>
      </c>
      <c r="V198" s="129">
        <f>Table_1[[#This Row],[DPA]]/6%</f>
        <v/>
      </c>
      <c r="W198" s="129">
        <f>Table_1[[#This Row],[PREÇO JUSTO BAZIN]]/(1+Table_1[[#This Row],[MARGEM DE DESCONTO]])</f>
        <v/>
      </c>
      <c r="X198" s="64">
        <f>(Table_1[[#This Row],[PREÇO JUSTO GRAHAM]]-Table_1[[#This Row],[PREÇO]])/Table_1[[#This Row],[PREÇO JUSTO GRAHAM]]</f>
        <v/>
      </c>
      <c r="Y198" s="129">
        <f>(22.5*Table_1[[#This Row],[LPA]]*Table_1[[#This Row],[VPA]])^0.5</f>
        <v/>
      </c>
      <c r="Z198" s="129">
        <f>Table_1[[#This Row],[PREÇO JUSTO GRAHAM]]/(1+Table_1[[#This Row],[MARGEM DE DESCONTO]])</f>
        <v/>
      </c>
      <c r="AA198" s="64">
        <f>(Table_1[[#This Row],[PREÇO JUSTO GORDON]]-Table_1[[#This Row],[PREÇO]])/Table_1[[#This Row],[PREÇO JUSTO GORDON]]</f>
        <v/>
      </c>
      <c r="AB198" s="130">
        <f>Table_1[[#This Row],[DPA]]*(1+Table_1[[#This Row],[MÉDIA DE CRESCIMENTO]])</f>
        <v/>
      </c>
      <c r="AC198" s="130">
        <f>Table_1[[#This Row],[D1]]/(Table_1[[#This Row],[RISCO]]-Table_1[[#This Row],[MÉDIA DE CRESCIMENTO]])</f>
        <v/>
      </c>
      <c r="AD198" s="130">
        <f>Table_1[[#This Row],[PREÇO JUSTO GORDON]]/(1+Table_1[[#This Row],[MARGEM DE DESCONTO]])</f>
        <v/>
      </c>
      <c r="AE198" s="78">
        <f>Table_1[[#This Row],[P/L]]/Table_1[[#This Row],[MÉDIA DE CRESCIMENTO]]</f>
        <v/>
      </c>
    </row>
    <row r="199" ht="15.75" customHeight="1">
      <c r="B199" s="77">
        <f>'Dados Status Invest'!A185</f>
        <v/>
      </c>
      <c r="C199" s="60">
        <f>VLOOKUP(Table_1[[#This Row],[AÇÕES]],'Classificação B3'!A:B,2,0)</f>
        <v/>
      </c>
      <c r="D199" s="60">
        <f>VLOOKUP(Table_1[[#This Row],[AÇÕES]],'Classificação B3'!A:D,4,0)</f>
        <v/>
      </c>
      <c r="E199" s="60">
        <f>VLOOKUP(Table_1[[#This Row],[AÇÕES]],'Classificação B3'!A:F,6,0)</f>
        <v/>
      </c>
      <c r="F199" s="60">
        <f>VLOOKUP(Table_1[[#This Row],[AÇÕES]],'Classificação B3'!A:G,7,0)</f>
        <v/>
      </c>
      <c r="G199" s="61">
        <f>VLOOKUP(Table_1[[#This Row],[AÇÕES]],'Dados Status Invest'!A:B,2,0)</f>
        <v/>
      </c>
      <c r="H199" s="62">
        <f>VLOOKUP(Table_1[[#This Row],[AÇÕES]],'Dados Status Invest'!A:C,3,0)/100</f>
        <v/>
      </c>
      <c r="I199" s="62">
        <f>VLOOKUP(Table_1[[#This Row],[AÇÕES]],'Dados Status Invest'!A:D,4,0)/100</f>
        <v/>
      </c>
      <c r="J199" s="63">
        <f>VLOOKUP(Table_1[[#This Row],[AÇÕES]],'Dados Status Invest'!A:AB,28,0)</f>
        <v/>
      </c>
      <c r="K199" s="63">
        <f>VLOOKUP(Table_1[[#This Row],[AÇÕES]],'Dados Status Invest'!A:AA,27,0)</f>
        <v/>
      </c>
      <c r="L199" s="63">
        <f>Table_1[[#This Row],[PREÇO]]*Table_1[[#This Row],[DY]]</f>
        <v/>
      </c>
      <c r="M199" s="62">
        <f>$E$13</f>
        <v/>
      </c>
      <c r="N199" s="62" t="n">
        <v>0.3</v>
      </c>
      <c r="O199" s="62">
        <f>Table_1[[#This Row],[DPA]]/Table_1[[#This Row],[LPA]]</f>
        <v/>
      </c>
      <c r="P199" s="62">
        <f>IF(Table_1[[#This Row],[PAYOUT]]&lt;=40%,"CRESCIMENTO",IF(Table_1[[#This Row],[PAYOUT]]&lt;=60%,"INDEFINIDO","DIVIDENDOS"))</f>
        <v/>
      </c>
      <c r="Q199" s="62">
        <f>VLOOKUP(Table_1[[#This Row],[AÇÕES]],'Dados Status Invest'!A:R,18,0)/100</f>
        <v/>
      </c>
      <c r="R199" s="62">
        <f>VLOOKUP(Table_1[[#This Row],[AÇÕES]],'Dados Status Invest'!A:Y,25,0)/100</f>
        <v/>
      </c>
      <c r="S199" s="62">
        <f>(1-Table_1[[#This Row],[PAYOUT]])*Table_1[[#This Row],[ROE]]</f>
        <v/>
      </c>
      <c r="T199" s="98">
        <f>AVERAGE(Table_1[[#This Row],[CAGR LUCRO 5A]],Table_1[[#This Row],[CRESCIMENTO DAMODARAN]])</f>
        <v/>
      </c>
      <c r="U199" s="64">
        <f>(Table_1[[#This Row],[PREÇO JUSTO BAZIN]]-Table_1[[#This Row],[PREÇO]])/Table_1[[#This Row],[PREÇO JUSTO BAZIN]]</f>
        <v/>
      </c>
      <c r="V199" s="129">
        <f>Table_1[[#This Row],[DPA]]/6%</f>
        <v/>
      </c>
      <c r="W199" s="129">
        <f>Table_1[[#This Row],[PREÇO JUSTO BAZIN]]/(1+Table_1[[#This Row],[MARGEM DE DESCONTO]])</f>
        <v/>
      </c>
      <c r="X199" s="64">
        <f>(Table_1[[#This Row],[PREÇO JUSTO GRAHAM]]-Table_1[[#This Row],[PREÇO]])/Table_1[[#This Row],[PREÇO JUSTO GRAHAM]]</f>
        <v/>
      </c>
      <c r="Y199" s="129">
        <f>(22.5*Table_1[[#This Row],[LPA]]*Table_1[[#This Row],[VPA]])^0.5</f>
        <v/>
      </c>
      <c r="Z199" s="129">
        <f>Table_1[[#This Row],[PREÇO JUSTO GRAHAM]]/(1+Table_1[[#This Row],[MARGEM DE DESCONTO]])</f>
        <v/>
      </c>
      <c r="AA199" s="64">
        <f>(Table_1[[#This Row],[PREÇO JUSTO GORDON]]-Table_1[[#This Row],[PREÇO]])/Table_1[[#This Row],[PREÇO JUSTO GORDON]]</f>
        <v/>
      </c>
      <c r="AB199" s="130">
        <f>Table_1[[#This Row],[DPA]]*(1+Table_1[[#This Row],[MÉDIA DE CRESCIMENTO]])</f>
        <v/>
      </c>
      <c r="AC199" s="130">
        <f>Table_1[[#This Row],[D1]]/(Table_1[[#This Row],[RISCO]]-Table_1[[#This Row],[MÉDIA DE CRESCIMENTO]])</f>
        <v/>
      </c>
      <c r="AD199" s="130">
        <f>Table_1[[#This Row],[PREÇO JUSTO GORDON]]/(1+Table_1[[#This Row],[MARGEM DE DESCONTO]])</f>
        <v/>
      </c>
      <c r="AE199" s="78">
        <f>Table_1[[#This Row],[P/L]]/Table_1[[#This Row],[MÉDIA DE CRESCIMENTO]]</f>
        <v/>
      </c>
    </row>
    <row r="200" ht="15.75" customHeight="1">
      <c r="B200" s="77">
        <f>'Dados Status Invest'!A186</f>
        <v/>
      </c>
      <c r="C200" s="60">
        <f>VLOOKUP(Table_1[[#This Row],[AÇÕES]],'Classificação B3'!A:B,2,0)</f>
        <v/>
      </c>
      <c r="D200" s="60">
        <f>VLOOKUP(Table_1[[#This Row],[AÇÕES]],'Classificação B3'!A:D,4,0)</f>
        <v/>
      </c>
      <c r="E200" s="60">
        <f>VLOOKUP(Table_1[[#This Row],[AÇÕES]],'Classificação B3'!A:F,6,0)</f>
        <v/>
      </c>
      <c r="F200" s="60">
        <f>VLOOKUP(Table_1[[#This Row],[AÇÕES]],'Classificação B3'!A:G,7,0)</f>
        <v/>
      </c>
      <c r="G200" s="61">
        <f>VLOOKUP(Table_1[[#This Row],[AÇÕES]],'Dados Status Invest'!A:B,2,0)</f>
        <v/>
      </c>
      <c r="H200" s="62">
        <f>VLOOKUP(Table_1[[#This Row],[AÇÕES]],'Dados Status Invest'!A:C,3,0)/100</f>
        <v/>
      </c>
      <c r="I200" s="62">
        <f>VLOOKUP(Table_1[[#This Row],[AÇÕES]],'Dados Status Invest'!A:D,4,0)/100</f>
        <v/>
      </c>
      <c r="J200" s="63">
        <f>VLOOKUP(Table_1[[#This Row],[AÇÕES]],'Dados Status Invest'!A:AB,28,0)</f>
        <v/>
      </c>
      <c r="K200" s="63">
        <f>VLOOKUP(Table_1[[#This Row],[AÇÕES]],'Dados Status Invest'!A:AA,27,0)</f>
        <v/>
      </c>
      <c r="L200" s="63">
        <f>Table_1[[#This Row],[PREÇO]]*Table_1[[#This Row],[DY]]</f>
        <v/>
      </c>
      <c r="M200" s="62">
        <f>$E$13</f>
        <v/>
      </c>
      <c r="N200" s="62" t="n">
        <v>0.3</v>
      </c>
      <c r="O200" s="62">
        <f>Table_1[[#This Row],[DPA]]/Table_1[[#This Row],[LPA]]</f>
        <v/>
      </c>
      <c r="P200" s="62">
        <f>IF(Table_1[[#This Row],[PAYOUT]]&lt;=40%,"CRESCIMENTO",IF(Table_1[[#This Row],[PAYOUT]]&lt;=60%,"INDEFINIDO","DIVIDENDOS"))</f>
        <v/>
      </c>
      <c r="Q200" s="62">
        <f>VLOOKUP(Table_1[[#This Row],[AÇÕES]],'Dados Status Invest'!A:R,18,0)/100</f>
        <v/>
      </c>
      <c r="R200" s="62">
        <f>VLOOKUP(Table_1[[#This Row],[AÇÕES]],'Dados Status Invest'!A:Y,25,0)/100</f>
        <v/>
      </c>
      <c r="S200" s="62">
        <f>(1-Table_1[[#This Row],[PAYOUT]])*Table_1[[#This Row],[ROE]]</f>
        <v/>
      </c>
      <c r="T200" s="98">
        <f>AVERAGE(Table_1[[#This Row],[CAGR LUCRO 5A]],Table_1[[#This Row],[CRESCIMENTO DAMODARAN]])</f>
        <v/>
      </c>
      <c r="U200" s="64">
        <f>(Table_1[[#This Row],[PREÇO JUSTO BAZIN]]-Table_1[[#This Row],[PREÇO]])/Table_1[[#This Row],[PREÇO JUSTO BAZIN]]</f>
        <v/>
      </c>
      <c r="V200" s="129">
        <f>Table_1[[#This Row],[DPA]]/6%</f>
        <v/>
      </c>
      <c r="W200" s="129">
        <f>Table_1[[#This Row],[PREÇO JUSTO BAZIN]]/(1+Table_1[[#This Row],[MARGEM DE DESCONTO]])</f>
        <v/>
      </c>
      <c r="X200" s="64">
        <f>(Table_1[[#This Row],[PREÇO JUSTO GRAHAM]]-Table_1[[#This Row],[PREÇO]])/Table_1[[#This Row],[PREÇO JUSTO GRAHAM]]</f>
        <v/>
      </c>
      <c r="Y200" s="129">
        <f>(22.5*Table_1[[#This Row],[LPA]]*Table_1[[#This Row],[VPA]])^0.5</f>
        <v/>
      </c>
      <c r="Z200" s="129">
        <f>Table_1[[#This Row],[PREÇO JUSTO GRAHAM]]/(1+Table_1[[#This Row],[MARGEM DE DESCONTO]])</f>
        <v/>
      </c>
      <c r="AA200" s="64">
        <f>(Table_1[[#This Row],[PREÇO JUSTO GORDON]]-Table_1[[#This Row],[PREÇO]])/Table_1[[#This Row],[PREÇO JUSTO GORDON]]</f>
        <v/>
      </c>
      <c r="AB200" s="130">
        <f>Table_1[[#This Row],[DPA]]*(1+Table_1[[#This Row],[MÉDIA DE CRESCIMENTO]])</f>
        <v/>
      </c>
      <c r="AC200" s="130">
        <f>Table_1[[#This Row],[D1]]/(Table_1[[#This Row],[RISCO]]-Table_1[[#This Row],[MÉDIA DE CRESCIMENTO]])</f>
        <v/>
      </c>
      <c r="AD200" s="130">
        <f>Table_1[[#This Row],[PREÇO JUSTO GORDON]]/(1+Table_1[[#This Row],[MARGEM DE DESCONTO]])</f>
        <v/>
      </c>
      <c r="AE200" s="78">
        <f>Table_1[[#This Row],[P/L]]/Table_1[[#This Row],[MÉDIA DE CRESCIMENTO]]</f>
        <v/>
      </c>
    </row>
    <row r="201" ht="15.75" customHeight="1">
      <c r="B201" s="77">
        <f>'Dados Status Invest'!A187</f>
        <v/>
      </c>
      <c r="C201" s="60">
        <f>VLOOKUP(Table_1[[#This Row],[AÇÕES]],'Classificação B3'!A:B,2,0)</f>
        <v/>
      </c>
      <c r="D201" s="60">
        <f>VLOOKUP(Table_1[[#This Row],[AÇÕES]],'Classificação B3'!A:D,4,0)</f>
        <v/>
      </c>
      <c r="E201" s="60">
        <f>VLOOKUP(Table_1[[#This Row],[AÇÕES]],'Classificação B3'!A:F,6,0)</f>
        <v/>
      </c>
      <c r="F201" s="60">
        <f>VLOOKUP(Table_1[[#This Row],[AÇÕES]],'Classificação B3'!A:G,7,0)</f>
        <v/>
      </c>
      <c r="G201" s="61">
        <f>VLOOKUP(Table_1[[#This Row],[AÇÕES]],'Dados Status Invest'!A:B,2,0)</f>
        <v/>
      </c>
      <c r="H201" s="62">
        <f>VLOOKUP(Table_1[[#This Row],[AÇÕES]],'Dados Status Invest'!A:C,3,0)/100</f>
        <v/>
      </c>
      <c r="I201" s="62">
        <f>VLOOKUP(Table_1[[#This Row],[AÇÕES]],'Dados Status Invest'!A:D,4,0)/100</f>
        <v/>
      </c>
      <c r="J201" s="63">
        <f>VLOOKUP(Table_1[[#This Row],[AÇÕES]],'Dados Status Invest'!A:AB,28,0)</f>
        <v/>
      </c>
      <c r="K201" s="63">
        <f>VLOOKUP(Table_1[[#This Row],[AÇÕES]],'Dados Status Invest'!A:AA,27,0)</f>
        <v/>
      </c>
      <c r="L201" s="63">
        <f>Table_1[[#This Row],[PREÇO]]*Table_1[[#This Row],[DY]]</f>
        <v/>
      </c>
      <c r="M201" s="62">
        <f>$E$13</f>
        <v/>
      </c>
      <c r="N201" s="62" t="n">
        <v>0.3</v>
      </c>
      <c r="O201" s="62">
        <f>Table_1[[#This Row],[DPA]]/Table_1[[#This Row],[LPA]]</f>
        <v/>
      </c>
      <c r="P201" s="62">
        <f>IF(Table_1[[#This Row],[PAYOUT]]&lt;=40%,"CRESCIMENTO",IF(Table_1[[#This Row],[PAYOUT]]&lt;=60%,"INDEFINIDO","DIVIDENDOS"))</f>
        <v/>
      </c>
      <c r="Q201" s="62">
        <f>VLOOKUP(Table_1[[#This Row],[AÇÕES]],'Dados Status Invest'!A:R,18,0)/100</f>
        <v/>
      </c>
      <c r="R201" s="62">
        <f>VLOOKUP(Table_1[[#This Row],[AÇÕES]],'Dados Status Invest'!A:Y,25,0)/100</f>
        <v/>
      </c>
      <c r="S201" s="62">
        <f>(1-Table_1[[#This Row],[PAYOUT]])*Table_1[[#This Row],[ROE]]</f>
        <v/>
      </c>
      <c r="T201" s="98">
        <f>AVERAGE(Table_1[[#This Row],[CAGR LUCRO 5A]],Table_1[[#This Row],[CRESCIMENTO DAMODARAN]])</f>
        <v/>
      </c>
      <c r="U201" s="64">
        <f>(Table_1[[#This Row],[PREÇO JUSTO BAZIN]]-Table_1[[#This Row],[PREÇO]])/Table_1[[#This Row],[PREÇO JUSTO BAZIN]]</f>
        <v/>
      </c>
      <c r="V201" s="129">
        <f>Table_1[[#This Row],[DPA]]/6%</f>
        <v/>
      </c>
      <c r="W201" s="129">
        <f>Table_1[[#This Row],[PREÇO JUSTO BAZIN]]/(1+Table_1[[#This Row],[MARGEM DE DESCONTO]])</f>
        <v/>
      </c>
      <c r="X201" s="64">
        <f>(Table_1[[#This Row],[PREÇO JUSTO GRAHAM]]-Table_1[[#This Row],[PREÇO]])/Table_1[[#This Row],[PREÇO JUSTO GRAHAM]]</f>
        <v/>
      </c>
      <c r="Y201" s="129">
        <f>(22.5*Table_1[[#This Row],[LPA]]*Table_1[[#This Row],[VPA]])^0.5</f>
        <v/>
      </c>
      <c r="Z201" s="129">
        <f>Table_1[[#This Row],[PREÇO JUSTO GRAHAM]]/(1+Table_1[[#This Row],[MARGEM DE DESCONTO]])</f>
        <v/>
      </c>
      <c r="AA201" s="64">
        <f>(Table_1[[#This Row],[PREÇO JUSTO GORDON]]-Table_1[[#This Row],[PREÇO]])/Table_1[[#This Row],[PREÇO JUSTO GORDON]]</f>
        <v/>
      </c>
      <c r="AB201" s="130">
        <f>Table_1[[#This Row],[DPA]]*(1+Table_1[[#This Row],[MÉDIA DE CRESCIMENTO]])</f>
        <v/>
      </c>
      <c r="AC201" s="130">
        <f>Table_1[[#This Row],[D1]]/(Table_1[[#This Row],[RISCO]]-Table_1[[#This Row],[MÉDIA DE CRESCIMENTO]])</f>
        <v/>
      </c>
      <c r="AD201" s="130">
        <f>Table_1[[#This Row],[PREÇO JUSTO GORDON]]/(1+Table_1[[#This Row],[MARGEM DE DESCONTO]])</f>
        <v/>
      </c>
      <c r="AE201" s="78">
        <f>Table_1[[#This Row],[P/L]]/Table_1[[#This Row],[MÉDIA DE CRESCIMENTO]]</f>
        <v/>
      </c>
    </row>
    <row r="202" ht="15.75" customHeight="1">
      <c r="B202" s="77">
        <f>'Dados Status Invest'!A188</f>
        <v/>
      </c>
      <c r="C202" s="60">
        <f>VLOOKUP(Table_1[[#This Row],[AÇÕES]],'Classificação B3'!A:B,2,0)</f>
        <v/>
      </c>
      <c r="D202" s="60">
        <f>VLOOKUP(Table_1[[#This Row],[AÇÕES]],'Classificação B3'!A:D,4,0)</f>
        <v/>
      </c>
      <c r="E202" s="60">
        <f>VLOOKUP(Table_1[[#This Row],[AÇÕES]],'Classificação B3'!A:F,6,0)</f>
        <v/>
      </c>
      <c r="F202" s="60">
        <f>VLOOKUP(Table_1[[#This Row],[AÇÕES]],'Classificação B3'!A:G,7,0)</f>
        <v/>
      </c>
      <c r="G202" s="61">
        <f>VLOOKUP(Table_1[[#This Row],[AÇÕES]],'Dados Status Invest'!A:B,2,0)</f>
        <v/>
      </c>
      <c r="H202" s="62">
        <f>VLOOKUP(Table_1[[#This Row],[AÇÕES]],'Dados Status Invest'!A:C,3,0)/100</f>
        <v/>
      </c>
      <c r="I202" s="62">
        <f>VLOOKUP(Table_1[[#This Row],[AÇÕES]],'Dados Status Invest'!A:D,4,0)/100</f>
        <v/>
      </c>
      <c r="J202" s="63">
        <f>VLOOKUP(Table_1[[#This Row],[AÇÕES]],'Dados Status Invest'!A:AB,28,0)</f>
        <v/>
      </c>
      <c r="K202" s="63">
        <f>VLOOKUP(Table_1[[#This Row],[AÇÕES]],'Dados Status Invest'!A:AA,27,0)</f>
        <v/>
      </c>
      <c r="L202" s="63">
        <f>Table_1[[#This Row],[PREÇO]]*Table_1[[#This Row],[DY]]</f>
        <v/>
      </c>
      <c r="M202" s="62">
        <f>$E$13</f>
        <v/>
      </c>
      <c r="N202" s="62" t="n">
        <v>0.3</v>
      </c>
      <c r="O202" s="62">
        <f>Table_1[[#This Row],[DPA]]/Table_1[[#This Row],[LPA]]</f>
        <v/>
      </c>
      <c r="P202" s="62">
        <f>IF(Table_1[[#This Row],[PAYOUT]]&lt;=40%,"CRESCIMENTO",IF(Table_1[[#This Row],[PAYOUT]]&lt;=60%,"INDEFINIDO","DIVIDENDOS"))</f>
        <v/>
      </c>
      <c r="Q202" s="62">
        <f>VLOOKUP(Table_1[[#This Row],[AÇÕES]],'Dados Status Invest'!A:R,18,0)/100</f>
        <v/>
      </c>
      <c r="R202" s="62">
        <f>VLOOKUP(Table_1[[#This Row],[AÇÕES]],'Dados Status Invest'!A:Y,25,0)/100</f>
        <v/>
      </c>
      <c r="S202" s="62">
        <f>(1-Table_1[[#This Row],[PAYOUT]])*Table_1[[#This Row],[ROE]]</f>
        <v/>
      </c>
      <c r="T202" s="98">
        <f>AVERAGE(Table_1[[#This Row],[CAGR LUCRO 5A]],Table_1[[#This Row],[CRESCIMENTO DAMODARAN]])</f>
        <v/>
      </c>
      <c r="U202" s="64">
        <f>(Table_1[[#This Row],[PREÇO JUSTO BAZIN]]-Table_1[[#This Row],[PREÇO]])/Table_1[[#This Row],[PREÇO JUSTO BAZIN]]</f>
        <v/>
      </c>
      <c r="V202" s="129">
        <f>Table_1[[#This Row],[DPA]]/6%</f>
        <v/>
      </c>
      <c r="W202" s="129">
        <f>Table_1[[#This Row],[PREÇO JUSTO BAZIN]]/(1+Table_1[[#This Row],[MARGEM DE DESCONTO]])</f>
        <v/>
      </c>
      <c r="X202" s="64">
        <f>(Table_1[[#This Row],[PREÇO JUSTO GRAHAM]]-Table_1[[#This Row],[PREÇO]])/Table_1[[#This Row],[PREÇO JUSTO GRAHAM]]</f>
        <v/>
      </c>
      <c r="Y202" s="129">
        <f>(22.5*Table_1[[#This Row],[LPA]]*Table_1[[#This Row],[VPA]])^0.5</f>
        <v/>
      </c>
      <c r="Z202" s="129">
        <f>Table_1[[#This Row],[PREÇO JUSTO GRAHAM]]/(1+Table_1[[#This Row],[MARGEM DE DESCONTO]])</f>
        <v/>
      </c>
      <c r="AA202" s="64">
        <f>(Table_1[[#This Row],[PREÇO JUSTO GORDON]]-Table_1[[#This Row],[PREÇO]])/Table_1[[#This Row],[PREÇO JUSTO GORDON]]</f>
        <v/>
      </c>
      <c r="AB202" s="130">
        <f>Table_1[[#This Row],[DPA]]*(1+Table_1[[#This Row],[MÉDIA DE CRESCIMENTO]])</f>
        <v/>
      </c>
      <c r="AC202" s="130">
        <f>Table_1[[#This Row],[D1]]/(Table_1[[#This Row],[RISCO]]-Table_1[[#This Row],[MÉDIA DE CRESCIMENTO]])</f>
        <v/>
      </c>
      <c r="AD202" s="130">
        <f>Table_1[[#This Row],[PREÇO JUSTO GORDON]]/(1+Table_1[[#This Row],[MARGEM DE DESCONTO]])</f>
        <v/>
      </c>
      <c r="AE202" s="78">
        <f>Table_1[[#This Row],[P/L]]/Table_1[[#This Row],[MÉDIA DE CRESCIMENTO]]</f>
        <v/>
      </c>
    </row>
    <row r="203" ht="15.75" customHeight="1">
      <c r="B203" s="77">
        <f>'Dados Status Invest'!A189</f>
        <v/>
      </c>
      <c r="C203" s="60">
        <f>VLOOKUP(Table_1[[#This Row],[AÇÕES]],'Classificação B3'!A:B,2,0)</f>
        <v/>
      </c>
      <c r="D203" s="60">
        <f>VLOOKUP(Table_1[[#This Row],[AÇÕES]],'Classificação B3'!A:D,4,0)</f>
        <v/>
      </c>
      <c r="E203" s="60">
        <f>VLOOKUP(Table_1[[#This Row],[AÇÕES]],'Classificação B3'!A:F,6,0)</f>
        <v/>
      </c>
      <c r="F203" s="60">
        <f>VLOOKUP(Table_1[[#This Row],[AÇÕES]],'Classificação B3'!A:G,7,0)</f>
        <v/>
      </c>
      <c r="G203" s="61">
        <f>VLOOKUP(Table_1[[#This Row],[AÇÕES]],'Dados Status Invest'!A:B,2,0)</f>
        <v/>
      </c>
      <c r="H203" s="62">
        <f>VLOOKUP(Table_1[[#This Row],[AÇÕES]],'Dados Status Invest'!A:C,3,0)/100</f>
        <v/>
      </c>
      <c r="I203" s="62">
        <f>VLOOKUP(Table_1[[#This Row],[AÇÕES]],'Dados Status Invest'!A:D,4,0)/100</f>
        <v/>
      </c>
      <c r="J203" s="63">
        <f>VLOOKUP(Table_1[[#This Row],[AÇÕES]],'Dados Status Invest'!A:AB,28,0)</f>
        <v/>
      </c>
      <c r="K203" s="63">
        <f>VLOOKUP(Table_1[[#This Row],[AÇÕES]],'Dados Status Invest'!A:AA,27,0)</f>
        <v/>
      </c>
      <c r="L203" s="63">
        <f>Table_1[[#This Row],[PREÇO]]*Table_1[[#This Row],[DY]]</f>
        <v/>
      </c>
      <c r="M203" s="62">
        <f>$E$13</f>
        <v/>
      </c>
      <c r="N203" s="62" t="n">
        <v>0.3</v>
      </c>
      <c r="O203" s="62">
        <f>Table_1[[#This Row],[DPA]]/Table_1[[#This Row],[LPA]]</f>
        <v/>
      </c>
      <c r="P203" s="62">
        <f>IF(Table_1[[#This Row],[PAYOUT]]&lt;=40%,"CRESCIMENTO",IF(Table_1[[#This Row],[PAYOUT]]&lt;=60%,"INDEFINIDO","DIVIDENDOS"))</f>
        <v/>
      </c>
      <c r="Q203" s="62">
        <f>VLOOKUP(Table_1[[#This Row],[AÇÕES]],'Dados Status Invest'!A:R,18,0)/100</f>
        <v/>
      </c>
      <c r="R203" s="62">
        <f>VLOOKUP(Table_1[[#This Row],[AÇÕES]],'Dados Status Invest'!A:Y,25,0)/100</f>
        <v/>
      </c>
      <c r="S203" s="62">
        <f>(1-Table_1[[#This Row],[PAYOUT]])*Table_1[[#This Row],[ROE]]</f>
        <v/>
      </c>
      <c r="T203" s="98">
        <f>AVERAGE(Table_1[[#This Row],[CAGR LUCRO 5A]],Table_1[[#This Row],[CRESCIMENTO DAMODARAN]])</f>
        <v/>
      </c>
      <c r="U203" s="64">
        <f>(Table_1[[#This Row],[PREÇO JUSTO BAZIN]]-Table_1[[#This Row],[PREÇO]])/Table_1[[#This Row],[PREÇO JUSTO BAZIN]]</f>
        <v/>
      </c>
      <c r="V203" s="129">
        <f>Table_1[[#This Row],[DPA]]/6%</f>
        <v/>
      </c>
      <c r="W203" s="129">
        <f>Table_1[[#This Row],[PREÇO JUSTO BAZIN]]/(1+Table_1[[#This Row],[MARGEM DE DESCONTO]])</f>
        <v/>
      </c>
      <c r="X203" s="64">
        <f>(Table_1[[#This Row],[PREÇO JUSTO GRAHAM]]-Table_1[[#This Row],[PREÇO]])/Table_1[[#This Row],[PREÇO JUSTO GRAHAM]]</f>
        <v/>
      </c>
      <c r="Y203" s="129">
        <f>(22.5*Table_1[[#This Row],[LPA]]*Table_1[[#This Row],[VPA]])^0.5</f>
        <v/>
      </c>
      <c r="Z203" s="129">
        <f>Table_1[[#This Row],[PREÇO JUSTO GRAHAM]]/(1+Table_1[[#This Row],[MARGEM DE DESCONTO]])</f>
        <v/>
      </c>
      <c r="AA203" s="64">
        <f>(Table_1[[#This Row],[PREÇO JUSTO GORDON]]-Table_1[[#This Row],[PREÇO]])/Table_1[[#This Row],[PREÇO JUSTO GORDON]]</f>
        <v/>
      </c>
      <c r="AB203" s="130">
        <f>Table_1[[#This Row],[DPA]]*(1+Table_1[[#This Row],[MÉDIA DE CRESCIMENTO]])</f>
        <v/>
      </c>
      <c r="AC203" s="130">
        <f>Table_1[[#This Row],[D1]]/(Table_1[[#This Row],[RISCO]]-Table_1[[#This Row],[MÉDIA DE CRESCIMENTO]])</f>
        <v/>
      </c>
      <c r="AD203" s="130">
        <f>Table_1[[#This Row],[PREÇO JUSTO GORDON]]/(1+Table_1[[#This Row],[MARGEM DE DESCONTO]])</f>
        <v/>
      </c>
      <c r="AE203" s="78">
        <f>Table_1[[#This Row],[P/L]]/Table_1[[#This Row],[MÉDIA DE CRESCIMENTO]]</f>
        <v/>
      </c>
    </row>
    <row r="204" ht="15.75" customHeight="1">
      <c r="B204" s="77">
        <f>'Dados Status Invest'!A190</f>
        <v/>
      </c>
      <c r="C204" s="60">
        <f>VLOOKUP(Table_1[[#This Row],[AÇÕES]],'Classificação B3'!A:B,2,0)</f>
        <v/>
      </c>
      <c r="D204" s="60">
        <f>VLOOKUP(Table_1[[#This Row],[AÇÕES]],'Classificação B3'!A:D,4,0)</f>
        <v/>
      </c>
      <c r="E204" s="60">
        <f>VLOOKUP(Table_1[[#This Row],[AÇÕES]],'Classificação B3'!A:F,6,0)</f>
        <v/>
      </c>
      <c r="F204" s="60">
        <f>VLOOKUP(Table_1[[#This Row],[AÇÕES]],'Classificação B3'!A:G,7,0)</f>
        <v/>
      </c>
      <c r="G204" s="61">
        <f>VLOOKUP(Table_1[[#This Row],[AÇÕES]],'Dados Status Invest'!A:B,2,0)</f>
        <v/>
      </c>
      <c r="H204" s="62">
        <f>VLOOKUP(Table_1[[#This Row],[AÇÕES]],'Dados Status Invest'!A:C,3,0)/100</f>
        <v/>
      </c>
      <c r="I204" s="62">
        <f>VLOOKUP(Table_1[[#This Row],[AÇÕES]],'Dados Status Invest'!A:D,4,0)/100</f>
        <v/>
      </c>
      <c r="J204" s="63">
        <f>VLOOKUP(Table_1[[#This Row],[AÇÕES]],'Dados Status Invest'!A:AB,28,0)</f>
        <v/>
      </c>
      <c r="K204" s="63">
        <f>VLOOKUP(Table_1[[#This Row],[AÇÕES]],'Dados Status Invest'!A:AA,27,0)</f>
        <v/>
      </c>
      <c r="L204" s="63">
        <f>Table_1[[#This Row],[PREÇO]]*Table_1[[#This Row],[DY]]</f>
        <v/>
      </c>
      <c r="M204" s="62">
        <f>$E$13</f>
        <v/>
      </c>
      <c r="N204" s="62" t="n">
        <v>0.3</v>
      </c>
      <c r="O204" s="62">
        <f>Table_1[[#This Row],[DPA]]/Table_1[[#This Row],[LPA]]</f>
        <v/>
      </c>
      <c r="P204" s="62">
        <f>IF(Table_1[[#This Row],[PAYOUT]]&lt;=40%,"CRESCIMENTO",IF(Table_1[[#This Row],[PAYOUT]]&lt;=60%,"INDEFINIDO","DIVIDENDOS"))</f>
        <v/>
      </c>
      <c r="Q204" s="62">
        <f>VLOOKUP(Table_1[[#This Row],[AÇÕES]],'Dados Status Invest'!A:R,18,0)/100</f>
        <v/>
      </c>
      <c r="R204" s="62">
        <f>VLOOKUP(Table_1[[#This Row],[AÇÕES]],'Dados Status Invest'!A:Y,25,0)/100</f>
        <v/>
      </c>
      <c r="S204" s="62">
        <f>(1-Table_1[[#This Row],[PAYOUT]])*Table_1[[#This Row],[ROE]]</f>
        <v/>
      </c>
      <c r="T204" s="98">
        <f>AVERAGE(Table_1[[#This Row],[CAGR LUCRO 5A]],Table_1[[#This Row],[CRESCIMENTO DAMODARAN]])</f>
        <v/>
      </c>
      <c r="U204" s="64">
        <f>(Table_1[[#This Row],[PREÇO JUSTO BAZIN]]-Table_1[[#This Row],[PREÇO]])/Table_1[[#This Row],[PREÇO JUSTO BAZIN]]</f>
        <v/>
      </c>
      <c r="V204" s="129">
        <f>Table_1[[#This Row],[DPA]]/6%</f>
        <v/>
      </c>
      <c r="W204" s="129">
        <f>Table_1[[#This Row],[PREÇO JUSTO BAZIN]]/(1+Table_1[[#This Row],[MARGEM DE DESCONTO]])</f>
        <v/>
      </c>
      <c r="X204" s="64">
        <f>(Table_1[[#This Row],[PREÇO JUSTO GRAHAM]]-Table_1[[#This Row],[PREÇO]])/Table_1[[#This Row],[PREÇO JUSTO GRAHAM]]</f>
        <v/>
      </c>
      <c r="Y204" s="129">
        <f>(22.5*Table_1[[#This Row],[LPA]]*Table_1[[#This Row],[VPA]])^0.5</f>
        <v/>
      </c>
      <c r="Z204" s="129">
        <f>Table_1[[#This Row],[PREÇO JUSTO GRAHAM]]/(1+Table_1[[#This Row],[MARGEM DE DESCONTO]])</f>
        <v/>
      </c>
      <c r="AA204" s="64">
        <f>(Table_1[[#This Row],[PREÇO JUSTO GORDON]]-Table_1[[#This Row],[PREÇO]])/Table_1[[#This Row],[PREÇO JUSTO GORDON]]</f>
        <v/>
      </c>
      <c r="AB204" s="130">
        <f>Table_1[[#This Row],[DPA]]*(1+Table_1[[#This Row],[MÉDIA DE CRESCIMENTO]])</f>
        <v/>
      </c>
      <c r="AC204" s="130">
        <f>Table_1[[#This Row],[D1]]/(Table_1[[#This Row],[RISCO]]-Table_1[[#This Row],[MÉDIA DE CRESCIMENTO]])</f>
        <v/>
      </c>
      <c r="AD204" s="130">
        <f>Table_1[[#This Row],[PREÇO JUSTO GORDON]]/(1+Table_1[[#This Row],[MARGEM DE DESCONTO]])</f>
        <v/>
      </c>
      <c r="AE204" s="78">
        <f>Table_1[[#This Row],[P/L]]/Table_1[[#This Row],[MÉDIA DE CRESCIMENTO]]</f>
        <v/>
      </c>
    </row>
    <row r="205" ht="15.75" customHeight="1">
      <c r="B205" s="77">
        <f>'Dados Status Invest'!A191</f>
        <v/>
      </c>
      <c r="C205" s="60">
        <f>VLOOKUP(Table_1[[#This Row],[AÇÕES]],'Classificação B3'!A:B,2,0)</f>
        <v/>
      </c>
      <c r="D205" s="60">
        <f>VLOOKUP(Table_1[[#This Row],[AÇÕES]],'Classificação B3'!A:D,4,0)</f>
        <v/>
      </c>
      <c r="E205" s="60">
        <f>VLOOKUP(Table_1[[#This Row],[AÇÕES]],'Classificação B3'!A:F,6,0)</f>
        <v/>
      </c>
      <c r="F205" s="60">
        <f>VLOOKUP(Table_1[[#This Row],[AÇÕES]],'Classificação B3'!A:G,7,0)</f>
        <v/>
      </c>
      <c r="G205" s="61">
        <f>VLOOKUP(Table_1[[#This Row],[AÇÕES]],'Dados Status Invest'!A:B,2,0)</f>
        <v/>
      </c>
      <c r="H205" s="62">
        <f>VLOOKUP(Table_1[[#This Row],[AÇÕES]],'Dados Status Invest'!A:C,3,0)/100</f>
        <v/>
      </c>
      <c r="I205" s="62">
        <f>VLOOKUP(Table_1[[#This Row],[AÇÕES]],'Dados Status Invest'!A:D,4,0)/100</f>
        <v/>
      </c>
      <c r="J205" s="63">
        <f>VLOOKUP(Table_1[[#This Row],[AÇÕES]],'Dados Status Invest'!A:AB,28,0)</f>
        <v/>
      </c>
      <c r="K205" s="63">
        <f>VLOOKUP(Table_1[[#This Row],[AÇÕES]],'Dados Status Invest'!A:AA,27,0)</f>
        <v/>
      </c>
      <c r="L205" s="63">
        <f>Table_1[[#This Row],[PREÇO]]*Table_1[[#This Row],[DY]]</f>
        <v/>
      </c>
      <c r="M205" s="62">
        <f>$E$13</f>
        <v/>
      </c>
      <c r="N205" s="62" t="n">
        <v>0.3</v>
      </c>
      <c r="O205" s="62">
        <f>Table_1[[#This Row],[DPA]]/Table_1[[#This Row],[LPA]]</f>
        <v/>
      </c>
      <c r="P205" s="62">
        <f>IF(Table_1[[#This Row],[PAYOUT]]&lt;=40%,"CRESCIMENTO",IF(Table_1[[#This Row],[PAYOUT]]&lt;=60%,"INDEFINIDO","DIVIDENDOS"))</f>
        <v/>
      </c>
      <c r="Q205" s="62">
        <f>VLOOKUP(Table_1[[#This Row],[AÇÕES]],'Dados Status Invest'!A:R,18,0)/100</f>
        <v/>
      </c>
      <c r="R205" s="62">
        <f>VLOOKUP(Table_1[[#This Row],[AÇÕES]],'Dados Status Invest'!A:Y,25,0)/100</f>
        <v/>
      </c>
      <c r="S205" s="62">
        <f>(1-Table_1[[#This Row],[PAYOUT]])*Table_1[[#This Row],[ROE]]</f>
        <v/>
      </c>
      <c r="T205" s="98">
        <f>AVERAGE(Table_1[[#This Row],[CAGR LUCRO 5A]],Table_1[[#This Row],[CRESCIMENTO DAMODARAN]])</f>
        <v/>
      </c>
      <c r="U205" s="64">
        <f>(Table_1[[#This Row],[PREÇO JUSTO BAZIN]]-Table_1[[#This Row],[PREÇO]])/Table_1[[#This Row],[PREÇO JUSTO BAZIN]]</f>
        <v/>
      </c>
      <c r="V205" s="129">
        <f>Table_1[[#This Row],[DPA]]/6%</f>
        <v/>
      </c>
      <c r="W205" s="129">
        <f>Table_1[[#This Row],[PREÇO JUSTO BAZIN]]/(1+Table_1[[#This Row],[MARGEM DE DESCONTO]])</f>
        <v/>
      </c>
      <c r="X205" s="64">
        <f>(Table_1[[#This Row],[PREÇO JUSTO GRAHAM]]-Table_1[[#This Row],[PREÇO]])/Table_1[[#This Row],[PREÇO JUSTO GRAHAM]]</f>
        <v/>
      </c>
      <c r="Y205" s="129">
        <f>(22.5*Table_1[[#This Row],[LPA]]*Table_1[[#This Row],[VPA]])^0.5</f>
        <v/>
      </c>
      <c r="Z205" s="129">
        <f>Table_1[[#This Row],[PREÇO JUSTO GRAHAM]]/(1+Table_1[[#This Row],[MARGEM DE DESCONTO]])</f>
        <v/>
      </c>
      <c r="AA205" s="64">
        <f>(Table_1[[#This Row],[PREÇO JUSTO GORDON]]-Table_1[[#This Row],[PREÇO]])/Table_1[[#This Row],[PREÇO JUSTO GORDON]]</f>
        <v/>
      </c>
      <c r="AB205" s="130">
        <f>Table_1[[#This Row],[DPA]]*(1+Table_1[[#This Row],[MÉDIA DE CRESCIMENTO]])</f>
        <v/>
      </c>
      <c r="AC205" s="130">
        <f>Table_1[[#This Row],[D1]]/(Table_1[[#This Row],[RISCO]]-Table_1[[#This Row],[MÉDIA DE CRESCIMENTO]])</f>
        <v/>
      </c>
      <c r="AD205" s="130">
        <f>Table_1[[#This Row],[PREÇO JUSTO GORDON]]/(1+Table_1[[#This Row],[MARGEM DE DESCONTO]])</f>
        <v/>
      </c>
      <c r="AE205" s="78">
        <f>Table_1[[#This Row],[P/L]]/Table_1[[#This Row],[MÉDIA DE CRESCIMENTO]]</f>
        <v/>
      </c>
    </row>
    <row r="206" ht="15.75" customHeight="1">
      <c r="B206" s="77">
        <f>'Dados Status Invest'!A192</f>
        <v/>
      </c>
      <c r="C206" s="60">
        <f>VLOOKUP(Table_1[[#This Row],[AÇÕES]],'Classificação B3'!A:B,2,0)</f>
        <v/>
      </c>
      <c r="D206" s="60">
        <f>VLOOKUP(Table_1[[#This Row],[AÇÕES]],'Classificação B3'!A:D,4,0)</f>
        <v/>
      </c>
      <c r="E206" s="60">
        <f>VLOOKUP(Table_1[[#This Row],[AÇÕES]],'Classificação B3'!A:F,6,0)</f>
        <v/>
      </c>
      <c r="F206" s="60">
        <f>VLOOKUP(Table_1[[#This Row],[AÇÕES]],'Classificação B3'!A:G,7,0)</f>
        <v/>
      </c>
      <c r="G206" s="61">
        <f>VLOOKUP(Table_1[[#This Row],[AÇÕES]],'Dados Status Invest'!A:B,2,0)</f>
        <v/>
      </c>
      <c r="H206" s="62">
        <f>VLOOKUP(Table_1[[#This Row],[AÇÕES]],'Dados Status Invest'!A:C,3,0)/100</f>
        <v/>
      </c>
      <c r="I206" s="62">
        <f>VLOOKUP(Table_1[[#This Row],[AÇÕES]],'Dados Status Invest'!A:D,4,0)/100</f>
        <v/>
      </c>
      <c r="J206" s="63">
        <f>VLOOKUP(Table_1[[#This Row],[AÇÕES]],'Dados Status Invest'!A:AB,28,0)</f>
        <v/>
      </c>
      <c r="K206" s="63">
        <f>VLOOKUP(Table_1[[#This Row],[AÇÕES]],'Dados Status Invest'!A:AA,27,0)</f>
        <v/>
      </c>
      <c r="L206" s="63">
        <f>Table_1[[#This Row],[PREÇO]]*Table_1[[#This Row],[DY]]</f>
        <v/>
      </c>
      <c r="M206" s="62">
        <f>$E$13</f>
        <v/>
      </c>
      <c r="N206" s="62" t="n">
        <v>0.3</v>
      </c>
      <c r="O206" s="62">
        <f>Table_1[[#This Row],[DPA]]/Table_1[[#This Row],[LPA]]</f>
        <v/>
      </c>
      <c r="P206" s="62">
        <f>IF(Table_1[[#This Row],[PAYOUT]]&lt;=40%,"CRESCIMENTO",IF(Table_1[[#This Row],[PAYOUT]]&lt;=60%,"INDEFINIDO","DIVIDENDOS"))</f>
        <v/>
      </c>
      <c r="Q206" s="62">
        <f>VLOOKUP(Table_1[[#This Row],[AÇÕES]],'Dados Status Invest'!A:R,18,0)/100</f>
        <v/>
      </c>
      <c r="R206" s="62">
        <f>VLOOKUP(Table_1[[#This Row],[AÇÕES]],'Dados Status Invest'!A:Y,25,0)/100</f>
        <v/>
      </c>
      <c r="S206" s="62">
        <f>(1-Table_1[[#This Row],[PAYOUT]])*Table_1[[#This Row],[ROE]]</f>
        <v/>
      </c>
      <c r="T206" s="98">
        <f>AVERAGE(Table_1[[#This Row],[CAGR LUCRO 5A]],Table_1[[#This Row],[CRESCIMENTO DAMODARAN]])</f>
        <v/>
      </c>
      <c r="U206" s="64">
        <f>(Table_1[[#This Row],[PREÇO JUSTO BAZIN]]-Table_1[[#This Row],[PREÇO]])/Table_1[[#This Row],[PREÇO JUSTO BAZIN]]</f>
        <v/>
      </c>
      <c r="V206" s="129">
        <f>Table_1[[#This Row],[DPA]]/6%</f>
        <v/>
      </c>
      <c r="W206" s="129">
        <f>Table_1[[#This Row],[PREÇO JUSTO BAZIN]]/(1+Table_1[[#This Row],[MARGEM DE DESCONTO]])</f>
        <v/>
      </c>
      <c r="X206" s="64">
        <f>(Table_1[[#This Row],[PREÇO JUSTO GRAHAM]]-Table_1[[#This Row],[PREÇO]])/Table_1[[#This Row],[PREÇO JUSTO GRAHAM]]</f>
        <v/>
      </c>
      <c r="Y206" s="129">
        <f>(22.5*Table_1[[#This Row],[LPA]]*Table_1[[#This Row],[VPA]])^0.5</f>
        <v/>
      </c>
      <c r="Z206" s="129">
        <f>Table_1[[#This Row],[PREÇO JUSTO GRAHAM]]/(1+Table_1[[#This Row],[MARGEM DE DESCONTO]])</f>
        <v/>
      </c>
      <c r="AA206" s="64">
        <f>(Table_1[[#This Row],[PREÇO JUSTO GORDON]]-Table_1[[#This Row],[PREÇO]])/Table_1[[#This Row],[PREÇO JUSTO GORDON]]</f>
        <v/>
      </c>
      <c r="AB206" s="130">
        <f>Table_1[[#This Row],[DPA]]*(1+Table_1[[#This Row],[MÉDIA DE CRESCIMENTO]])</f>
        <v/>
      </c>
      <c r="AC206" s="130">
        <f>Table_1[[#This Row],[D1]]/(Table_1[[#This Row],[RISCO]]-Table_1[[#This Row],[MÉDIA DE CRESCIMENTO]])</f>
        <v/>
      </c>
      <c r="AD206" s="130">
        <f>Table_1[[#This Row],[PREÇO JUSTO GORDON]]/(1+Table_1[[#This Row],[MARGEM DE DESCONTO]])</f>
        <v/>
      </c>
      <c r="AE206" s="78">
        <f>Table_1[[#This Row],[P/L]]/Table_1[[#This Row],[MÉDIA DE CRESCIMENTO]]</f>
        <v/>
      </c>
    </row>
    <row r="207" ht="15.75" customHeight="1">
      <c r="B207" s="77">
        <f>'Dados Status Invest'!A193</f>
        <v/>
      </c>
      <c r="C207" s="60">
        <f>VLOOKUP(Table_1[[#This Row],[AÇÕES]],'Classificação B3'!A:B,2,0)</f>
        <v/>
      </c>
      <c r="D207" s="60">
        <f>VLOOKUP(Table_1[[#This Row],[AÇÕES]],'Classificação B3'!A:D,4,0)</f>
        <v/>
      </c>
      <c r="E207" s="60">
        <f>VLOOKUP(Table_1[[#This Row],[AÇÕES]],'Classificação B3'!A:F,6,0)</f>
        <v/>
      </c>
      <c r="F207" s="60">
        <f>VLOOKUP(Table_1[[#This Row],[AÇÕES]],'Classificação B3'!A:G,7,0)</f>
        <v/>
      </c>
      <c r="G207" s="61">
        <f>VLOOKUP(Table_1[[#This Row],[AÇÕES]],'Dados Status Invest'!A:B,2,0)</f>
        <v/>
      </c>
      <c r="H207" s="62">
        <f>VLOOKUP(Table_1[[#This Row],[AÇÕES]],'Dados Status Invest'!A:C,3,0)/100</f>
        <v/>
      </c>
      <c r="I207" s="62">
        <f>VLOOKUP(Table_1[[#This Row],[AÇÕES]],'Dados Status Invest'!A:D,4,0)/100</f>
        <v/>
      </c>
      <c r="J207" s="63">
        <f>VLOOKUP(Table_1[[#This Row],[AÇÕES]],'Dados Status Invest'!A:AB,28,0)</f>
        <v/>
      </c>
      <c r="K207" s="63">
        <f>VLOOKUP(Table_1[[#This Row],[AÇÕES]],'Dados Status Invest'!A:AA,27,0)</f>
        <v/>
      </c>
      <c r="L207" s="63">
        <f>Table_1[[#This Row],[PREÇO]]*Table_1[[#This Row],[DY]]</f>
        <v/>
      </c>
      <c r="M207" s="62">
        <f>$E$13</f>
        <v/>
      </c>
      <c r="N207" s="62" t="n">
        <v>0.3</v>
      </c>
      <c r="O207" s="62">
        <f>Table_1[[#This Row],[DPA]]/Table_1[[#This Row],[LPA]]</f>
        <v/>
      </c>
      <c r="P207" s="62">
        <f>IF(Table_1[[#This Row],[PAYOUT]]&lt;=40%,"CRESCIMENTO",IF(Table_1[[#This Row],[PAYOUT]]&lt;=60%,"INDEFINIDO","DIVIDENDOS"))</f>
        <v/>
      </c>
      <c r="Q207" s="62">
        <f>VLOOKUP(Table_1[[#This Row],[AÇÕES]],'Dados Status Invest'!A:R,18,0)/100</f>
        <v/>
      </c>
      <c r="R207" s="62">
        <f>VLOOKUP(Table_1[[#This Row],[AÇÕES]],'Dados Status Invest'!A:Y,25,0)/100</f>
        <v/>
      </c>
      <c r="S207" s="62">
        <f>(1-Table_1[[#This Row],[PAYOUT]])*Table_1[[#This Row],[ROE]]</f>
        <v/>
      </c>
      <c r="T207" s="98">
        <f>AVERAGE(Table_1[[#This Row],[CAGR LUCRO 5A]],Table_1[[#This Row],[CRESCIMENTO DAMODARAN]])</f>
        <v/>
      </c>
      <c r="U207" s="64">
        <f>(Table_1[[#This Row],[PREÇO JUSTO BAZIN]]-Table_1[[#This Row],[PREÇO]])/Table_1[[#This Row],[PREÇO JUSTO BAZIN]]</f>
        <v/>
      </c>
      <c r="V207" s="129">
        <f>Table_1[[#This Row],[DPA]]/6%</f>
        <v/>
      </c>
      <c r="W207" s="129">
        <f>Table_1[[#This Row],[PREÇO JUSTO BAZIN]]/(1+Table_1[[#This Row],[MARGEM DE DESCONTO]])</f>
        <v/>
      </c>
      <c r="X207" s="64">
        <f>(Table_1[[#This Row],[PREÇO JUSTO GRAHAM]]-Table_1[[#This Row],[PREÇO]])/Table_1[[#This Row],[PREÇO JUSTO GRAHAM]]</f>
        <v/>
      </c>
      <c r="Y207" s="129">
        <f>(22.5*Table_1[[#This Row],[LPA]]*Table_1[[#This Row],[VPA]])^0.5</f>
        <v/>
      </c>
      <c r="Z207" s="129">
        <f>Table_1[[#This Row],[PREÇO JUSTO GRAHAM]]/(1+Table_1[[#This Row],[MARGEM DE DESCONTO]])</f>
        <v/>
      </c>
      <c r="AA207" s="64">
        <f>(Table_1[[#This Row],[PREÇO JUSTO GORDON]]-Table_1[[#This Row],[PREÇO]])/Table_1[[#This Row],[PREÇO JUSTO GORDON]]</f>
        <v/>
      </c>
      <c r="AB207" s="130">
        <f>Table_1[[#This Row],[DPA]]*(1+Table_1[[#This Row],[MÉDIA DE CRESCIMENTO]])</f>
        <v/>
      </c>
      <c r="AC207" s="130">
        <f>Table_1[[#This Row],[D1]]/(Table_1[[#This Row],[RISCO]]-Table_1[[#This Row],[MÉDIA DE CRESCIMENTO]])</f>
        <v/>
      </c>
      <c r="AD207" s="130">
        <f>Table_1[[#This Row],[PREÇO JUSTO GORDON]]/(1+Table_1[[#This Row],[MARGEM DE DESCONTO]])</f>
        <v/>
      </c>
      <c r="AE207" s="78">
        <f>Table_1[[#This Row],[P/L]]/Table_1[[#This Row],[MÉDIA DE CRESCIMENTO]]</f>
        <v/>
      </c>
    </row>
    <row r="208" ht="15.75" customHeight="1">
      <c r="B208" s="77">
        <f>'Dados Status Invest'!A194</f>
        <v/>
      </c>
      <c r="C208" s="60">
        <f>VLOOKUP(Table_1[[#This Row],[AÇÕES]],'Classificação B3'!A:B,2,0)</f>
        <v/>
      </c>
      <c r="D208" s="60">
        <f>VLOOKUP(Table_1[[#This Row],[AÇÕES]],'Classificação B3'!A:D,4,0)</f>
        <v/>
      </c>
      <c r="E208" s="60">
        <f>VLOOKUP(Table_1[[#This Row],[AÇÕES]],'Classificação B3'!A:F,6,0)</f>
        <v/>
      </c>
      <c r="F208" s="60">
        <f>VLOOKUP(Table_1[[#This Row],[AÇÕES]],'Classificação B3'!A:G,7,0)</f>
        <v/>
      </c>
      <c r="G208" s="61">
        <f>VLOOKUP(Table_1[[#This Row],[AÇÕES]],'Dados Status Invest'!A:B,2,0)</f>
        <v/>
      </c>
      <c r="H208" s="62">
        <f>VLOOKUP(Table_1[[#This Row],[AÇÕES]],'Dados Status Invest'!A:C,3,0)/100</f>
        <v/>
      </c>
      <c r="I208" s="62">
        <f>VLOOKUP(Table_1[[#This Row],[AÇÕES]],'Dados Status Invest'!A:D,4,0)/100</f>
        <v/>
      </c>
      <c r="J208" s="63">
        <f>VLOOKUP(Table_1[[#This Row],[AÇÕES]],'Dados Status Invest'!A:AB,28,0)</f>
        <v/>
      </c>
      <c r="K208" s="63">
        <f>VLOOKUP(Table_1[[#This Row],[AÇÕES]],'Dados Status Invest'!A:AA,27,0)</f>
        <v/>
      </c>
      <c r="L208" s="63">
        <f>Table_1[[#This Row],[PREÇO]]*Table_1[[#This Row],[DY]]</f>
        <v/>
      </c>
      <c r="M208" s="62">
        <f>$E$13</f>
        <v/>
      </c>
      <c r="N208" s="62" t="n">
        <v>0.3</v>
      </c>
      <c r="O208" s="62">
        <f>Table_1[[#This Row],[DPA]]/Table_1[[#This Row],[LPA]]</f>
        <v/>
      </c>
      <c r="P208" s="62">
        <f>IF(Table_1[[#This Row],[PAYOUT]]&lt;=40%,"CRESCIMENTO",IF(Table_1[[#This Row],[PAYOUT]]&lt;=60%,"INDEFINIDO","DIVIDENDOS"))</f>
        <v/>
      </c>
      <c r="Q208" s="62">
        <f>VLOOKUP(Table_1[[#This Row],[AÇÕES]],'Dados Status Invest'!A:R,18,0)/100</f>
        <v/>
      </c>
      <c r="R208" s="62">
        <f>VLOOKUP(Table_1[[#This Row],[AÇÕES]],'Dados Status Invest'!A:Y,25,0)/100</f>
        <v/>
      </c>
      <c r="S208" s="62">
        <f>(1-Table_1[[#This Row],[PAYOUT]])*Table_1[[#This Row],[ROE]]</f>
        <v/>
      </c>
      <c r="T208" s="98">
        <f>AVERAGE(Table_1[[#This Row],[CAGR LUCRO 5A]],Table_1[[#This Row],[CRESCIMENTO DAMODARAN]])</f>
        <v/>
      </c>
      <c r="U208" s="64">
        <f>(Table_1[[#This Row],[PREÇO JUSTO BAZIN]]-Table_1[[#This Row],[PREÇO]])/Table_1[[#This Row],[PREÇO JUSTO BAZIN]]</f>
        <v/>
      </c>
      <c r="V208" s="129">
        <f>Table_1[[#This Row],[DPA]]/6%</f>
        <v/>
      </c>
      <c r="W208" s="129">
        <f>Table_1[[#This Row],[PREÇO JUSTO BAZIN]]/(1+Table_1[[#This Row],[MARGEM DE DESCONTO]])</f>
        <v/>
      </c>
      <c r="X208" s="64">
        <f>(Table_1[[#This Row],[PREÇO JUSTO GRAHAM]]-Table_1[[#This Row],[PREÇO]])/Table_1[[#This Row],[PREÇO JUSTO GRAHAM]]</f>
        <v/>
      </c>
      <c r="Y208" s="129">
        <f>(22.5*Table_1[[#This Row],[LPA]]*Table_1[[#This Row],[VPA]])^0.5</f>
        <v/>
      </c>
      <c r="Z208" s="129">
        <f>Table_1[[#This Row],[PREÇO JUSTO GRAHAM]]/(1+Table_1[[#This Row],[MARGEM DE DESCONTO]])</f>
        <v/>
      </c>
      <c r="AA208" s="64">
        <f>(Table_1[[#This Row],[PREÇO JUSTO GORDON]]-Table_1[[#This Row],[PREÇO]])/Table_1[[#This Row],[PREÇO JUSTO GORDON]]</f>
        <v/>
      </c>
      <c r="AB208" s="130">
        <f>Table_1[[#This Row],[DPA]]*(1+Table_1[[#This Row],[MÉDIA DE CRESCIMENTO]])</f>
        <v/>
      </c>
      <c r="AC208" s="130">
        <f>Table_1[[#This Row],[D1]]/(Table_1[[#This Row],[RISCO]]-Table_1[[#This Row],[MÉDIA DE CRESCIMENTO]])</f>
        <v/>
      </c>
      <c r="AD208" s="130">
        <f>Table_1[[#This Row],[PREÇO JUSTO GORDON]]/(1+Table_1[[#This Row],[MARGEM DE DESCONTO]])</f>
        <v/>
      </c>
      <c r="AE208" s="78">
        <f>Table_1[[#This Row],[P/L]]/Table_1[[#This Row],[MÉDIA DE CRESCIMENTO]]</f>
        <v/>
      </c>
    </row>
    <row r="209" ht="15.75" customHeight="1">
      <c r="B209" s="77">
        <f>'Dados Status Invest'!A195</f>
        <v/>
      </c>
      <c r="C209" s="60">
        <f>VLOOKUP(Table_1[[#This Row],[AÇÕES]],'Classificação B3'!A:B,2,0)</f>
        <v/>
      </c>
      <c r="D209" s="60">
        <f>VLOOKUP(Table_1[[#This Row],[AÇÕES]],'Classificação B3'!A:D,4,0)</f>
        <v/>
      </c>
      <c r="E209" s="60">
        <f>VLOOKUP(Table_1[[#This Row],[AÇÕES]],'Classificação B3'!A:F,6,0)</f>
        <v/>
      </c>
      <c r="F209" s="60">
        <f>VLOOKUP(Table_1[[#This Row],[AÇÕES]],'Classificação B3'!A:G,7,0)</f>
        <v/>
      </c>
      <c r="G209" s="61">
        <f>VLOOKUP(Table_1[[#This Row],[AÇÕES]],'Dados Status Invest'!A:B,2,0)</f>
        <v/>
      </c>
      <c r="H209" s="62">
        <f>VLOOKUP(Table_1[[#This Row],[AÇÕES]],'Dados Status Invest'!A:C,3,0)/100</f>
        <v/>
      </c>
      <c r="I209" s="62">
        <f>VLOOKUP(Table_1[[#This Row],[AÇÕES]],'Dados Status Invest'!A:D,4,0)/100</f>
        <v/>
      </c>
      <c r="J209" s="63">
        <f>VLOOKUP(Table_1[[#This Row],[AÇÕES]],'Dados Status Invest'!A:AB,28,0)</f>
        <v/>
      </c>
      <c r="K209" s="63">
        <f>VLOOKUP(Table_1[[#This Row],[AÇÕES]],'Dados Status Invest'!A:AA,27,0)</f>
        <v/>
      </c>
      <c r="L209" s="63">
        <f>Table_1[[#This Row],[PREÇO]]*Table_1[[#This Row],[DY]]</f>
        <v/>
      </c>
      <c r="M209" s="62">
        <f>$E$13</f>
        <v/>
      </c>
      <c r="N209" s="62" t="n">
        <v>0.3</v>
      </c>
      <c r="O209" s="62">
        <f>Table_1[[#This Row],[DPA]]/Table_1[[#This Row],[LPA]]</f>
        <v/>
      </c>
      <c r="P209" s="62">
        <f>IF(Table_1[[#This Row],[PAYOUT]]&lt;=40%,"CRESCIMENTO",IF(Table_1[[#This Row],[PAYOUT]]&lt;=60%,"INDEFINIDO","DIVIDENDOS"))</f>
        <v/>
      </c>
      <c r="Q209" s="62">
        <f>VLOOKUP(Table_1[[#This Row],[AÇÕES]],'Dados Status Invest'!A:R,18,0)/100</f>
        <v/>
      </c>
      <c r="R209" s="62">
        <f>VLOOKUP(Table_1[[#This Row],[AÇÕES]],'Dados Status Invest'!A:Y,25,0)/100</f>
        <v/>
      </c>
      <c r="S209" s="62">
        <f>(1-Table_1[[#This Row],[PAYOUT]])*Table_1[[#This Row],[ROE]]</f>
        <v/>
      </c>
      <c r="T209" s="98">
        <f>AVERAGE(Table_1[[#This Row],[CAGR LUCRO 5A]],Table_1[[#This Row],[CRESCIMENTO DAMODARAN]])</f>
        <v/>
      </c>
      <c r="U209" s="64">
        <f>(Table_1[[#This Row],[PREÇO JUSTO BAZIN]]-Table_1[[#This Row],[PREÇO]])/Table_1[[#This Row],[PREÇO JUSTO BAZIN]]</f>
        <v/>
      </c>
      <c r="V209" s="129">
        <f>Table_1[[#This Row],[DPA]]/6%</f>
        <v/>
      </c>
      <c r="W209" s="129">
        <f>Table_1[[#This Row],[PREÇO JUSTO BAZIN]]/(1+Table_1[[#This Row],[MARGEM DE DESCONTO]])</f>
        <v/>
      </c>
      <c r="X209" s="64">
        <f>(Table_1[[#This Row],[PREÇO JUSTO GRAHAM]]-Table_1[[#This Row],[PREÇO]])/Table_1[[#This Row],[PREÇO JUSTO GRAHAM]]</f>
        <v/>
      </c>
      <c r="Y209" s="129">
        <f>(22.5*Table_1[[#This Row],[LPA]]*Table_1[[#This Row],[VPA]])^0.5</f>
        <v/>
      </c>
      <c r="Z209" s="129">
        <f>Table_1[[#This Row],[PREÇO JUSTO GRAHAM]]/(1+Table_1[[#This Row],[MARGEM DE DESCONTO]])</f>
        <v/>
      </c>
      <c r="AA209" s="64">
        <f>(Table_1[[#This Row],[PREÇO JUSTO GORDON]]-Table_1[[#This Row],[PREÇO]])/Table_1[[#This Row],[PREÇO JUSTO GORDON]]</f>
        <v/>
      </c>
      <c r="AB209" s="130">
        <f>Table_1[[#This Row],[DPA]]*(1+Table_1[[#This Row],[MÉDIA DE CRESCIMENTO]])</f>
        <v/>
      </c>
      <c r="AC209" s="130">
        <f>Table_1[[#This Row],[D1]]/(Table_1[[#This Row],[RISCO]]-Table_1[[#This Row],[MÉDIA DE CRESCIMENTO]])</f>
        <v/>
      </c>
      <c r="AD209" s="130">
        <f>Table_1[[#This Row],[PREÇO JUSTO GORDON]]/(1+Table_1[[#This Row],[MARGEM DE DESCONTO]])</f>
        <v/>
      </c>
      <c r="AE209" s="78">
        <f>Table_1[[#This Row],[P/L]]/Table_1[[#This Row],[MÉDIA DE CRESCIMENTO]]</f>
        <v/>
      </c>
    </row>
    <row r="210" ht="15.75" customHeight="1">
      <c r="B210" s="77">
        <f>'Dados Status Invest'!A196</f>
        <v/>
      </c>
      <c r="C210" s="60">
        <f>VLOOKUP(Table_1[[#This Row],[AÇÕES]],'Classificação B3'!A:B,2,0)</f>
        <v/>
      </c>
      <c r="D210" s="60">
        <f>VLOOKUP(Table_1[[#This Row],[AÇÕES]],'Classificação B3'!A:D,4,0)</f>
        <v/>
      </c>
      <c r="E210" s="60">
        <f>VLOOKUP(Table_1[[#This Row],[AÇÕES]],'Classificação B3'!A:F,6,0)</f>
        <v/>
      </c>
      <c r="F210" s="60">
        <f>VLOOKUP(Table_1[[#This Row],[AÇÕES]],'Classificação B3'!A:G,7,0)</f>
        <v/>
      </c>
      <c r="G210" s="61">
        <f>VLOOKUP(Table_1[[#This Row],[AÇÕES]],'Dados Status Invest'!A:B,2,0)</f>
        <v/>
      </c>
      <c r="H210" s="62">
        <f>VLOOKUP(Table_1[[#This Row],[AÇÕES]],'Dados Status Invest'!A:C,3,0)/100</f>
        <v/>
      </c>
      <c r="I210" s="62">
        <f>VLOOKUP(Table_1[[#This Row],[AÇÕES]],'Dados Status Invest'!A:D,4,0)/100</f>
        <v/>
      </c>
      <c r="J210" s="63">
        <f>VLOOKUP(Table_1[[#This Row],[AÇÕES]],'Dados Status Invest'!A:AB,28,0)</f>
        <v/>
      </c>
      <c r="K210" s="63">
        <f>VLOOKUP(Table_1[[#This Row],[AÇÕES]],'Dados Status Invest'!A:AA,27,0)</f>
        <v/>
      </c>
      <c r="L210" s="63">
        <f>Table_1[[#This Row],[PREÇO]]*Table_1[[#This Row],[DY]]</f>
        <v/>
      </c>
      <c r="M210" s="62">
        <f>$E$13</f>
        <v/>
      </c>
      <c r="N210" s="62" t="n">
        <v>0.3</v>
      </c>
      <c r="O210" s="62">
        <f>Table_1[[#This Row],[DPA]]/Table_1[[#This Row],[LPA]]</f>
        <v/>
      </c>
      <c r="P210" s="62">
        <f>IF(Table_1[[#This Row],[PAYOUT]]&lt;=40%,"CRESCIMENTO",IF(Table_1[[#This Row],[PAYOUT]]&lt;=60%,"INDEFINIDO","DIVIDENDOS"))</f>
        <v/>
      </c>
      <c r="Q210" s="62">
        <f>VLOOKUP(Table_1[[#This Row],[AÇÕES]],'Dados Status Invest'!A:R,18,0)/100</f>
        <v/>
      </c>
      <c r="R210" s="62">
        <f>VLOOKUP(Table_1[[#This Row],[AÇÕES]],'Dados Status Invest'!A:Y,25,0)/100</f>
        <v/>
      </c>
      <c r="S210" s="62">
        <f>(1-Table_1[[#This Row],[PAYOUT]])*Table_1[[#This Row],[ROE]]</f>
        <v/>
      </c>
      <c r="T210" s="98">
        <f>AVERAGE(Table_1[[#This Row],[CAGR LUCRO 5A]],Table_1[[#This Row],[CRESCIMENTO DAMODARAN]])</f>
        <v/>
      </c>
      <c r="U210" s="64">
        <f>(Table_1[[#This Row],[PREÇO JUSTO BAZIN]]-Table_1[[#This Row],[PREÇO]])/Table_1[[#This Row],[PREÇO JUSTO BAZIN]]</f>
        <v/>
      </c>
      <c r="V210" s="129">
        <f>Table_1[[#This Row],[DPA]]/6%</f>
        <v/>
      </c>
      <c r="W210" s="129">
        <f>Table_1[[#This Row],[PREÇO JUSTO BAZIN]]/(1+Table_1[[#This Row],[MARGEM DE DESCONTO]])</f>
        <v/>
      </c>
      <c r="X210" s="64">
        <f>(Table_1[[#This Row],[PREÇO JUSTO GRAHAM]]-Table_1[[#This Row],[PREÇO]])/Table_1[[#This Row],[PREÇO JUSTO GRAHAM]]</f>
        <v/>
      </c>
      <c r="Y210" s="129">
        <f>(22.5*Table_1[[#This Row],[LPA]]*Table_1[[#This Row],[VPA]])^0.5</f>
        <v/>
      </c>
      <c r="Z210" s="129">
        <f>Table_1[[#This Row],[PREÇO JUSTO GRAHAM]]/(1+Table_1[[#This Row],[MARGEM DE DESCONTO]])</f>
        <v/>
      </c>
      <c r="AA210" s="64">
        <f>(Table_1[[#This Row],[PREÇO JUSTO GORDON]]-Table_1[[#This Row],[PREÇO]])/Table_1[[#This Row],[PREÇO JUSTO GORDON]]</f>
        <v/>
      </c>
      <c r="AB210" s="130">
        <f>Table_1[[#This Row],[DPA]]*(1+Table_1[[#This Row],[MÉDIA DE CRESCIMENTO]])</f>
        <v/>
      </c>
      <c r="AC210" s="130">
        <f>Table_1[[#This Row],[D1]]/(Table_1[[#This Row],[RISCO]]-Table_1[[#This Row],[MÉDIA DE CRESCIMENTO]])</f>
        <v/>
      </c>
      <c r="AD210" s="130">
        <f>Table_1[[#This Row],[PREÇO JUSTO GORDON]]/(1+Table_1[[#This Row],[MARGEM DE DESCONTO]])</f>
        <v/>
      </c>
      <c r="AE210" s="78">
        <f>Table_1[[#This Row],[P/L]]/Table_1[[#This Row],[MÉDIA DE CRESCIMENTO]]</f>
        <v/>
      </c>
    </row>
    <row r="211" ht="15.75" customHeight="1">
      <c r="B211" s="77">
        <f>'Dados Status Invest'!A197</f>
        <v/>
      </c>
      <c r="C211" s="60">
        <f>VLOOKUP(Table_1[[#This Row],[AÇÕES]],'Classificação B3'!A:B,2,0)</f>
        <v/>
      </c>
      <c r="D211" s="60">
        <f>VLOOKUP(Table_1[[#This Row],[AÇÕES]],'Classificação B3'!A:D,4,0)</f>
        <v/>
      </c>
      <c r="E211" s="60">
        <f>VLOOKUP(Table_1[[#This Row],[AÇÕES]],'Classificação B3'!A:F,6,0)</f>
        <v/>
      </c>
      <c r="F211" s="60">
        <f>VLOOKUP(Table_1[[#This Row],[AÇÕES]],'Classificação B3'!A:G,7,0)</f>
        <v/>
      </c>
      <c r="G211" s="61">
        <f>VLOOKUP(Table_1[[#This Row],[AÇÕES]],'Dados Status Invest'!A:B,2,0)</f>
        <v/>
      </c>
      <c r="H211" s="62">
        <f>VLOOKUP(Table_1[[#This Row],[AÇÕES]],'Dados Status Invest'!A:C,3,0)/100</f>
        <v/>
      </c>
      <c r="I211" s="62">
        <f>VLOOKUP(Table_1[[#This Row],[AÇÕES]],'Dados Status Invest'!A:D,4,0)/100</f>
        <v/>
      </c>
      <c r="J211" s="63">
        <f>VLOOKUP(Table_1[[#This Row],[AÇÕES]],'Dados Status Invest'!A:AB,28,0)</f>
        <v/>
      </c>
      <c r="K211" s="63">
        <f>VLOOKUP(Table_1[[#This Row],[AÇÕES]],'Dados Status Invest'!A:AA,27,0)</f>
        <v/>
      </c>
      <c r="L211" s="63">
        <f>Table_1[[#This Row],[PREÇO]]*Table_1[[#This Row],[DY]]</f>
        <v/>
      </c>
      <c r="M211" s="62">
        <f>$E$13</f>
        <v/>
      </c>
      <c r="N211" s="62" t="n">
        <v>0.3</v>
      </c>
      <c r="O211" s="62">
        <f>Table_1[[#This Row],[DPA]]/Table_1[[#This Row],[LPA]]</f>
        <v/>
      </c>
      <c r="P211" s="62">
        <f>IF(Table_1[[#This Row],[PAYOUT]]&lt;=40%,"CRESCIMENTO",IF(Table_1[[#This Row],[PAYOUT]]&lt;=60%,"INDEFINIDO","DIVIDENDOS"))</f>
        <v/>
      </c>
      <c r="Q211" s="62">
        <f>VLOOKUP(Table_1[[#This Row],[AÇÕES]],'Dados Status Invest'!A:R,18,0)/100</f>
        <v/>
      </c>
      <c r="R211" s="62">
        <f>VLOOKUP(Table_1[[#This Row],[AÇÕES]],'Dados Status Invest'!A:Y,25,0)/100</f>
        <v/>
      </c>
      <c r="S211" s="62">
        <f>(1-Table_1[[#This Row],[PAYOUT]])*Table_1[[#This Row],[ROE]]</f>
        <v/>
      </c>
      <c r="T211" s="98">
        <f>AVERAGE(Table_1[[#This Row],[CAGR LUCRO 5A]],Table_1[[#This Row],[CRESCIMENTO DAMODARAN]])</f>
        <v/>
      </c>
      <c r="U211" s="64">
        <f>(Table_1[[#This Row],[PREÇO JUSTO BAZIN]]-Table_1[[#This Row],[PREÇO]])/Table_1[[#This Row],[PREÇO JUSTO BAZIN]]</f>
        <v/>
      </c>
      <c r="V211" s="129">
        <f>Table_1[[#This Row],[DPA]]/6%</f>
        <v/>
      </c>
      <c r="W211" s="129">
        <f>Table_1[[#This Row],[PREÇO JUSTO BAZIN]]/(1+Table_1[[#This Row],[MARGEM DE DESCONTO]])</f>
        <v/>
      </c>
      <c r="X211" s="64">
        <f>(Table_1[[#This Row],[PREÇO JUSTO GRAHAM]]-Table_1[[#This Row],[PREÇO]])/Table_1[[#This Row],[PREÇO JUSTO GRAHAM]]</f>
        <v/>
      </c>
      <c r="Y211" s="129">
        <f>(22.5*Table_1[[#This Row],[LPA]]*Table_1[[#This Row],[VPA]])^0.5</f>
        <v/>
      </c>
      <c r="Z211" s="129">
        <f>Table_1[[#This Row],[PREÇO JUSTO GRAHAM]]/(1+Table_1[[#This Row],[MARGEM DE DESCONTO]])</f>
        <v/>
      </c>
      <c r="AA211" s="64">
        <f>(Table_1[[#This Row],[PREÇO JUSTO GORDON]]-Table_1[[#This Row],[PREÇO]])/Table_1[[#This Row],[PREÇO JUSTO GORDON]]</f>
        <v/>
      </c>
      <c r="AB211" s="130">
        <f>Table_1[[#This Row],[DPA]]*(1+Table_1[[#This Row],[MÉDIA DE CRESCIMENTO]])</f>
        <v/>
      </c>
      <c r="AC211" s="130">
        <f>Table_1[[#This Row],[D1]]/(Table_1[[#This Row],[RISCO]]-Table_1[[#This Row],[MÉDIA DE CRESCIMENTO]])</f>
        <v/>
      </c>
      <c r="AD211" s="130">
        <f>Table_1[[#This Row],[PREÇO JUSTO GORDON]]/(1+Table_1[[#This Row],[MARGEM DE DESCONTO]])</f>
        <v/>
      </c>
      <c r="AE211" s="78">
        <f>Table_1[[#This Row],[P/L]]/Table_1[[#This Row],[MÉDIA DE CRESCIMENTO]]</f>
        <v/>
      </c>
    </row>
    <row r="212" ht="15.75" customHeight="1">
      <c r="B212" s="77">
        <f>'Dados Status Invest'!A198</f>
        <v/>
      </c>
      <c r="C212" s="60">
        <f>VLOOKUP(Table_1[[#This Row],[AÇÕES]],'Classificação B3'!A:B,2,0)</f>
        <v/>
      </c>
      <c r="D212" s="60">
        <f>VLOOKUP(Table_1[[#This Row],[AÇÕES]],'Classificação B3'!A:D,4,0)</f>
        <v/>
      </c>
      <c r="E212" s="60">
        <f>VLOOKUP(Table_1[[#This Row],[AÇÕES]],'Classificação B3'!A:F,6,0)</f>
        <v/>
      </c>
      <c r="F212" s="60">
        <f>VLOOKUP(Table_1[[#This Row],[AÇÕES]],'Classificação B3'!A:G,7,0)</f>
        <v/>
      </c>
      <c r="G212" s="61">
        <f>VLOOKUP(Table_1[[#This Row],[AÇÕES]],'Dados Status Invest'!A:B,2,0)</f>
        <v/>
      </c>
      <c r="H212" s="62">
        <f>VLOOKUP(Table_1[[#This Row],[AÇÕES]],'Dados Status Invest'!A:C,3,0)/100</f>
        <v/>
      </c>
      <c r="I212" s="62">
        <f>VLOOKUP(Table_1[[#This Row],[AÇÕES]],'Dados Status Invest'!A:D,4,0)/100</f>
        <v/>
      </c>
      <c r="J212" s="63">
        <f>VLOOKUP(Table_1[[#This Row],[AÇÕES]],'Dados Status Invest'!A:AB,28,0)</f>
        <v/>
      </c>
      <c r="K212" s="63">
        <f>VLOOKUP(Table_1[[#This Row],[AÇÕES]],'Dados Status Invest'!A:AA,27,0)</f>
        <v/>
      </c>
      <c r="L212" s="63">
        <f>Table_1[[#This Row],[PREÇO]]*Table_1[[#This Row],[DY]]</f>
        <v/>
      </c>
      <c r="M212" s="62">
        <f>$E$13</f>
        <v/>
      </c>
      <c r="N212" s="62" t="n">
        <v>0.3</v>
      </c>
      <c r="O212" s="62">
        <f>Table_1[[#This Row],[DPA]]/Table_1[[#This Row],[LPA]]</f>
        <v/>
      </c>
      <c r="P212" s="62">
        <f>IF(Table_1[[#This Row],[PAYOUT]]&lt;=40%,"CRESCIMENTO",IF(Table_1[[#This Row],[PAYOUT]]&lt;=60%,"INDEFINIDO","DIVIDENDOS"))</f>
        <v/>
      </c>
      <c r="Q212" s="62">
        <f>VLOOKUP(Table_1[[#This Row],[AÇÕES]],'Dados Status Invest'!A:R,18,0)/100</f>
        <v/>
      </c>
      <c r="R212" s="62">
        <f>VLOOKUP(Table_1[[#This Row],[AÇÕES]],'Dados Status Invest'!A:Y,25,0)/100</f>
        <v/>
      </c>
      <c r="S212" s="62">
        <f>(1-Table_1[[#This Row],[PAYOUT]])*Table_1[[#This Row],[ROE]]</f>
        <v/>
      </c>
      <c r="T212" s="98">
        <f>AVERAGE(Table_1[[#This Row],[CAGR LUCRO 5A]],Table_1[[#This Row],[CRESCIMENTO DAMODARAN]])</f>
        <v/>
      </c>
      <c r="U212" s="64">
        <f>(Table_1[[#This Row],[PREÇO JUSTO BAZIN]]-Table_1[[#This Row],[PREÇO]])/Table_1[[#This Row],[PREÇO JUSTO BAZIN]]</f>
        <v/>
      </c>
      <c r="V212" s="129">
        <f>Table_1[[#This Row],[DPA]]/6%</f>
        <v/>
      </c>
      <c r="W212" s="129">
        <f>Table_1[[#This Row],[PREÇO JUSTO BAZIN]]/(1+Table_1[[#This Row],[MARGEM DE DESCONTO]])</f>
        <v/>
      </c>
      <c r="X212" s="64">
        <f>(Table_1[[#This Row],[PREÇO JUSTO GRAHAM]]-Table_1[[#This Row],[PREÇO]])/Table_1[[#This Row],[PREÇO JUSTO GRAHAM]]</f>
        <v/>
      </c>
      <c r="Y212" s="129">
        <f>(22.5*Table_1[[#This Row],[LPA]]*Table_1[[#This Row],[VPA]])^0.5</f>
        <v/>
      </c>
      <c r="Z212" s="129">
        <f>Table_1[[#This Row],[PREÇO JUSTO GRAHAM]]/(1+Table_1[[#This Row],[MARGEM DE DESCONTO]])</f>
        <v/>
      </c>
      <c r="AA212" s="64">
        <f>(Table_1[[#This Row],[PREÇO JUSTO GORDON]]-Table_1[[#This Row],[PREÇO]])/Table_1[[#This Row],[PREÇO JUSTO GORDON]]</f>
        <v/>
      </c>
      <c r="AB212" s="130">
        <f>Table_1[[#This Row],[DPA]]*(1+Table_1[[#This Row],[MÉDIA DE CRESCIMENTO]])</f>
        <v/>
      </c>
      <c r="AC212" s="130">
        <f>Table_1[[#This Row],[D1]]/(Table_1[[#This Row],[RISCO]]-Table_1[[#This Row],[MÉDIA DE CRESCIMENTO]])</f>
        <v/>
      </c>
      <c r="AD212" s="130">
        <f>Table_1[[#This Row],[PREÇO JUSTO GORDON]]/(1+Table_1[[#This Row],[MARGEM DE DESCONTO]])</f>
        <v/>
      </c>
      <c r="AE212" s="78">
        <f>Table_1[[#This Row],[P/L]]/Table_1[[#This Row],[MÉDIA DE CRESCIMENTO]]</f>
        <v/>
      </c>
    </row>
    <row r="213" ht="15.75" customHeight="1">
      <c r="B213" s="77">
        <f>'Dados Status Invest'!A199</f>
        <v/>
      </c>
      <c r="C213" s="60">
        <f>VLOOKUP(Table_1[[#This Row],[AÇÕES]],'Classificação B3'!A:B,2,0)</f>
        <v/>
      </c>
      <c r="D213" s="60">
        <f>VLOOKUP(Table_1[[#This Row],[AÇÕES]],'Classificação B3'!A:D,4,0)</f>
        <v/>
      </c>
      <c r="E213" s="60">
        <f>VLOOKUP(Table_1[[#This Row],[AÇÕES]],'Classificação B3'!A:F,6,0)</f>
        <v/>
      </c>
      <c r="F213" s="60">
        <f>VLOOKUP(Table_1[[#This Row],[AÇÕES]],'Classificação B3'!A:G,7,0)</f>
        <v/>
      </c>
      <c r="G213" s="61">
        <f>VLOOKUP(Table_1[[#This Row],[AÇÕES]],'Dados Status Invest'!A:B,2,0)</f>
        <v/>
      </c>
      <c r="H213" s="62">
        <f>VLOOKUP(Table_1[[#This Row],[AÇÕES]],'Dados Status Invest'!A:C,3,0)/100</f>
        <v/>
      </c>
      <c r="I213" s="62">
        <f>VLOOKUP(Table_1[[#This Row],[AÇÕES]],'Dados Status Invest'!A:D,4,0)/100</f>
        <v/>
      </c>
      <c r="J213" s="63">
        <f>VLOOKUP(Table_1[[#This Row],[AÇÕES]],'Dados Status Invest'!A:AB,28,0)</f>
        <v/>
      </c>
      <c r="K213" s="63">
        <f>VLOOKUP(Table_1[[#This Row],[AÇÕES]],'Dados Status Invest'!A:AA,27,0)</f>
        <v/>
      </c>
      <c r="L213" s="63">
        <f>Table_1[[#This Row],[PREÇO]]*Table_1[[#This Row],[DY]]</f>
        <v/>
      </c>
      <c r="M213" s="62">
        <f>$E$13</f>
        <v/>
      </c>
      <c r="N213" s="62" t="n">
        <v>0.3</v>
      </c>
      <c r="O213" s="62">
        <f>Table_1[[#This Row],[DPA]]/Table_1[[#This Row],[LPA]]</f>
        <v/>
      </c>
      <c r="P213" s="62">
        <f>IF(Table_1[[#This Row],[PAYOUT]]&lt;=40%,"CRESCIMENTO",IF(Table_1[[#This Row],[PAYOUT]]&lt;=60%,"INDEFINIDO","DIVIDENDOS"))</f>
        <v/>
      </c>
      <c r="Q213" s="62">
        <f>VLOOKUP(Table_1[[#This Row],[AÇÕES]],'Dados Status Invest'!A:R,18,0)/100</f>
        <v/>
      </c>
      <c r="R213" s="62">
        <f>VLOOKUP(Table_1[[#This Row],[AÇÕES]],'Dados Status Invest'!A:Y,25,0)/100</f>
        <v/>
      </c>
      <c r="S213" s="62">
        <f>(1-Table_1[[#This Row],[PAYOUT]])*Table_1[[#This Row],[ROE]]</f>
        <v/>
      </c>
      <c r="T213" s="98">
        <f>AVERAGE(Table_1[[#This Row],[CAGR LUCRO 5A]],Table_1[[#This Row],[CRESCIMENTO DAMODARAN]])</f>
        <v/>
      </c>
      <c r="U213" s="64">
        <f>(Table_1[[#This Row],[PREÇO JUSTO BAZIN]]-Table_1[[#This Row],[PREÇO]])/Table_1[[#This Row],[PREÇO JUSTO BAZIN]]</f>
        <v/>
      </c>
      <c r="V213" s="129">
        <f>Table_1[[#This Row],[DPA]]/6%</f>
        <v/>
      </c>
      <c r="W213" s="129">
        <f>Table_1[[#This Row],[PREÇO JUSTO BAZIN]]/(1+Table_1[[#This Row],[MARGEM DE DESCONTO]])</f>
        <v/>
      </c>
      <c r="X213" s="64">
        <f>(Table_1[[#This Row],[PREÇO JUSTO GRAHAM]]-Table_1[[#This Row],[PREÇO]])/Table_1[[#This Row],[PREÇO JUSTO GRAHAM]]</f>
        <v/>
      </c>
      <c r="Y213" s="129">
        <f>(22.5*Table_1[[#This Row],[LPA]]*Table_1[[#This Row],[VPA]])^0.5</f>
        <v/>
      </c>
      <c r="Z213" s="129">
        <f>Table_1[[#This Row],[PREÇO JUSTO GRAHAM]]/(1+Table_1[[#This Row],[MARGEM DE DESCONTO]])</f>
        <v/>
      </c>
      <c r="AA213" s="64">
        <f>(Table_1[[#This Row],[PREÇO JUSTO GORDON]]-Table_1[[#This Row],[PREÇO]])/Table_1[[#This Row],[PREÇO JUSTO GORDON]]</f>
        <v/>
      </c>
      <c r="AB213" s="130">
        <f>Table_1[[#This Row],[DPA]]*(1+Table_1[[#This Row],[MÉDIA DE CRESCIMENTO]])</f>
        <v/>
      </c>
      <c r="AC213" s="130">
        <f>Table_1[[#This Row],[D1]]/(Table_1[[#This Row],[RISCO]]-Table_1[[#This Row],[MÉDIA DE CRESCIMENTO]])</f>
        <v/>
      </c>
      <c r="AD213" s="130">
        <f>Table_1[[#This Row],[PREÇO JUSTO GORDON]]/(1+Table_1[[#This Row],[MARGEM DE DESCONTO]])</f>
        <v/>
      </c>
      <c r="AE213" s="78">
        <f>Table_1[[#This Row],[P/L]]/Table_1[[#This Row],[MÉDIA DE CRESCIMENTO]]</f>
        <v/>
      </c>
    </row>
    <row r="214" ht="15.75" customHeight="1">
      <c r="B214" s="77">
        <f>'Dados Status Invest'!A200</f>
        <v/>
      </c>
      <c r="C214" s="60">
        <f>VLOOKUP(Table_1[[#This Row],[AÇÕES]],'Classificação B3'!A:B,2,0)</f>
        <v/>
      </c>
      <c r="D214" s="60">
        <f>VLOOKUP(Table_1[[#This Row],[AÇÕES]],'Classificação B3'!A:D,4,0)</f>
        <v/>
      </c>
      <c r="E214" s="60">
        <f>VLOOKUP(Table_1[[#This Row],[AÇÕES]],'Classificação B3'!A:F,6,0)</f>
        <v/>
      </c>
      <c r="F214" s="60">
        <f>VLOOKUP(Table_1[[#This Row],[AÇÕES]],'Classificação B3'!A:G,7,0)</f>
        <v/>
      </c>
      <c r="G214" s="61">
        <f>VLOOKUP(Table_1[[#This Row],[AÇÕES]],'Dados Status Invest'!A:B,2,0)</f>
        <v/>
      </c>
      <c r="H214" s="62">
        <f>VLOOKUP(Table_1[[#This Row],[AÇÕES]],'Dados Status Invest'!A:C,3,0)/100</f>
        <v/>
      </c>
      <c r="I214" s="62">
        <f>VLOOKUP(Table_1[[#This Row],[AÇÕES]],'Dados Status Invest'!A:D,4,0)/100</f>
        <v/>
      </c>
      <c r="J214" s="63">
        <f>VLOOKUP(Table_1[[#This Row],[AÇÕES]],'Dados Status Invest'!A:AB,28,0)</f>
        <v/>
      </c>
      <c r="K214" s="63">
        <f>VLOOKUP(Table_1[[#This Row],[AÇÕES]],'Dados Status Invest'!A:AA,27,0)</f>
        <v/>
      </c>
      <c r="L214" s="63">
        <f>Table_1[[#This Row],[PREÇO]]*Table_1[[#This Row],[DY]]</f>
        <v/>
      </c>
      <c r="M214" s="62">
        <f>$E$13</f>
        <v/>
      </c>
      <c r="N214" s="62" t="n">
        <v>0.3</v>
      </c>
      <c r="O214" s="62">
        <f>Table_1[[#This Row],[DPA]]/Table_1[[#This Row],[LPA]]</f>
        <v/>
      </c>
      <c r="P214" s="62">
        <f>IF(Table_1[[#This Row],[PAYOUT]]&lt;=40%,"CRESCIMENTO",IF(Table_1[[#This Row],[PAYOUT]]&lt;=60%,"INDEFINIDO","DIVIDENDOS"))</f>
        <v/>
      </c>
      <c r="Q214" s="62">
        <f>VLOOKUP(Table_1[[#This Row],[AÇÕES]],'Dados Status Invest'!A:R,18,0)/100</f>
        <v/>
      </c>
      <c r="R214" s="62">
        <f>VLOOKUP(Table_1[[#This Row],[AÇÕES]],'Dados Status Invest'!A:Y,25,0)/100</f>
        <v/>
      </c>
      <c r="S214" s="62">
        <f>(1-Table_1[[#This Row],[PAYOUT]])*Table_1[[#This Row],[ROE]]</f>
        <v/>
      </c>
      <c r="T214" s="98">
        <f>AVERAGE(Table_1[[#This Row],[CAGR LUCRO 5A]],Table_1[[#This Row],[CRESCIMENTO DAMODARAN]])</f>
        <v/>
      </c>
      <c r="U214" s="64">
        <f>(Table_1[[#This Row],[PREÇO JUSTO BAZIN]]-Table_1[[#This Row],[PREÇO]])/Table_1[[#This Row],[PREÇO JUSTO BAZIN]]</f>
        <v/>
      </c>
      <c r="V214" s="129">
        <f>Table_1[[#This Row],[DPA]]/6%</f>
        <v/>
      </c>
      <c r="W214" s="129">
        <f>Table_1[[#This Row],[PREÇO JUSTO BAZIN]]/(1+Table_1[[#This Row],[MARGEM DE DESCONTO]])</f>
        <v/>
      </c>
      <c r="X214" s="64">
        <f>(Table_1[[#This Row],[PREÇO JUSTO GRAHAM]]-Table_1[[#This Row],[PREÇO]])/Table_1[[#This Row],[PREÇO JUSTO GRAHAM]]</f>
        <v/>
      </c>
      <c r="Y214" s="129">
        <f>(22.5*Table_1[[#This Row],[LPA]]*Table_1[[#This Row],[VPA]])^0.5</f>
        <v/>
      </c>
      <c r="Z214" s="129">
        <f>Table_1[[#This Row],[PREÇO JUSTO GRAHAM]]/(1+Table_1[[#This Row],[MARGEM DE DESCONTO]])</f>
        <v/>
      </c>
      <c r="AA214" s="64">
        <f>(Table_1[[#This Row],[PREÇO JUSTO GORDON]]-Table_1[[#This Row],[PREÇO]])/Table_1[[#This Row],[PREÇO JUSTO GORDON]]</f>
        <v/>
      </c>
      <c r="AB214" s="130">
        <f>Table_1[[#This Row],[DPA]]*(1+Table_1[[#This Row],[MÉDIA DE CRESCIMENTO]])</f>
        <v/>
      </c>
      <c r="AC214" s="130">
        <f>Table_1[[#This Row],[D1]]/(Table_1[[#This Row],[RISCO]]-Table_1[[#This Row],[MÉDIA DE CRESCIMENTO]])</f>
        <v/>
      </c>
      <c r="AD214" s="130">
        <f>Table_1[[#This Row],[PREÇO JUSTO GORDON]]/(1+Table_1[[#This Row],[MARGEM DE DESCONTO]])</f>
        <v/>
      </c>
      <c r="AE214" s="78">
        <f>Table_1[[#This Row],[P/L]]/Table_1[[#This Row],[MÉDIA DE CRESCIMENTO]]</f>
        <v/>
      </c>
    </row>
    <row r="215" ht="15.75" customHeight="1">
      <c r="B215" s="77">
        <f>'Dados Status Invest'!A201</f>
        <v/>
      </c>
      <c r="C215" s="60">
        <f>VLOOKUP(Table_1[[#This Row],[AÇÕES]],'Classificação B3'!A:B,2,0)</f>
        <v/>
      </c>
      <c r="D215" s="60">
        <f>VLOOKUP(Table_1[[#This Row],[AÇÕES]],'Classificação B3'!A:D,4,0)</f>
        <v/>
      </c>
      <c r="E215" s="60">
        <f>VLOOKUP(Table_1[[#This Row],[AÇÕES]],'Classificação B3'!A:F,6,0)</f>
        <v/>
      </c>
      <c r="F215" s="60">
        <f>VLOOKUP(Table_1[[#This Row],[AÇÕES]],'Classificação B3'!A:G,7,0)</f>
        <v/>
      </c>
      <c r="G215" s="61">
        <f>VLOOKUP(Table_1[[#This Row],[AÇÕES]],'Dados Status Invest'!A:B,2,0)</f>
        <v/>
      </c>
      <c r="H215" s="62">
        <f>VLOOKUP(Table_1[[#This Row],[AÇÕES]],'Dados Status Invest'!A:C,3,0)/100</f>
        <v/>
      </c>
      <c r="I215" s="62">
        <f>VLOOKUP(Table_1[[#This Row],[AÇÕES]],'Dados Status Invest'!A:D,4,0)/100</f>
        <v/>
      </c>
      <c r="J215" s="63">
        <f>VLOOKUP(Table_1[[#This Row],[AÇÕES]],'Dados Status Invest'!A:AB,28,0)</f>
        <v/>
      </c>
      <c r="K215" s="63">
        <f>VLOOKUP(Table_1[[#This Row],[AÇÕES]],'Dados Status Invest'!A:AA,27,0)</f>
        <v/>
      </c>
      <c r="L215" s="63">
        <f>Table_1[[#This Row],[PREÇO]]*Table_1[[#This Row],[DY]]</f>
        <v/>
      </c>
      <c r="M215" s="62">
        <f>$E$13</f>
        <v/>
      </c>
      <c r="N215" s="62" t="n">
        <v>0.3</v>
      </c>
      <c r="O215" s="62">
        <f>Table_1[[#This Row],[DPA]]/Table_1[[#This Row],[LPA]]</f>
        <v/>
      </c>
      <c r="P215" s="62">
        <f>IF(Table_1[[#This Row],[PAYOUT]]&lt;=40%,"CRESCIMENTO",IF(Table_1[[#This Row],[PAYOUT]]&lt;=60%,"INDEFINIDO","DIVIDENDOS"))</f>
        <v/>
      </c>
      <c r="Q215" s="62">
        <f>VLOOKUP(Table_1[[#This Row],[AÇÕES]],'Dados Status Invest'!A:R,18,0)/100</f>
        <v/>
      </c>
      <c r="R215" s="62">
        <f>VLOOKUP(Table_1[[#This Row],[AÇÕES]],'Dados Status Invest'!A:Y,25,0)/100</f>
        <v/>
      </c>
      <c r="S215" s="62">
        <f>(1-Table_1[[#This Row],[PAYOUT]])*Table_1[[#This Row],[ROE]]</f>
        <v/>
      </c>
      <c r="T215" s="98">
        <f>AVERAGE(Table_1[[#This Row],[CAGR LUCRO 5A]],Table_1[[#This Row],[CRESCIMENTO DAMODARAN]])</f>
        <v/>
      </c>
      <c r="U215" s="64">
        <f>(Table_1[[#This Row],[PREÇO JUSTO BAZIN]]-Table_1[[#This Row],[PREÇO]])/Table_1[[#This Row],[PREÇO JUSTO BAZIN]]</f>
        <v/>
      </c>
      <c r="V215" s="129">
        <f>Table_1[[#This Row],[DPA]]/6%</f>
        <v/>
      </c>
      <c r="W215" s="129">
        <f>Table_1[[#This Row],[PREÇO JUSTO BAZIN]]/(1+Table_1[[#This Row],[MARGEM DE DESCONTO]])</f>
        <v/>
      </c>
      <c r="X215" s="64">
        <f>(Table_1[[#This Row],[PREÇO JUSTO GRAHAM]]-Table_1[[#This Row],[PREÇO]])/Table_1[[#This Row],[PREÇO JUSTO GRAHAM]]</f>
        <v/>
      </c>
      <c r="Y215" s="129">
        <f>(22.5*Table_1[[#This Row],[LPA]]*Table_1[[#This Row],[VPA]])^0.5</f>
        <v/>
      </c>
      <c r="Z215" s="129">
        <f>Table_1[[#This Row],[PREÇO JUSTO GRAHAM]]/(1+Table_1[[#This Row],[MARGEM DE DESCONTO]])</f>
        <v/>
      </c>
      <c r="AA215" s="64">
        <f>(Table_1[[#This Row],[PREÇO JUSTO GORDON]]-Table_1[[#This Row],[PREÇO]])/Table_1[[#This Row],[PREÇO JUSTO GORDON]]</f>
        <v/>
      </c>
      <c r="AB215" s="130">
        <f>Table_1[[#This Row],[DPA]]*(1+Table_1[[#This Row],[MÉDIA DE CRESCIMENTO]])</f>
        <v/>
      </c>
      <c r="AC215" s="130">
        <f>Table_1[[#This Row],[D1]]/(Table_1[[#This Row],[RISCO]]-Table_1[[#This Row],[MÉDIA DE CRESCIMENTO]])</f>
        <v/>
      </c>
      <c r="AD215" s="130">
        <f>Table_1[[#This Row],[PREÇO JUSTO GORDON]]/(1+Table_1[[#This Row],[MARGEM DE DESCONTO]])</f>
        <v/>
      </c>
      <c r="AE215" s="78">
        <f>Table_1[[#This Row],[P/L]]/Table_1[[#This Row],[MÉDIA DE CRESCIMENTO]]</f>
        <v/>
      </c>
    </row>
    <row r="216" ht="15.75" customHeight="1">
      <c r="B216" s="77">
        <f>'Dados Status Invest'!A202</f>
        <v/>
      </c>
      <c r="C216" s="60">
        <f>VLOOKUP(Table_1[[#This Row],[AÇÕES]],'Classificação B3'!A:B,2,0)</f>
        <v/>
      </c>
      <c r="D216" s="60">
        <f>VLOOKUP(Table_1[[#This Row],[AÇÕES]],'Classificação B3'!A:D,4,0)</f>
        <v/>
      </c>
      <c r="E216" s="60">
        <f>VLOOKUP(Table_1[[#This Row],[AÇÕES]],'Classificação B3'!A:F,6,0)</f>
        <v/>
      </c>
      <c r="F216" s="60">
        <f>VLOOKUP(Table_1[[#This Row],[AÇÕES]],'Classificação B3'!A:G,7,0)</f>
        <v/>
      </c>
      <c r="G216" s="61">
        <f>VLOOKUP(Table_1[[#This Row],[AÇÕES]],'Dados Status Invest'!A:B,2,0)</f>
        <v/>
      </c>
      <c r="H216" s="62">
        <f>VLOOKUP(Table_1[[#This Row],[AÇÕES]],'Dados Status Invest'!A:C,3,0)/100</f>
        <v/>
      </c>
      <c r="I216" s="62">
        <f>VLOOKUP(Table_1[[#This Row],[AÇÕES]],'Dados Status Invest'!A:D,4,0)/100</f>
        <v/>
      </c>
      <c r="J216" s="63">
        <f>VLOOKUP(Table_1[[#This Row],[AÇÕES]],'Dados Status Invest'!A:AB,28,0)</f>
        <v/>
      </c>
      <c r="K216" s="63">
        <f>VLOOKUP(Table_1[[#This Row],[AÇÕES]],'Dados Status Invest'!A:AA,27,0)</f>
        <v/>
      </c>
      <c r="L216" s="63">
        <f>Table_1[[#This Row],[PREÇO]]*Table_1[[#This Row],[DY]]</f>
        <v/>
      </c>
      <c r="M216" s="62">
        <f>$E$13</f>
        <v/>
      </c>
      <c r="N216" s="62" t="n">
        <v>0.3</v>
      </c>
      <c r="O216" s="62">
        <f>Table_1[[#This Row],[DPA]]/Table_1[[#This Row],[LPA]]</f>
        <v/>
      </c>
      <c r="P216" s="62">
        <f>IF(Table_1[[#This Row],[PAYOUT]]&lt;=40%,"CRESCIMENTO",IF(Table_1[[#This Row],[PAYOUT]]&lt;=60%,"INDEFINIDO","DIVIDENDOS"))</f>
        <v/>
      </c>
      <c r="Q216" s="62">
        <f>VLOOKUP(Table_1[[#This Row],[AÇÕES]],'Dados Status Invest'!A:R,18,0)/100</f>
        <v/>
      </c>
      <c r="R216" s="62">
        <f>VLOOKUP(Table_1[[#This Row],[AÇÕES]],'Dados Status Invest'!A:Y,25,0)/100</f>
        <v/>
      </c>
      <c r="S216" s="62">
        <f>(1-Table_1[[#This Row],[PAYOUT]])*Table_1[[#This Row],[ROE]]</f>
        <v/>
      </c>
      <c r="T216" s="98">
        <f>AVERAGE(Table_1[[#This Row],[CAGR LUCRO 5A]],Table_1[[#This Row],[CRESCIMENTO DAMODARAN]])</f>
        <v/>
      </c>
      <c r="U216" s="64">
        <f>(Table_1[[#This Row],[PREÇO JUSTO BAZIN]]-Table_1[[#This Row],[PREÇO]])/Table_1[[#This Row],[PREÇO JUSTO BAZIN]]</f>
        <v/>
      </c>
      <c r="V216" s="129">
        <f>Table_1[[#This Row],[DPA]]/6%</f>
        <v/>
      </c>
      <c r="W216" s="129">
        <f>Table_1[[#This Row],[PREÇO JUSTO BAZIN]]/(1+Table_1[[#This Row],[MARGEM DE DESCONTO]])</f>
        <v/>
      </c>
      <c r="X216" s="64">
        <f>(Table_1[[#This Row],[PREÇO JUSTO GRAHAM]]-Table_1[[#This Row],[PREÇO]])/Table_1[[#This Row],[PREÇO JUSTO GRAHAM]]</f>
        <v/>
      </c>
      <c r="Y216" s="129">
        <f>(22.5*Table_1[[#This Row],[LPA]]*Table_1[[#This Row],[VPA]])^0.5</f>
        <v/>
      </c>
      <c r="Z216" s="129">
        <f>Table_1[[#This Row],[PREÇO JUSTO GRAHAM]]/(1+Table_1[[#This Row],[MARGEM DE DESCONTO]])</f>
        <v/>
      </c>
      <c r="AA216" s="64">
        <f>(Table_1[[#This Row],[PREÇO JUSTO GORDON]]-Table_1[[#This Row],[PREÇO]])/Table_1[[#This Row],[PREÇO JUSTO GORDON]]</f>
        <v/>
      </c>
      <c r="AB216" s="130">
        <f>Table_1[[#This Row],[DPA]]*(1+Table_1[[#This Row],[MÉDIA DE CRESCIMENTO]])</f>
        <v/>
      </c>
      <c r="AC216" s="130">
        <f>Table_1[[#This Row],[D1]]/(Table_1[[#This Row],[RISCO]]-Table_1[[#This Row],[MÉDIA DE CRESCIMENTO]])</f>
        <v/>
      </c>
      <c r="AD216" s="130">
        <f>Table_1[[#This Row],[PREÇO JUSTO GORDON]]/(1+Table_1[[#This Row],[MARGEM DE DESCONTO]])</f>
        <v/>
      </c>
      <c r="AE216" s="78">
        <f>Table_1[[#This Row],[P/L]]/Table_1[[#This Row],[MÉDIA DE CRESCIMENTO]]</f>
        <v/>
      </c>
    </row>
    <row r="217" ht="15.75" customHeight="1">
      <c r="B217" s="77">
        <f>'Dados Status Invest'!A203</f>
        <v/>
      </c>
      <c r="C217" s="60">
        <f>VLOOKUP(Table_1[[#This Row],[AÇÕES]],'Classificação B3'!A:B,2,0)</f>
        <v/>
      </c>
      <c r="D217" s="60">
        <f>VLOOKUP(Table_1[[#This Row],[AÇÕES]],'Classificação B3'!A:D,4,0)</f>
        <v/>
      </c>
      <c r="E217" s="60">
        <f>VLOOKUP(Table_1[[#This Row],[AÇÕES]],'Classificação B3'!A:F,6,0)</f>
        <v/>
      </c>
      <c r="F217" s="60">
        <f>VLOOKUP(Table_1[[#This Row],[AÇÕES]],'Classificação B3'!A:G,7,0)</f>
        <v/>
      </c>
      <c r="G217" s="61">
        <f>VLOOKUP(Table_1[[#This Row],[AÇÕES]],'Dados Status Invest'!A:B,2,0)</f>
        <v/>
      </c>
      <c r="H217" s="62">
        <f>VLOOKUP(Table_1[[#This Row],[AÇÕES]],'Dados Status Invest'!A:C,3,0)/100</f>
        <v/>
      </c>
      <c r="I217" s="62">
        <f>VLOOKUP(Table_1[[#This Row],[AÇÕES]],'Dados Status Invest'!A:D,4,0)/100</f>
        <v/>
      </c>
      <c r="J217" s="63">
        <f>VLOOKUP(Table_1[[#This Row],[AÇÕES]],'Dados Status Invest'!A:AB,28,0)</f>
        <v/>
      </c>
      <c r="K217" s="63">
        <f>VLOOKUP(Table_1[[#This Row],[AÇÕES]],'Dados Status Invest'!A:AA,27,0)</f>
        <v/>
      </c>
      <c r="L217" s="63">
        <f>Table_1[[#This Row],[PREÇO]]*Table_1[[#This Row],[DY]]</f>
        <v/>
      </c>
      <c r="M217" s="62">
        <f>$E$13</f>
        <v/>
      </c>
      <c r="N217" s="62" t="n">
        <v>0.3</v>
      </c>
      <c r="O217" s="62">
        <f>Table_1[[#This Row],[DPA]]/Table_1[[#This Row],[LPA]]</f>
        <v/>
      </c>
      <c r="P217" s="62">
        <f>IF(Table_1[[#This Row],[PAYOUT]]&lt;=40%,"CRESCIMENTO",IF(Table_1[[#This Row],[PAYOUT]]&lt;=60%,"INDEFINIDO","DIVIDENDOS"))</f>
        <v/>
      </c>
      <c r="Q217" s="62">
        <f>VLOOKUP(Table_1[[#This Row],[AÇÕES]],'Dados Status Invest'!A:R,18,0)/100</f>
        <v/>
      </c>
      <c r="R217" s="62">
        <f>VLOOKUP(Table_1[[#This Row],[AÇÕES]],'Dados Status Invest'!A:Y,25,0)/100</f>
        <v/>
      </c>
      <c r="S217" s="62">
        <f>(1-Table_1[[#This Row],[PAYOUT]])*Table_1[[#This Row],[ROE]]</f>
        <v/>
      </c>
      <c r="T217" s="98">
        <f>AVERAGE(Table_1[[#This Row],[CAGR LUCRO 5A]],Table_1[[#This Row],[CRESCIMENTO DAMODARAN]])</f>
        <v/>
      </c>
      <c r="U217" s="64">
        <f>(Table_1[[#This Row],[PREÇO JUSTO BAZIN]]-Table_1[[#This Row],[PREÇO]])/Table_1[[#This Row],[PREÇO JUSTO BAZIN]]</f>
        <v/>
      </c>
      <c r="V217" s="129">
        <f>Table_1[[#This Row],[DPA]]/6%</f>
        <v/>
      </c>
      <c r="W217" s="129">
        <f>Table_1[[#This Row],[PREÇO JUSTO BAZIN]]/(1+Table_1[[#This Row],[MARGEM DE DESCONTO]])</f>
        <v/>
      </c>
      <c r="X217" s="64">
        <f>(Table_1[[#This Row],[PREÇO JUSTO GRAHAM]]-Table_1[[#This Row],[PREÇO]])/Table_1[[#This Row],[PREÇO JUSTO GRAHAM]]</f>
        <v/>
      </c>
      <c r="Y217" s="129">
        <f>(22.5*Table_1[[#This Row],[LPA]]*Table_1[[#This Row],[VPA]])^0.5</f>
        <v/>
      </c>
      <c r="Z217" s="129">
        <f>Table_1[[#This Row],[PREÇO JUSTO GRAHAM]]/(1+Table_1[[#This Row],[MARGEM DE DESCONTO]])</f>
        <v/>
      </c>
      <c r="AA217" s="64">
        <f>(Table_1[[#This Row],[PREÇO JUSTO GORDON]]-Table_1[[#This Row],[PREÇO]])/Table_1[[#This Row],[PREÇO JUSTO GORDON]]</f>
        <v/>
      </c>
      <c r="AB217" s="130">
        <f>Table_1[[#This Row],[DPA]]*(1+Table_1[[#This Row],[MÉDIA DE CRESCIMENTO]])</f>
        <v/>
      </c>
      <c r="AC217" s="130">
        <f>Table_1[[#This Row],[D1]]/(Table_1[[#This Row],[RISCO]]-Table_1[[#This Row],[MÉDIA DE CRESCIMENTO]])</f>
        <v/>
      </c>
      <c r="AD217" s="130">
        <f>Table_1[[#This Row],[PREÇO JUSTO GORDON]]/(1+Table_1[[#This Row],[MARGEM DE DESCONTO]])</f>
        <v/>
      </c>
      <c r="AE217" s="78">
        <f>Table_1[[#This Row],[P/L]]/Table_1[[#This Row],[MÉDIA DE CRESCIMENTO]]</f>
        <v/>
      </c>
    </row>
    <row r="218" ht="15.75" customHeight="1">
      <c r="B218" s="77">
        <f>'Dados Status Invest'!A204</f>
        <v/>
      </c>
      <c r="C218" s="60">
        <f>VLOOKUP(Table_1[[#This Row],[AÇÕES]],'Classificação B3'!A:B,2,0)</f>
        <v/>
      </c>
      <c r="D218" s="60">
        <f>VLOOKUP(Table_1[[#This Row],[AÇÕES]],'Classificação B3'!A:D,4,0)</f>
        <v/>
      </c>
      <c r="E218" s="60">
        <f>VLOOKUP(Table_1[[#This Row],[AÇÕES]],'Classificação B3'!A:F,6,0)</f>
        <v/>
      </c>
      <c r="F218" s="60">
        <f>VLOOKUP(Table_1[[#This Row],[AÇÕES]],'Classificação B3'!A:G,7,0)</f>
        <v/>
      </c>
      <c r="G218" s="61">
        <f>VLOOKUP(Table_1[[#This Row],[AÇÕES]],'Dados Status Invest'!A:B,2,0)</f>
        <v/>
      </c>
      <c r="H218" s="62">
        <f>VLOOKUP(Table_1[[#This Row],[AÇÕES]],'Dados Status Invest'!A:C,3,0)/100</f>
        <v/>
      </c>
      <c r="I218" s="62">
        <f>VLOOKUP(Table_1[[#This Row],[AÇÕES]],'Dados Status Invest'!A:D,4,0)/100</f>
        <v/>
      </c>
      <c r="J218" s="63">
        <f>VLOOKUP(Table_1[[#This Row],[AÇÕES]],'Dados Status Invest'!A:AB,28,0)</f>
        <v/>
      </c>
      <c r="K218" s="63">
        <f>VLOOKUP(Table_1[[#This Row],[AÇÕES]],'Dados Status Invest'!A:AA,27,0)</f>
        <v/>
      </c>
      <c r="L218" s="63">
        <f>Table_1[[#This Row],[PREÇO]]*Table_1[[#This Row],[DY]]</f>
        <v/>
      </c>
      <c r="M218" s="62">
        <f>$E$13</f>
        <v/>
      </c>
      <c r="N218" s="62" t="n">
        <v>0.3</v>
      </c>
      <c r="O218" s="62">
        <f>Table_1[[#This Row],[DPA]]/Table_1[[#This Row],[LPA]]</f>
        <v/>
      </c>
      <c r="P218" s="62">
        <f>IF(Table_1[[#This Row],[PAYOUT]]&lt;=40%,"CRESCIMENTO",IF(Table_1[[#This Row],[PAYOUT]]&lt;=60%,"INDEFINIDO","DIVIDENDOS"))</f>
        <v/>
      </c>
      <c r="Q218" s="62">
        <f>VLOOKUP(Table_1[[#This Row],[AÇÕES]],'Dados Status Invest'!A:R,18,0)/100</f>
        <v/>
      </c>
      <c r="R218" s="62">
        <f>VLOOKUP(Table_1[[#This Row],[AÇÕES]],'Dados Status Invest'!A:Y,25,0)/100</f>
        <v/>
      </c>
      <c r="S218" s="62">
        <f>(1-Table_1[[#This Row],[PAYOUT]])*Table_1[[#This Row],[ROE]]</f>
        <v/>
      </c>
      <c r="T218" s="98">
        <f>AVERAGE(Table_1[[#This Row],[CAGR LUCRO 5A]],Table_1[[#This Row],[CRESCIMENTO DAMODARAN]])</f>
        <v/>
      </c>
      <c r="U218" s="64">
        <f>(Table_1[[#This Row],[PREÇO JUSTO BAZIN]]-Table_1[[#This Row],[PREÇO]])/Table_1[[#This Row],[PREÇO JUSTO BAZIN]]</f>
        <v/>
      </c>
      <c r="V218" s="129">
        <f>Table_1[[#This Row],[DPA]]/6%</f>
        <v/>
      </c>
      <c r="W218" s="129">
        <f>Table_1[[#This Row],[PREÇO JUSTO BAZIN]]/(1+Table_1[[#This Row],[MARGEM DE DESCONTO]])</f>
        <v/>
      </c>
      <c r="X218" s="64">
        <f>(Table_1[[#This Row],[PREÇO JUSTO GRAHAM]]-Table_1[[#This Row],[PREÇO]])/Table_1[[#This Row],[PREÇO JUSTO GRAHAM]]</f>
        <v/>
      </c>
      <c r="Y218" s="129">
        <f>(22.5*Table_1[[#This Row],[LPA]]*Table_1[[#This Row],[VPA]])^0.5</f>
        <v/>
      </c>
      <c r="Z218" s="129">
        <f>Table_1[[#This Row],[PREÇO JUSTO GRAHAM]]/(1+Table_1[[#This Row],[MARGEM DE DESCONTO]])</f>
        <v/>
      </c>
      <c r="AA218" s="64">
        <f>(Table_1[[#This Row],[PREÇO JUSTO GORDON]]-Table_1[[#This Row],[PREÇO]])/Table_1[[#This Row],[PREÇO JUSTO GORDON]]</f>
        <v/>
      </c>
      <c r="AB218" s="130">
        <f>Table_1[[#This Row],[DPA]]*(1+Table_1[[#This Row],[MÉDIA DE CRESCIMENTO]])</f>
        <v/>
      </c>
      <c r="AC218" s="130">
        <f>Table_1[[#This Row],[D1]]/(Table_1[[#This Row],[RISCO]]-Table_1[[#This Row],[MÉDIA DE CRESCIMENTO]])</f>
        <v/>
      </c>
      <c r="AD218" s="130">
        <f>Table_1[[#This Row],[PREÇO JUSTO GORDON]]/(1+Table_1[[#This Row],[MARGEM DE DESCONTO]])</f>
        <v/>
      </c>
      <c r="AE218" s="78">
        <f>Table_1[[#This Row],[P/L]]/Table_1[[#This Row],[MÉDIA DE CRESCIMENTO]]</f>
        <v/>
      </c>
    </row>
    <row r="219" ht="15.75" customHeight="1">
      <c r="B219" s="77">
        <f>'Dados Status Invest'!A205</f>
        <v/>
      </c>
      <c r="C219" s="60">
        <f>VLOOKUP(Table_1[[#This Row],[AÇÕES]],'Classificação B3'!A:B,2,0)</f>
        <v/>
      </c>
      <c r="D219" s="60">
        <f>VLOOKUP(Table_1[[#This Row],[AÇÕES]],'Classificação B3'!A:D,4,0)</f>
        <v/>
      </c>
      <c r="E219" s="60">
        <f>VLOOKUP(Table_1[[#This Row],[AÇÕES]],'Classificação B3'!A:F,6,0)</f>
        <v/>
      </c>
      <c r="F219" s="60">
        <f>VLOOKUP(Table_1[[#This Row],[AÇÕES]],'Classificação B3'!A:G,7,0)</f>
        <v/>
      </c>
      <c r="G219" s="61">
        <f>VLOOKUP(Table_1[[#This Row],[AÇÕES]],'Dados Status Invest'!A:B,2,0)</f>
        <v/>
      </c>
      <c r="H219" s="62">
        <f>VLOOKUP(Table_1[[#This Row],[AÇÕES]],'Dados Status Invest'!A:C,3,0)/100</f>
        <v/>
      </c>
      <c r="I219" s="62">
        <f>VLOOKUP(Table_1[[#This Row],[AÇÕES]],'Dados Status Invest'!A:D,4,0)/100</f>
        <v/>
      </c>
      <c r="J219" s="63">
        <f>VLOOKUP(Table_1[[#This Row],[AÇÕES]],'Dados Status Invest'!A:AB,28,0)</f>
        <v/>
      </c>
      <c r="K219" s="63">
        <f>VLOOKUP(Table_1[[#This Row],[AÇÕES]],'Dados Status Invest'!A:AA,27,0)</f>
        <v/>
      </c>
      <c r="L219" s="63">
        <f>Table_1[[#This Row],[PREÇO]]*Table_1[[#This Row],[DY]]</f>
        <v/>
      </c>
      <c r="M219" s="62">
        <f>$E$13</f>
        <v/>
      </c>
      <c r="N219" s="62" t="n">
        <v>0.3</v>
      </c>
      <c r="O219" s="62">
        <f>Table_1[[#This Row],[DPA]]/Table_1[[#This Row],[LPA]]</f>
        <v/>
      </c>
      <c r="P219" s="62">
        <f>IF(Table_1[[#This Row],[PAYOUT]]&lt;=40%,"CRESCIMENTO",IF(Table_1[[#This Row],[PAYOUT]]&lt;=60%,"INDEFINIDO","DIVIDENDOS"))</f>
        <v/>
      </c>
      <c r="Q219" s="62">
        <f>VLOOKUP(Table_1[[#This Row],[AÇÕES]],'Dados Status Invest'!A:R,18,0)/100</f>
        <v/>
      </c>
      <c r="R219" s="62">
        <f>VLOOKUP(Table_1[[#This Row],[AÇÕES]],'Dados Status Invest'!A:Y,25,0)/100</f>
        <v/>
      </c>
      <c r="S219" s="62">
        <f>(1-Table_1[[#This Row],[PAYOUT]])*Table_1[[#This Row],[ROE]]</f>
        <v/>
      </c>
      <c r="T219" s="98">
        <f>AVERAGE(Table_1[[#This Row],[CAGR LUCRO 5A]],Table_1[[#This Row],[CRESCIMENTO DAMODARAN]])</f>
        <v/>
      </c>
      <c r="U219" s="64">
        <f>(Table_1[[#This Row],[PREÇO JUSTO BAZIN]]-Table_1[[#This Row],[PREÇO]])/Table_1[[#This Row],[PREÇO JUSTO BAZIN]]</f>
        <v/>
      </c>
      <c r="V219" s="129">
        <f>Table_1[[#This Row],[DPA]]/6%</f>
        <v/>
      </c>
      <c r="W219" s="129">
        <f>Table_1[[#This Row],[PREÇO JUSTO BAZIN]]/(1+Table_1[[#This Row],[MARGEM DE DESCONTO]])</f>
        <v/>
      </c>
      <c r="X219" s="64">
        <f>(Table_1[[#This Row],[PREÇO JUSTO GRAHAM]]-Table_1[[#This Row],[PREÇO]])/Table_1[[#This Row],[PREÇO JUSTO GRAHAM]]</f>
        <v/>
      </c>
      <c r="Y219" s="129">
        <f>(22.5*Table_1[[#This Row],[LPA]]*Table_1[[#This Row],[VPA]])^0.5</f>
        <v/>
      </c>
      <c r="Z219" s="129">
        <f>Table_1[[#This Row],[PREÇO JUSTO GRAHAM]]/(1+Table_1[[#This Row],[MARGEM DE DESCONTO]])</f>
        <v/>
      </c>
      <c r="AA219" s="64">
        <f>(Table_1[[#This Row],[PREÇO JUSTO GORDON]]-Table_1[[#This Row],[PREÇO]])/Table_1[[#This Row],[PREÇO JUSTO GORDON]]</f>
        <v/>
      </c>
      <c r="AB219" s="130">
        <f>Table_1[[#This Row],[DPA]]*(1+Table_1[[#This Row],[MÉDIA DE CRESCIMENTO]])</f>
        <v/>
      </c>
      <c r="AC219" s="130">
        <f>Table_1[[#This Row],[D1]]/(Table_1[[#This Row],[RISCO]]-Table_1[[#This Row],[MÉDIA DE CRESCIMENTO]])</f>
        <v/>
      </c>
      <c r="AD219" s="130">
        <f>Table_1[[#This Row],[PREÇO JUSTO GORDON]]/(1+Table_1[[#This Row],[MARGEM DE DESCONTO]])</f>
        <v/>
      </c>
      <c r="AE219" s="78">
        <f>Table_1[[#This Row],[P/L]]/Table_1[[#This Row],[MÉDIA DE CRESCIMENTO]]</f>
        <v/>
      </c>
    </row>
    <row r="220" ht="15.75" customHeight="1">
      <c r="B220" s="77">
        <f>'Dados Status Invest'!A206</f>
        <v/>
      </c>
      <c r="C220" s="60">
        <f>VLOOKUP(Table_1[[#This Row],[AÇÕES]],'Classificação B3'!A:B,2,0)</f>
        <v/>
      </c>
      <c r="D220" s="60">
        <f>VLOOKUP(Table_1[[#This Row],[AÇÕES]],'Classificação B3'!A:D,4,0)</f>
        <v/>
      </c>
      <c r="E220" s="60">
        <f>VLOOKUP(Table_1[[#This Row],[AÇÕES]],'Classificação B3'!A:F,6,0)</f>
        <v/>
      </c>
      <c r="F220" s="60">
        <f>VLOOKUP(Table_1[[#This Row],[AÇÕES]],'Classificação B3'!A:G,7,0)</f>
        <v/>
      </c>
      <c r="G220" s="61">
        <f>VLOOKUP(Table_1[[#This Row],[AÇÕES]],'Dados Status Invest'!A:B,2,0)</f>
        <v/>
      </c>
      <c r="H220" s="62">
        <f>VLOOKUP(Table_1[[#This Row],[AÇÕES]],'Dados Status Invest'!A:C,3,0)/100</f>
        <v/>
      </c>
      <c r="I220" s="62">
        <f>VLOOKUP(Table_1[[#This Row],[AÇÕES]],'Dados Status Invest'!A:D,4,0)/100</f>
        <v/>
      </c>
      <c r="J220" s="63">
        <f>VLOOKUP(Table_1[[#This Row],[AÇÕES]],'Dados Status Invest'!A:AB,28,0)</f>
        <v/>
      </c>
      <c r="K220" s="63">
        <f>VLOOKUP(Table_1[[#This Row],[AÇÕES]],'Dados Status Invest'!A:AA,27,0)</f>
        <v/>
      </c>
      <c r="L220" s="63">
        <f>Table_1[[#This Row],[PREÇO]]*Table_1[[#This Row],[DY]]</f>
        <v/>
      </c>
      <c r="M220" s="62">
        <f>$E$13</f>
        <v/>
      </c>
      <c r="N220" s="62" t="n">
        <v>0.3</v>
      </c>
      <c r="O220" s="62">
        <f>Table_1[[#This Row],[DPA]]/Table_1[[#This Row],[LPA]]</f>
        <v/>
      </c>
      <c r="P220" s="62">
        <f>IF(Table_1[[#This Row],[PAYOUT]]&lt;=40%,"CRESCIMENTO",IF(Table_1[[#This Row],[PAYOUT]]&lt;=60%,"INDEFINIDO","DIVIDENDOS"))</f>
        <v/>
      </c>
      <c r="Q220" s="62">
        <f>VLOOKUP(Table_1[[#This Row],[AÇÕES]],'Dados Status Invest'!A:R,18,0)/100</f>
        <v/>
      </c>
      <c r="R220" s="62">
        <f>VLOOKUP(Table_1[[#This Row],[AÇÕES]],'Dados Status Invest'!A:Y,25,0)/100</f>
        <v/>
      </c>
      <c r="S220" s="62">
        <f>(1-Table_1[[#This Row],[PAYOUT]])*Table_1[[#This Row],[ROE]]</f>
        <v/>
      </c>
      <c r="T220" s="98">
        <f>AVERAGE(Table_1[[#This Row],[CAGR LUCRO 5A]],Table_1[[#This Row],[CRESCIMENTO DAMODARAN]])</f>
        <v/>
      </c>
      <c r="U220" s="64">
        <f>(Table_1[[#This Row],[PREÇO JUSTO BAZIN]]-Table_1[[#This Row],[PREÇO]])/Table_1[[#This Row],[PREÇO JUSTO BAZIN]]</f>
        <v/>
      </c>
      <c r="V220" s="129">
        <f>Table_1[[#This Row],[DPA]]/6%</f>
        <v/>
      </c>
      <c r="W220" s="129">
        <f>Table_1[[#This Row],[PREÇO JUSTO BAZIN]]/(1+Table_1[[#This Row],[MARGEM DE DESCONTO]])</f>
        <v/>
      </c>
      <c r="X220" s="64">
        <f>(Table_1[[#This Row],[PREÇO JUSTO GRAHAM]]-Table_1[[#This Row],[PREÇO]])/Table_1[[#This Row],[PREÇO JUSTO GRAHAM]]</f>
        <v/>
      </c>
      <c r="Y220" s="129">
        <f>(22.5*Table_1[[#This Row],[LPA]]*Table_1[[#This Row],[VPA]])^0.5</f>
        <v/>
      </c>
      <c r="Z220" s="129">
        <f>Table_1[[#This Row],[PREÇO JUSTO GRAHAM]]/(1+Table_1[[#This Row],[MARGEM DE DESCONTO]])</f>
        <v/>
      </c>
      <c r="AA220" s="64">
        <f>(Table_1[[#This Row],[PREÇO JUSTO GORDON]]-Table_1[[#This Row],[PREÇO]])/Table_1[[#This Row],[PREÇO JUSTO GORDON]]</f>
        <v/>
      </c>
      <c r="AB220" s="130">
        <f>Table_1[[#This Row],[DPA]]*(1+Table_1[[#This Row],[MÉDIA DE CRESCIMENTO]])</f>
        <v/>
      </c>
      <c r="AC220" s="130">
        <f>Table_1[[#This Row],[D1]]/(Table_1[[#This Row],[RISCO]]-Table_1[[#This Row],[MÉDIA DE CRESCIMENTO]])</f>
        <v/>
      </c>
      <c r="AD220" s="130">
        <f>Table_1[[#This Row],[PREÇO JUSTO GORDON]]/(1+Table_1[[#This Row],[MARGEM DE DESCONTO]])</f>
        <v/>
      </c>
      <c r="AE220" s="78">
        <f>Table_1[[#This Row],[P/L]]/Table_1[[#This Row],[MÉDIA DE CRESCIMENTO]]</f>
        <v/>
      </c>
    </row>
    <row r="221" ht="15.75" customHeight="1">
      <c r="B221" s="77">
        <f>'Dados Status Invest'!A207</f>
        <v/>
      </c>
      <c r="C221" s="60">
        <f>VLOOKUP(Table_1[[#This Row],[AÇÕES]],'Classificação B3'!A:B,2,0)</f>
        <v/>
      </c>
      <c r="D221" s="60">
        <f>VLOOKUP(Table_1[[#This Row],[AÇÕES]],'Classificação B3'!A:D,4,0)</f>
        <v/>
      </c>
      <c r="E221" s="60">
        <f>VLOOKUP(Table_1[[#This Row],[AÇÕES]],'Classificação B3'!A:F,6,0)</f>
        <v/>
      </c>
      <c r="F221" s="60">
        <f>VLOOKUP(Table_1[[#This Row],[AÇÕES]],'Classificação B3'!A:G,7,0)</f>
        <v/>
      </c>
      <c r="G221" s="61">
        <f>VLOOKUP(Table_1[[#This Row],[AÇÕES]],'Dados Status Invest'!A:B,2,0)</f>
        <v/>
      </c>
      <c r="H221" s="62">
        <f>VLOOKUP(Table_1[[#This Row],[AÇÕES]],'Dados Status Invest'!A:C,3,0)/100</f>
        <v/>
      </c>
      <c r="I221" s="62">
        <f>VLOOKUP(Table_1[[#This Row],[AÇÕES]],'Dados Status Invest'!A:D,4,0)/100</f>
        <v/>
      </c>
      <c r="J221" s="63">
        <f>VLOOKUP(Table_1[[#This Row],[AÇÕES]],'Dados Status Invest'!A:AB,28,0)</f>
        <v/>
      </c>
      <c r="K221" s="63">
        <f>VLOOKUP(Table_1[[#This Row],[AÇÕES]],'Dados Status Invest'!A:AA,27,0)</f>
        <v/>
      </c>
      <c r="L221" s="63">
        <f>Table_1[[#This Row],[PREÇO]]*Table_1[[#This Row],[DY]]</f>
        <v/>
      </c>
      <c r="M221" s="62">
        <f>$E$13</f>
        <v/>
      </c>
      <c r="N221" s="62" t="n">
        <v>0.3</v>
      </c>
      <c r="O221" s="62">
        <f>Table_1[[#This Row],[DPA]]/Table_1[[#This Row],[LPA]]</f>
        <v/>
      </c>
      <c r="P221" s="62">
        <f>IF(Table_1[[#This Row],[PAYOUT]]&lt;=40%,"CRESCIMENTO",IF(Table_1[[#This Row],[PAYOUT]]&lt;=60%,"INDEFINIDO","DIVIDENDOS"))</f>
        <v/>
      </c>
      <c r="Q221" s="62">
        <f>VLOOKUP(Table_1[[#This Row],[AÇÕES]],'Dados Status Invest'!A:R,18,0)/100</f>
        <v/>
      </c>
      <c r="R221" s="62">
        <f>VLOOKUP(Table_1[[#This Row],[AÇÕES]],'Dados Status Invest'!A:Y,25,0)/100</f>
        <v/>
      </c>
      <c r="S221" s="62">
        <f>(1-Table_1[[#This Row],[PAYOUT]])*Table_1[[#This Row],[ROE]]</f>
        <v/>
      </c>
      <c r="T221" s="98">
        <f>AVERAGE(Table_1[[#This Row],[CAGR LUCRO 5A]],Table_1[[#This Row],[CRESCIMENTO DAMODARAN]])</f>
        <v/>
      </c>
      <c r="U221" s="64">
        <f>(Table_1[[#This Row],[PREÇO JUSTO BAZIN]]-Table_1[[#This Row],[PREÇO]])/Table_1[[#This Row],[PREÇO JUSTO BAZIN]]</f>
        <v/>
      </c>
      <c r="V221" s="129">
        <f>Table_1[[#This Row],[DPA]]/6%</f>
        <v/>
      </c>
      <c r="W221" s="129">
        <f>Table_1[[#This Row],[PREÇO JUSTO BAZIN]]/(1+Table_1[[#This Row],[MARGEM DE DESCONTO]])</f>
        <v/>
      </c>
      <c r="X221" s="64">
        <f>(Table_1[[#This Row],[PREÇO JUSTO GRAHAM]]-Table_1[[#This Row],[PREÇO]])/Table_1[[#This Row],[PREÇO JUSTO GRAHAM]]</f>
        <v/>
      </c>
      <c r="Y221" s="129">
        <f>(22.5*Table_1[[#This Row],[LPA]]*Table_1[[#This Row],[VPA]])^0.5</f>
        <v/>
      </c>
      <c r="Z221" s="129">
        <f>Table_1[[#This Row],[PREÇO JUSTO GRAHAM]]/(1+Table_1[[#This Row],[MARGEM DE DESCONTO]])</f>
        <v/>
      </c>
      <c r="AA221" s="64">
        <f>(Table_1[[#This Row],[PREÇO JUSTO GORDON]]-Table_1[[#This Row],[PREÇO]])/Table_1[[#This Row],[PREÇO JUSTO GORDON]]</f>
        <v/>
      </c>
      <c r="AB221" s="130">
        <f>Table_1[[#This Row],[DPA]]*(1+Table_1[[#This Row],[MÉDIA DE CRESCIMENTO]])</f>
        <v/>
      </c>
      <c r="AC221" s="130">
        <f>Table_1[[#This Row],[D1]]/(Table_1[[#This Row],[RISCO]]-Table_1[[#This Row],[MÉDIA DE CRESCIMENTO]])</f>
        <v/>
      </c>
      <c r="AD221" s="130">
        <f>Table_1[[#This Row],[PREÇO JUSTO GORDON]]/(1+Table_1[[#This Row],[MARGEM DE DESCONTO]])</f>
        <v/>
      </c>
      <c r="AE221" s="78">
        <f>Table_1[[#This Row],[P/L]]/Table_1[[#This Row],[MÉDIA DE CRESCIMENTO]]</f>
        <v/>
      </c>
    </row>
    <row r="222" ht="15.75" customHeight="1">
      <c r="B222" s="77">
        <f>'Dados Status Invest'!A208</f>
        <v/>
      </c>
      <c r="C222" s="60">
        <f>VLOOKUP(Table_1[[#This Row],[AÇÕES]],'Classificação B3'!A:B,2,0)</f>
        <v/>
      </c>
      <c r="D222" s="60">
        <f>VLOOKUP(Table_1[[#This Row],[AÇÕES]],'Classificação B3'!A:D,4,0)</f>
        <v/>
      </c>
      <c r="E222" s="60">
        <f>VLOOKUP(Table_1[[#This Row],[AÇÕES]],'Classificação B3'!A:F,6,0)</f>
        <v/>
      </c>
      <c r="F222" s="60">
        <f>VLOOKUP(Table_1[[#This Row],[AÇÕES]],'Classificação B3'!A:G,7,0)</f>
        <v/>
      </c>
      <c r="G222" s="61">
        <f>VLOOKUP(Table_1[[#This Row],[AÇÕES]],'Dados Status Invest'!A:B,2,0)</f>
        <v/>
      </c>
      <c r="H222" s="62">
        <f>VLOOKUP(Table_1[[#This Row],[AÇÕES]],'Dados Status Invest'!A:C,3,0)/100</f>
        <v/>
      </c>
      <c r="I222" s="62">
        <f>VLOOKUP(Table_1[[#This Row],[AÇÕES]],'Dados Status Invest'!A:D,4,0)/100</f>
        <v/>
      </c>
      <c r="J222" s="63">
        <f>VLOOKUP(Table_1[[#This Row],[AÇÕES]],'Dados Status Invest'!A:AB,28,0)</f>
        <v/>
      </c>
      <c r="K222" s="63">
        <f>VLOOKUP(Table_1[[#This Row],[AÇÕES]],'Dados Status Invest'!A:AA,27,0)</f>
        <v/>
      </c>
      <c r="L222" s="63">
        <f>Table_1[[#This Row],[PREÇO]]*Table_1[[#This Row],[DY]]</f>
        <v/>
      </c>
      <c r="M222" s="62">
        <f>$E$13</f>
        <v/>
      </c>
      <c r="N222" s="62" t="n">
        <v>0.3</v>
      </c>
      <c r="O222" s="62">
        <f>Table_1[[#This Row],[DPA]]/Table_1[[#This Row],[LPA]]</f>
        <v/>
      </c>
      <c r="P222" s="62">
        <f>IF(Table_1[[#This Row],[PAYOUT]]&lt;=40%,"CRESCIMENTO",IF(Table_1[[#This Row],[PAYOUT]]&lt;=60%,"INDEFINIDO","DIVIDENDOS"))</f>
        <v/>
      </c>
      <c r="Q222" s="62">
        <f>VLOOKUP(Table_1[[#This Row],[AÇÕES]],'Dados Status Invest'!A:R,18,0)/100</f>
        <v/>
      </c>
      <c r="R222" s="62">
        <f>VLOOKUP(Table_1[[#This Row],[AÇÕES]],'Dados Status Invest'!A:Y,25,0)/100</f>
        <v/>
      </c>
      <c r="S222" s="62">
        <f>(1-Table_1[[#This Row],[PAYOUT]])*Table_1[[#This Row],[ROE]]</f>
        <v/>
      </c>
      <c r="T222" s="98">
        <f>AVERAGE(Table_1[[#This Row],[CAGR LUCRO 5A]],Table_1[[#This Row],[CRESCIMENTO DAMODARAN]])</f>
        <v/>
      </c>
      <c r="U222" s="64">
        <f>(Table_1[[#This Row],[PREÇO JUSTO BAZIN]]-Table_1[[#This Row],[PREÇO]])/Table_1[[#This Row],[PREÇO JUSTO BAZIN]]</f>
        <v/>
      </c>
      <c r="V222" s="129">
        <f>Table_1[[#This Row],[DPA]]/6%</f>
        <v/>
      </c>
      <c r="W222" s="129">
        <f>Table_1[[#This Row],[PREÇO JUSTO BAZIN]]/(1+Table_1[[#This Row],[MARGEM DE DESCONTO]])</f>
        <v/>
      </c>
      <c r="X222" s="64">
        <f>(Table_1[[#This Row],[PREÇO JUSTO GRAHAM]]-Table_1[[#This Row],[PREÇO]])/Table_1[[#This Row],[PREÇO JUSTO GRAHAM]]</f>
        <v/>
      </c>
      <c r="Y222" s="129">
        <f>(22.5*Table_1[[#This Row],[LPA]]*Table_1[[#This Row],[VPA]])^0.5</f>
        <v/>
      </c>
      <c r="Z222" s="129">
        <f>Table_1[[#This Row],[PREÇO JUSTO GRAHAM]]/(1+Table_1[[#This Row],[MARGEM DE DESCONTO]])</f>
        <v/>
      </c>
      <c r="AA222" s="64">
        <f>(Table_1[[#This Row],[PREÇO JUSTO GORDON]]-Table_1[[#This Row],[PREÇO]])/Table_1[[#This Row],[PREÇO JUSTO GORDON]]</f>
        <v/>
      </c>
      <c r="AB222" s="130">
        <f>Table_1[[#This Row],[DPA]]*(1+Table_1[[#This Row],[MÉDIA DE CRESCIMENTO]])</f>
        <v/>
      </c>
      <c r="AC222" s="130">
        <f>Table_1[[#This Row],[D1]]/(Table_1[[#This Row],[RISCO]]-Table_1[[#This Row],[MÉDIA DE CRESCIMENTO]])</f>
        <v/>
      </c>
      <c r="AD222" s="130">
        <f>Table_1[[#This Row],[PREÇO JUSTO GORDON]]/(1+Table_1[[#This Row],[MARGEM DE DESCONTO]])</f>
        <v/>
      </c>
      <c r="AE222" s="78">
        <f>Table_1[[#This Row],[P/L]]/Table_1[[#This Row],[MÉDIA DE CRESCIMENTO]]</f>
        <v/>
      </c>
    </row>
    <row r="223" ht="15.75" customHeight="1">
      <c r="B223" s="77">
        <f>'Dados Status Invest'!A209</f>
        <v/>
      </c>
      <c r="C223" s="60">
        <f>VLOOKUP(Table_1[[#This Row],[AÇÕES]],'Classificação B3'!A:B,2,0)</f>
        <v/>
      </c>
      <c r="D223" s="60">
        <f>VLOOKUP(Table_1[[#This Row],[AÇÕES]],'Classificação B3'!A:D,4,0)</f>
        <v/>
      </c>
      <c r="E223" s="60">
        <f>VLOOKUP(Table_1[[#This Row],[AÇÕES]],'Classificação B3'!A:F,6,0)</f>
        <v/>
      </c>
      <c r="F223" s="60">
        <f>VLOOKUP(Table_1[[#This Row],[AÇÕES]],'Classificação B3'!A:G,7,0)</f>
        <v/>
      </c>
      <c r="G223" s="61">
        <f>VLOOKUP(Table_1[[#This Row],[AÇÕES]],'Dados Status Invest'!A:B,2,0)</f>
        <v/>
      </c>
      <c r="H223" s="62">
        <f>VLOOKUP(Table_1[[#This Row],[AÇÕES]],'Dados Status Invest'!A:C,3,0)/100</f>
        <v/>
      </c>
      <c r="I223" s="62">
        <f>VLOOKUP(Table_1[[#This Row],[AÇÕES]],'Dados Status Invest'!A:D,4,0)/100</f>
        <v/>
      </c>
      <c r="J223" s="63">
        <f>VLOOKUP(Table_1[[#This Row],[AÇÕES]],'Dados Status Invest'!A:AB,28,0)</f>
        <v/>
      </c>
      <c r="K223" s="63">
        <f>VLOOKUP(Table_1[[#This Row],[AÇÕES]],'Dados Status Invest'!A:AA,27,0)</f>
        <v/>
      </c>
      <c r="L223" s="63">
        <f>Table_1[[#This Row],[PREÇO]]*Table_1[[#This Row],[DY]]</f>
        <v/>
      </c>
      <c r="M223" s="62">
        <f>$E$13</f>
        <v/>
      </c>
      <c r="N223" s="62" t="n">
        <v>0.3</v>
      </c>
      <c r="O223" s="62">
        <f>Table_1[[#This Row],[DPA]]/Table_1[[#This Row],[LPA]]</f>
        <v/>
      </c>
      <c r="P223" s="62">
        <f>IF(Table_1[[#This Row],[PAYOUT]]&lt;=40%,"CRESCIMENTO",IF(Table_1[[#This Row],[PAYOUT]]&lt;=60%,"INDEFINIDO","DIVIDENDOS"))</f>
        <v/>
      </c>
      <c r="Q223" s="62">
        <f>VLOOKUP(Table_1[[#This Row],[AÇÕES]],'Dados Status Invest'!A:R,18,0)/100</f>
        <v/>
      </c>
      <c r="R223" s="62">
        <f>VLOOKUP(Table_1[[#This Row],[AÇÕES]],'Dados Status Invest'!A:Y,25,0)/100</f>
        <v/>
      </c>
      <c r="S223" s="62">
        <f>(1-Table_1[[#This Row],[PAYOUT]])*Table_1[[#This Row],[ROE]]</f>
        <v/>
      </c>
      <c r="T223" s="98">
        <f>AVERAGE(Table_1[[#This Row],[CAGR LUCRO 5A]],Table_1[[#This Row],[CRESCIMENTO DAMODARAN]])</f>
        <v/>
      </c>
      <c r="U223" s="64">
        <f>(Table_1[[#This Row],[PREÇO JUSTO BAZIN]]-Table_1[[#This Row],[PREÇO]])/Table_1[[#This Row],[PREÇO JUSTO BAZIN]]</f>
        <v/>
      </c>
      <c r="V223" s="129">
        <f>Table_1[[#This Row],[DPA]]/6%</f>
        <v/>
      </c>
      <c r="W223" s="129">
        <f>Table_1[[#This Row],[PREÇO JUSTO BAZIN]]/(1+Table_1[[#This Row],[MARGEM DE DESCONTO]])</f>
        <v/>
      </c>
      <c r="X223" s="64">
        <f>(Table_1[[#This Row],[PREÇO JUSTO GRAHAM]]-Table_1[[#This Row],[PREÇO]])/Table_1[[#This Row],[PREÇO JUSTO GRAHAM]]</f>
        <v/>
      </c>
      <c r="Y223" s="129">
        <f>(22.5*Table_1[[#This Row],[LPA]]*Table_1[[#This Row],[VPA]])^0.5</f>
        <v/>
      </c>
      <c r="Z223" s="129">
        <f>Table_1[[#This Row],[PREÇO JUSTO GRAHAM]]/(1+Table_1[[#This Row],[MARGEM DE DESCONTO]])</f>
        <v/>
      </c>
      <c r="AA223" s="64">
        <f>(Table_1[[#This Row],[PREÇO JUSTO GORDON]]-Table_1[[#This Row],[PREÇO]])/Table_1[[#This Row],[PREÇO JUSTO GORDON]]</f>
        <v/>
      </c>
      <c r="AB223" s="130">
        <f>Table_1[[#This Row],[DPA]]*(1+Table_1[[#This Row],[MÉDIA DE CRESCIMENTO]])</f>
        <v/>
      </c>
      <c r="AC223" s="130">
        <f>Table_1[[#This Row],[D1]]/(Table_1[[#This Row],[RISCO]]-Table_1[[#This Row],[MÉDIA DE CRESCIMENTO]])</f>
        <v/>
      </c>
      <c r="AD223" s="130">
        <f>Table_1[[#This Row],[PREÇO JUSTO GORDON]]/(1+Table_1[[#This Row],[MARGEM DE DESCONTO]])</f>
        <v/>
      </c>
      <c r="AE223" s="78">
        <f>Table_1[[#This Row],[P/L]]/Table_1[[#This Row],[MÉDIA DE CRESCIMENTO]]</f>
        <v/>
      </c>
    </row>
    <row r="224" ht="15.75" customHeight="1">
      <c r="B224" s="77">
        <f>'Dados Status Invest'!A210</f>
        <v/>
      </c>
      <c r="C224" s="60">
        <f>VLOOKUP(Table_1[[#This Row],[AÇÕES]],'Classificação B3'!A:B,2,0)</f>
        <v/>
      </c>
      <c r="D224" s="60">
        <f>VLOOKUP(Table_1[[#This Row],[AÇÕES]],'Classificação B3'!A:D,4,0)</f>
        <v/>
      </c>
      <c r="E224" s="60">
        <f>VLOOKUP(Table_1[[#This Row],[AÇÕES]],'Classificação B3'!A:F,6,0)</f>
        <v/>
      </c>
      <c r="F224" s="60">
        <f>VLOOKUP(Table_1[[#This Row],[AÇÕES]],'Classificação B3'!A:G,7,0)</f>
        <v/>
      </c>
      <c r="G224" s="61">
        <f>VLOOKUP(Table_1[[#This Row],[AÇÕES]],'Dados Status Invest'!A:B,2,0)</f>
        <v/>
      </c>
      <c r="H224" s="62">
        <f>VLOOKUP(Table_1[[#This Row],[AÇÕES]],'Dados Status Invest'!A:C,3,0)/100</f>
        <v/>
      </c>
      <c r="I224" s="62">
        <f>VLOOKUP(Table_1[[#This Row],[AÇÕES]],'Dados Status Invest'!A:D,4,0)/100</f>
        <v/>
      </c>
      <c r="J224" s="63">
        <f>VLOOKUP(Table_1[[#This Row],[AÇÕES]],'Dados Status Invest'!A:AB,28,0)</f>
        <v/>
      </c>
      <c r="K224" s="63">
        <f>VLOOKUP(Table_1[[#This Row],[AÇÕES]],'Dados Status Invest'!A:AA,27,0)</f>
        <v/>
      </c>
      <c r="L224" s="63">
        <f>Table_1[[#This Row],[PREÇO]]*Table_1[[#This Row],[DY]]</f>
        <v/>
      </c>
      <c r="M224" s="62">
        <f>$E$13</f>
        <v/>
      </c>
      <c r="N224" s="62" t="n">
        <v>0.3</v>
      </c>
      <c r="O224" s="62">
        <f>Table_1[[#This Row],[DPA]]/Table_1[[#This Row],[LPA]]</f>
        <v/>
      </c>
      <c r="P224" s="62">
        <f>IF(Table_1[[#This Row],[PAYOUT]]&lt;=40%,"CRESCIMENTO",IF(Table_1[[#This Row],[PAYOUT]]&lt;=60%,"INDEFINIDO","DIVIDENDOS"))</f>
        <v/>
      </c>
      <c r="Q224" s="62">
        <f>VLOOKUP(Table_1[[#This Row],[AÇÕES]],'Dados Status Invest'!A:R,18,0)/100</f>
        <v/>
      </c>
      <c r="R224" s="62">
        <f>VLOOKUP(Table_1[[#This Row],[AÇÕES]],'Dados Status Invest'!A:Y,25,0)/100</f>
        <v/>
      </c>
      <c r="S224" s="62">
        <f>(1-Table_1[[#This Row],[PAYOUT]])*Table_1[[#This Row],[ROE]]</f>
        <v/>
      </c>
      <c r="T224" s="98">
        <f>AVERAGE(Table_1[[#This Row],[CAGR LUCRO 5A]],Table_1[[#This Row],[CRESCIMENTO DAMODARAN]])</f>
        <v/>
      </c>
      <c r="U224" s="64">
        <f>(Table_1[[#This Row],[PREÇO JUSTO BAZIN]]-Table_1[[#This Row],[PREÇO]])/Table_1[[#This Row],[PREÇO JUSTO BAZIN]]</f>
        <v/>
      </c>
      <c r="V224" s="129">
        <f>Table_1[[#This Row],[DPA]]/6%</f>
        <v/>
      </c>
      <c r="W224" s="129">
        <f>Table_1[[#This Row],[PREÇO JUSTO BAZIN]]/(1+Table_1[[#This Row],[MARGEM DE DESCONTO]])</f>
        <v/>
      </c>
      <c r="X224" s="64">
        <f>(Table_1[[#This Row],[PREÇO JUSTO GRAHAM]]-Table_1[[#This Row],[PREÇO]])/Table_1[[#This Row],[PREÇO JUSTO GRAHAM]]</f>
        <v/>
      </c>
      <c r="Y224" s="129">
        <f>(22.5*Table_1[[#This Row],[LPA]]*Table_1[[#This Row],[VPA]])^0.5</f>
        <v/>
      </c>
      <c r="Z224" s="129">
        <f>Table_1[[#This Row],[PREÇO JUSTO GRAHAM]]/(1+Table_1[[#This Row],[MARGEM DE DESCONTO]])</f>
        <v/>
      </c>
      <c r="AA224" s="64">
        <f>(Table_1[[#This Row],[PREÇO JUSTO GORDON]]-Table_1[[#This Row],[PREÇO]])/Table_1[[#This Row],[PREÇO JUSTO GORDON]]</f>
        <v/>
      </c>
      <c r="AB224" s="130">
        <f>Table_1[[#This Row],[DPA]]*(1+Table_1[[#This Row],[MÉDIA DE CRESCIMENTO]])</f>
        <v/>
      </c>
      <c r="AC224" s="130">
        <f>Table_1[[#This Row],[D1]]/(Table_1[[#This Row],[RISCO]]-Table_1[[#This Row],[MÉDIA DE CRESCIMENTO]])</f>
        <v/>
      </c>
      <c r="AD224" s="130">
        <f>Table_1[[#This Row],[PREÇO JUSTO GORDON]]/(1+Table_1[[#This Row],[MARGEM DE DESCONTO]])</f>
        <v/>
      </c>
      <c r="AE224" s="78">
        <f>Table_1[[#This Row],[P/L]]/Table_1[[#This Row],[MÉDIA DE CRESCIMENTO]]</f>
        <v/>
      </c>
    </row>
    <row r="225" ht="15.75" customHeight="1">
      <c r="B225" s="77">
        <f>'Dados Status Invest'!A211</f>
        <v/>
      </c>
      <c r="C225" s="60">
        <f>VLOOKUP(Table_1[[#This Row],[AÇÕES]],'Classificação B3'!A:B,2,0)</f>
        <v/>
      </c>
      <c r="D225" s="60">
        <f>VLOOKUP(Table_1[[#This Row],[AÇÕES]],'Classificação B3'!A:D,4,0)</f>
        <v/>
      </c>
      <c r="E225" s="60">
        <f>VLOOKUP(Table_1[[#This Row],[AÇÕES]],'Classificação B3'!A:F,6,0)</f>
        <v/>
      </c>
      <c r="F225" s="60">
        <f>VLOOKUP(Table_1[[#This Row],[AÇÕES]],'Classificação B3'!A:G,7,0)</f>
        <v/>
      </c>
      <c r="G225" s="61">
        <f>VLOOKUP(Table_1[[#This Row],[AÇÕES]],'Dados Status Invest'!A:B,2,0)</f>
        <v/>
      </c>
      <c r="H225" s="62">
        <f>VLOOKUP(Table_1[[#This Row],[AÇÕES]],'Dados Status Invest'!A:C,3,0)/100</f>
        <v/>
      </c>
      <c r="I225" s="62">
        <f>VLOOKUP(Table_1[[#This Row],[AÇÕES]],'Dados Status Invest'!A:D,4,0)/100</f>
        <v/>
      </c>
      <c r="J225" s="63">
        <f>VLOOKUP(Table_1[[#This Row],[AÇÕES]],'Dados Status Invest'!A:AB,28,0)</f>
        <v/>
      </c>
      <c r="K225" s="63">
        <f>VLOOKUP(Table_1[[#This Row],[AÇÕES]],'Dados Status Invest'!A:AA,27,0)</f>
        <v/>
      </c>
      <c r="L225" s="63">
        <f>Table_1[[#This Row],[PREÇO]]*Table_1[[#This Row],[DY]]</f>
        <v/>
      </c>
      <c r="M225" s="62">
        <f>$E$13</f>
        <v/>
      </c>
      <c r="N225" s="62" t="n">
        <v>0.3</v>
      </c>
      <c r="O225" s="62">
        <f>Table_1[[#This Row],[DPA]]/Table_1[[#This Row],[LPA]]</f>
        <v/>
      </c>
      <c r="P225" s="62">
        <f>IF(Table_1[[#This Row],[PAYOUT]]&lt;=40%,"CRESCIMENTO",IF(Table_1[[#This Row],[PAYOUT]]&lt;=60%,"INDEFINIDO","DIVIDENDOS"))</f>
        <v/>
      </c>
      <c r="Q225" s="62">
        <f>VLOOKUP(Table_1[[#This Row],[AÇÕES]],'Dados Status Invest'!A:R,18,0)/100</f>
        <v/>
      </c>
      <c r="R225" s="62">
        <f>VLOOKUP(Table_1[[#This Row],[AÇÕES]],'Dados Status Invest'!A:Y,25,0)/100</f>
        <v/>
      </c>
      <c r="S225" s="62">
        <f>(1-Table_1[[#This Row],[PAYOUT]])*Table_1[[#This Row],[ROE]]</f>
        <v/>
      </c>
      <c r="T225" s="98">
        <f>AVERAGE(Table_1[[#This Row],[CAGR LUCRO 5A]],Table_1[[#This Row],[CRESCIMENTO DAMODARAN]])</f>
        <v/>
      </c>
      <c r="U225" s="64">
        <f>(Table_1[[#This Row],[PREÇO JUSTO BAZIN]]-Table_1[[#This Row],[PREÇO]])/Table_1[[#This Row],[PREÇO JUSTO BAZIN]]</f>
        <v/>
      </c>
      <c r="V225" s="129">
        <f>Table_1[[#This Row],[DPA]]/6%</f>
        <v/>
      </c>
      <c r="W225" s="129">
        <f>Table_1[[#This Row],[PREÇO JUSTO BAZIN]]/(1+Table_1[[#This Row],[MARGEM DE DESCONTO]])</f>
        <v/>
      </c>
      <c r="X225" s="64">
        <f>(Table_1[[#This Row],[PREÇO JUSTO GRAHAM]]-Table_1[[#This Row],[PREÇO]])/Table_1[[#This Row],[PREÇO JUSTO GRAHAM]]</f>
        <v/>
      </c>
      <c r="Y225" s="129">
        <f>(22.5*Table_1[[#This Row],[LPA]]*Table_1[[#This Row],[VPA]])^0.5</f>
        <v/>
      </c>
      <c r="Z225" s="129">
        <f>Table_1[[#This Row],[PREÇO JUSTO GRAHAM]]/(1+Table_1[[#This Row],[MARGEM DE DESCONTO]])</f>
        <v/>
      </c>
      <c r="AA225" s="64">
        <f>(Table_1[[#This Row],[PREÇO JUSTO GORDON]]-Table_1[[#This Row],[PREÇO]])/Table_1[[#This Row],[PREÇO JUSTO GORDON]]</f>
        <v/>
      </c>
      <c r="AB225" s="130">
        <f>Table_1[[#This Row],[DPA]]*(1+Table_1[[#This Row],[MÉDIA DE CRESCIMENTO]])</f>
        <v/>
      </c>
      <c r="AC225" s="130">
        <f>Table_1[[#This Row],[D1]]/(Table_1[[#This Row],[RISCO]]-Table_1[[#This Row],[MÉDIA DE CRESCIMENTO]])</f>
        <v/>
      </c>
      <c r="AD225" s="130">
        <f>Table_1[[#This Row],[PREÇO JUSTO GORDON]]/(1+Table_1[[#This Row],[MARGEM DE DESCONTO]])</f>
        <v/>
      </c>
      <c r="AE225" s="78">
        <f>Table_1[[#This Row],[P/L]]/Table_1[[#This Row],[MÉDIA DE CRESCIMENTO]]</f>
        <v/>
      </c>
    </row>
    <row r="226" ht="15.75" customHeight="1">
      <c r="B226" s="77">
        <f>'Dados Status Invest'!A212</f>
        <v/>
      </c>
      <c r="C226" s="60">
        <f>VLOOKUP(Table_1[[#This Row],[AÇÕES]],'Classificação B3'!A:B,2,0)</f>
        <v/>
      </c>
      <c r="D226" s="60">
        <f>VLOOKUP(Table_1[[#This Row],[AÇÕES]],'Classificação B3'!A:D,4,0)</f>
        <v/>
      </c>
      <c r="E226" s="60">
        <f>VLOOKUP(Table_1[[#This Row],[AÇÕES]],'Classificação B3'!A:F,6,0)</f>
        <v/>
      </c>
      <c r="F226" s="60">
        <f>VLOOKUP(Table_1[[#This Row],[AÇÕES]],'Classificação B3'!A:G,7,0)</f>
        <v/>
      </c>
      <c r="G226" s="61">
        <f>VLOOKUP(Table_1[[#This Row],[AÇÕES]],'Dados Status Invest'!A:B,2,0)</f>
        <v/>
      </c>
      <c r="H226" s="62">
        <f>VLOOKUP(Table_1[[#This Row],[AÇÕES]],'Dados Status Invest'!A:C,3,0)/100</f>
        <v/>
      </c>
      <c r="I226" s="62">
        <f>VLOOKUP(Table_1[[#This Row],[AÇÕES]],'Dados Status Invest'!A:D,4,0)/100</f>
        <v/>
      </c>
      <c r="J226" s="63">
        <f>VLOOKUP(Table_1[[#This Row],[AÇÕES]],'Dados Status Invest'!A:AB,28,0)</f>
        <v/>
      </c>
      <c r="K226" s="63">
        <f>VLOOKUP(Table_1[[#This Row],[AÇÕES]],'Dados Status Invest'!A:AA,27,0)</f>
        <v/>
      </c>
      <c r="L226" s="63">
        <f>Table_1[[#This Row],[PREÇO]]*Table_1[[#This Row],[DY]]</f>
        <v/>
      </c>
      <c r="M226" s="62">
        <f>$E$13</f>
        <v/>
      </c>
      <c r="N226" s="62" t="n">
        <v>0.3</v>
      </c>
      <c r="O226" s="62">
        <f>Table_1[[#This Row],[DPA]]/Table_1[[#This Row],[LPA]]</f>
        <v/>
      </c>
      <c r="P226" s="62">
        <f>IF(Table_1[[#This Row],[PAYOUT]]&lt;=40%,"CRESCIMENTO",IF(Table_1[[#This Row],[PAYOUT]]&lt;=60%,"INDEFINIDO","DIVIDENDOS"))</f>
        <v/>
      </c>
      <c r="Q226" s="62">
        <f>VLOOKUP(Table_1[[#This Row],[AÇÕES]],'Dados Status Invest'!A:R,18,0)/100</f>
        <v/>
      </c>
      <c r="R226" s="62">
        <f>VLOOKUP(Table_1[[#This Row],[AÇÕES]],'Dados Status Invest'!A:Y,25,0)/100</f>
        <v/>
      </c>
      <c r="S226" s="62">
        <f>(1-Table_1[[#This Row],[PAYOUT]])*Table_1[[#This Row],[ROE]]</f>
        <v/>
      </c>
      <c r="T226" s="98">
        <f>AVERAGE(Table_1[[#This Row],[CAGR LUCRO 5A]],Table_1[[#This Row],[CRESCIMENTO DAMODARAN]])</f>
        <v/>
      </c>
      <c r="U226" s="64">
        <f>(Table_1[[#This Row],[PREÇO JUSTO BAZIN]]-Table_1[[#This Row],[PREÇO]])/Table_1[[#This Row],[PREÇO JUSTO BAZIN]]</f>
        <v/>
      </c>
      <c r="V226" s="129">
        <f>Table_1[[#This Row],[DPA]]/6%</f>
        <v/>
      </c>
      <c r="W226" s="129">
        <f>Table_1[[#This Row],[PREÇO JUSTO BAZIN]]/(1+Table_1[[#This Row],[MARGEM DE DESCONTO]])</f>
        <v/>
      </c>
      <c r="X226" s="64">
        <f>(Table_1[[#This Row],[PREÇO JUSTO GRAHAM]]-Table_1[[#This Row],[PREÇO]])/Table_1[[#This Row],[PREÇO JUSTO GRAHAM]]</f>
        <v/>
      </c>
      <c r="Y226" s="129">
        <f>(22.5*Table_1[[#This Row],[LPA]]*Table_1[[#This Row],[VPA]])^0.5</f>
        <v/>
      </c>
      <c r="Z226" s="129">
        <f>Table_1[[#This Row],[PREÇO JUSTO GRAHAM]]/(1+Table_1[[#This Row],[MARGEM DE DESCONTO]])</f>
        <v/>
      </c>
      <c r="AA226" s="64">
        <f>(Table_1[[#This Row],[PREÇO JUSTO GORDON]]-Table_1[[#This Row],[PREÇO]])/Table_1[[#This Row],[PREÇO JUSTO GORDON]]</f>
        <v/>
      </c>
      <c r="AB226" s="130">
        <f>Table_1[[#This Row],[DPA]]*(1+Table_1[[#This Row],[MÉDIA DE CRESCIMENTO]])</f>
        <v/>
      </c>
      <c r="AC226" s="130">
        <f>Table_1[[#This Row],[D1]]/(Table_1[[#This Row],[RISCO]]-Table_1[[#This Row],[MÉDIA DE CRESCIMENTO]])</f>
        <v/>
      </c>
      <c r="AD226" s="130">
        <f>Table_1[[#This Row],[PREÇO JUSTO GORDON]]/(1+Table_1[[#This Row],[MARGEM DE DESCONTO]])</f>
        <v/>
      </c>
      <c r="AE226" s="78">
        <f>Table_1[[#This Row],[P/L]]/Table_1[[#This Row],[MÉDIA DE CRESCIMENTO]]</f>
        <v/>
      </c>
    </row>
    <row r="227" ht="15.75" customHeight="1">
      <c r="B227" s="77">
        <f>'Dados Status Invest'!A213</f>
        <v/>
      </c>
      <c r="C227" s="60">
        <f>VLOOKUP(Table_1[[#This Row],[AÇÕES]],'Classificação B3'!A:B,2,0)</f>
        <v/>
      </c>
      <c r="D227" s="60">
        <f>VLOOKUP(Table_1[[#This Row],[AÇÕES]],'Classificação B3'!A:D,4,0)</f>
        <v/>
      </c>
      <c r="E227" s="60">
        <f>VLOOKUP(Table_1[[#This Row],[AÇÕES]],'Classificação B3'!A:F,6,0)</f>
        <v/>
      </c>
      <c r="F227" s="60">
        <f>VLOOKUP(Table_1[[#This Row],[AÇÕES]],'Classificação B3'!A:G,7,0)</f>
        <v/>
      </c>
      <c r="G227" s="61">
        <f>VLOOKUP(Table_1[[#This Row],[AÇÕES]],'Dados Status Invest'!A:B,2,0)</f>
        <v/>
      </c>
      <c r="H227" s="62">
        <f>VLOOKUP(Table_1[[#This Row],[AÇÕES]],'Dados Status Invest'!A:C,3,0)/100</f>
        <v/>
      </c>
      <c r="I227" s="62">
        <f>VLOOKUP(Table_1[[#This Row],[AÇÕES]],'Dados Status Invest'!A:D,4,0)/100</f>
        <v/>
      </c>
      <c r="J227" s="63">
        <f>VLOOKUP(Table_1[[#This Row],[AÇÕES]],'Dados Status Invest'!A:AB,28,0)</f>
        <v/>
      </c>
      <c r="K227" s="63">
        <f>VLOOKUP(Table_1[[#This Row],[AÇÕES]],'Dados Status Invest'!A:AA,27,0)</f>
        <v/>
      </c>
      <c r="L227" s="63">
        <f>Table_1[[#This Row],[PREÇO]]*Table_1[[#This Row],[DY]]</f>
        <v/>
      </c>
      <c r="M227" s="62">
        <f>$E$13</f>
        <v/>
      </c>
      <c r="N227" s="62" t="n">
        <v>0.3</v>
      </c>
      <c r="O227" s="62">
        <f>Table_1[[#This Row],[DPA]]/Table_1[[#This Row],[LPA]]</f>
        <v/>
      </c>
      <c r="P227" s="62">
        <f>IF(Table_1[[#This Row],[PAYOUT]]&lt;=40%,"CRESCIMENTO",IF(Table_1[[#This Row],[PAYOUT]]&lt;=60%,"INDEFINIDO","DIVIDENDOS"))</f>
        <v/>
      </c>
      <c r="Q227" s="62">
        <f>VLOOKUP(Table_1[[#This Row],[AÇÕES]],'Dados Status Invest'!A:R,18,0)/100</f>
        <v/>
      </c>
      <c r="R227" s="62">
        <f>VLOOKUP(Table_1[[#This Row],[AÇÕES]],'Dados Status Invest'!A:Y,25,0)/100</f>
        <v/>
      </c>
      <c r="S227" s="62">
        <f>(1-Table_1[[#This Row],[PAYOUT]])*Table_1[[#This Row],[ROE]]</f>
        <v/>
      </c>
      <c r="T227" s="98">
        <f>AVERAGE(Table_1[[#This Row],[CAGR LUCRO 5A]],Table_1[[#This Row],[CRESCIMENTO DAMODARAN]])</f>
        <v/>
      </c>
      <c r="U227" s="64">
        <f>(Table_1[[#This Row],[PREÇO JUSTO BAZIN]]-Table_1[[#This Row],[PREÇO]])/Table_1[[#This Row],[PREÇO JUSTO BAZIN]]</f>
        <v/>
      </c>
      <c r="V227" s="129">
        <f>Table_1[[#This Row],[DPA]]/6%</f>
        <v/>
      </c>
      <c r="W227" s="129">
        <f>Table_1[[#This Row],[PREÇO JUSTO BAZIN]]/(1+Table_1[[#This Row],[MARGEM DE DESCONTO]])</f>
        <v/>
      </c>
      <c r="X227" s="64">
        <f>(Table_1[[#This Row],[PREÇO JUSTO GRAHAM]]-Table_1[[#This Row],[PREÇO]])/Table_1[[#This Row],[PREÇO JUSTO GRAHAM]]</f>
        <v/>
      </c>
      <c r="Y227" s="129">
        <f>(22.5*Table_1[[#This Row],[LPA]]*Table_1[[#This Row],[VPA]])^0.5</f>
        <v/>
      </c>
      <c r="Z227" s="129">
        <f>Table_1[[#This Row],[PREÇO JUSTO GRAHAM]]/(1+Table_1[[#This Row],[MARGEM DE DESCONTO]])</f>
        <v/>
      </c>
      <c r="AA227" s="64">
        <f>(Table_1[[#This Row],[PREÇO JUSTO GORDON]]-Table_1[[#This Row],[PREÇO]])/Table_1[[#This Row],[PREÇO JUSTO GORDON]]</f>
        <v/>
      </c>
      <c r="AB227" s="130">
        <f>Table_1[[#This Row],[DPA]]*(1+Table_1[[#This Row],[MÉDIA DE CRESCIMENTO]])</f>
        <v/>
      </c>
      <c r="AC227" s="130">
        <f>Table_1[[#This Row],[D1]]/(Table_1[[#This Row],[RISCO]]-Table_1[[#This Row],[MÉDIA DE CRESCIMENTO]])</f>
        <v/>
      </c>
      <c r="AD227" s="130">
        <f>Table_1[[#This Row],[PREÇO JUSTO GORDON]]/(1+Table_1[[#This Row],[MARGEM DE DESCONTO]])</f>
        <v/>
      </c>
      <c r="AE227" s="78">
        <f>Table_1[[#This Row],[P/L]]/Table_1[[#This Row],[MÉDIA DE CRESCIMENTO]]</f>
        <v/>
      </c>
    </row>
    <row r="228" ht="15.75" customHeight="1">
      <c r="B228" s="77">
        <f>'Dados Status Invest'!A214</f>
        <v/>
      </c>
      <c r="C228" s="60">
        <f>VLOOKUP(Table_1[[#This Row],[AÇÕES]],'Classificação B3'!A:B,2,0)</f>
        <v/>
      </c>
      <c r="D228" s="60">
        <f>VLOOKUP(Table_1[[#This Row],[AÇÕES]],'Classificação B3'!A:D,4,0)</f>
        <v/>
      </c>
      <c r="E228" s="60">
        <f>VLOOKUP(Table_1[[#This Row],[AÇÕES]],'Classificação B3'!A:F,6,0)</f>
        <v/>
      </c>
      <c r="F228" s="60">
        <f>VLOOKUP(Table_1[[#This Row],[AÇÕES]],'Classificação B3'!A:G,7,0)</f>
        <v/>
      </c>
      <c r="G228" s="61">
        <f>VLOOKUP(Table_1[[#This Row],[AÇÕES]],'Dados Status Invest'!A:B,2,0)</f>
        <v/>
      </c>
      <c r="H228" s="62">
        <f>VLOOKUP(Table_1[[#This Row],[AÇÕES]],'Dados Status Invest'!A:C,3,0)/100</f>
        <v/>
      </c>
      <c r="I228" s="62">
        <f>VLOOKUP(Table_1[[#This Row],[AÇÕES]],'Dados Status Invest'!A:D,4,0)/100</f>
        <v/>
      </c>
      <c r="J228" s="63">
        <f>VLOOKUP(Table_1[[#This Row],[AÇÕES]],'Dados Status Invest'!A:AB,28,0)</f>
        <v/>
      </c>
      <c r="K228" s="63">
        <f>VLOOKUP(Table_1[[#This Row],[AÇÕES]],'Dados Status Invest'!A:AA,27,0)</f>
        <v/>
      </c>
      <c r="L228" s="63">
        <f>Table_1[[#This Row],[PREÇO]]*Table_1[[#This Row],[DY]]</f>
        <v/>
      </c>
      <c r="M228" s="62">
        <f>$E$13</f>
        <v/>
      </c>
      <c r="N228" s="62" t="n">
        <v>0.3</v>
      </c>
      <c r="O228" s="62">
        <f>Table_1[[#This Row],[DPA]]/Table_1[[#This Row],[LPA]]</f>
        <v/>
      </c>
      <c r="P228" s="62">
        <f>IF(Table_1[[#This Row],[PAYOUT]]&lt;=40%,"CRESCIMENTO",IF(Table_1[[#This Row],[PAYOUT]]&lt;=60%,"INDEFINIDO","DIVIDENDOS"))</f>
        <v/>
      </c>
      <c r="Q228" s="62">
        <f>VLOOKUP(Table_1[[#This Row],[AÇÕES]],'Dados Status Invest'!A:R,18,0)/100</f>
        <v/>
      </c>
      <c r="R228" s="62">
        <f>VLOOKUP(Table_1[[#This Row],[AÇÕES]],'Dados Status Invest'!A:Y,25,0)/100</f>
        <v/>
      </c>
      <c r="S228" s="62">
        <f>(1-Table_1[[#This Row],[PAYOUT]])*Table_1[[#This Row],[ROE]]</f>
        <v/>
      </c>
      <c r="T228" s="98">
        <f>AVERAGE(Table_1[[#This Row],[CAGR LUCRO 5A]],Table_1[[#This Row],[CRESCIMENTO DAMODARAN]])</f>
        <v/>
      </c>
      <c r="U228" s="64">
        <f>(Table_1[[#This Row],[PREÇO JUSTO BAZIN]]-Table_1[[#This Row],[PREÇO]])/Table_1[[#This Row],[PREÇO JUSTO BAZIN]]</f>
        <v/>
      </c>
      <c r="V228" s="129">
        <f>Table_1[[#This Row],[DPA]]/6%</f>
        <v/>
      </c>
      <c r="W228" s="129">
        <f>Table_1[[#This Row],[PREÇO JUSTO BAZIN]]/(1+Table_1[[#This Row],[MARGEM DE DESCONTO]])</f>
        <v/>
      </c>
      <c r="X228" s="64">
        <f>(Table_1[[#This Row],[PREÇO JUSTO GRAHAM]]-Table_1[[#This Row],[PREÇO]])/Table_1[[#This Row],[PREÇO JUSTO GRAHAM]]</f>
        <v/>
      </c>
      <c r="Y228" s="129">
        <f>(22.5*Table_1[[#This Row],[LPA]]*Table_1[[#This Row],[VPA]])^0.5</f>
        <v/>
      </c>
      <c r="Z228" s="129">
        <f>Table_1[[#This Row],[PREÇO JUSTO GRAHAM]]/(1+Table_1[[#This Row],[MARGEM DE DESCONTO]])</f>
        <v/>
      </c>
      <c r="AA228" s="64">
        <f>(Table_1[[#This Row],[PREÇO JUSTO GORDON]]-Table_1[[#This Row],[PREÇO]])/Table_1[[#This Row],[PREÇO JUSTO GORDON]]</f>
        <v/>
      </c>
      <c r="AB228" s="130">
        <f>Table_1[[#This Row],[DPA]]*(1+Table_1[[#This Row],[MÉDIA DE CRESCIMENTO]])</f>
        <v/>
      </c>
      <c r="AC228" s="130">
        <f>Table_1[[#This Row],[D1]]/(Table_1[[#This Row],[RISCO]]-Table_1[[#This Row],[MÉDIA DE CRESCIMENTO]])</f>
        <v/>
      </c>
      <c r="AD228" s="130">
        <f>Table_1[[#This Row],[PREÇO JUSTO GORDON]]/(1+Table_1[[#This Row],[MARGEM DE DESCONTO]])</f>
        <v/>
      </c>
      <c r="AE228" s="78">
        <f>Table_1[[#This Row],[P/L]]/Table_1[[#This Row],[MÉDIA DE CRESCIMENTO]]</f>
        <v/>
      </c>
    </row>
    <row r="229" ht="15.75" customHeight="1">
      <c r="B229" s="77">
        <f>'Dados Status Invest'!A215</f>
        <v/>
      </c>
      <c r="C229" s="60">
        <f>VLOOKUP(Table_1[[#This Row],[AÇÕES]],'Classificação B3'!A:B,2,0)</f>
        <v/>
      </c>
      <c r="D229" s="60">
        <f>VLOOKUP(Table_1[[#This Row],[AÇÕES]],'Classificação B3'!A:D,4,0)</f>
        <v/>
      </c>
      <c r="E229" s="60">
        <f>VLOOKUP(Table_1[[#This Row],[AÇÕES]],'Classificação B3'!A:F,6,0)</f>
        <v/>
      </c>
      <c r="F229" s="60">
        <f>VLOOKUP(Table_1[[#This Row],[AÇÕES]],'Classificação B3'!A:G,7,0)</f>
        <v/>
      </c>
      <c r="G229" s="61">
        <f>VLOOKUP(Table_1[[#This Row],[AÇÕES]],'Dados Status Invest'!A:B,2,0)</f>
        <v/>
      </c>
      <c r="H229" s="62">
        <f>VLOOKUP(Table_1[[#This Row],[AÇÕES]],'Dados Status Invest'!A:C,3,0)/100</f>
        <v/>
      </c>
      <c r="I229" s="62">
        <f>VLOOKUP(Table_1[[#This Row],[AÇÕES]],'Dados Status Invest'!A:D,4,0)/100</f>
        <v/>
      </c>
      <c r="J229" s="63">
        <f>VLOOKUP(Table_1[[#This Row],[AÇÕES]],'Dados Status Invest'!A:AB,28,0)</f>
        <v/>
      </c>
      <c r="K229" s="63">
        <f>VLOOKUP(Table_1[[#This Row],[AÇÕES]],'Dados Status Invest'!A:AA,27,0)</f>
        <v/>
      </c>
      <c r="L229" s="63">
        <f>Table_1[[#This Row],[PREÇO]]*Table_1[[#This Row],[DY]]</f>
        <v/>
      </c>
      <c r="M229" s="62">
        <f>$E$13</f>
        <v/>
      </c>
      <c r="N229" s="62" t="n">
        <v>0.3</v>
      </c>
      <c r="O229" s="62">
        <f>Table_1[[#This Row],[DPA]]/Table_1[[#This Row],[LPA]]</f>
        <v/>
      </c>
      <c r="P229" s="62">
        <f>IF(Table_1[[#This Row],[PAYOUT]]&lt;=40%,"CRESCIMENTO",IF(Table_1[[#This Row],[PAYOUT]]&lt;=60%,"INDEFINIDO","DIVIDENDOS"))</f>
        <v/>
      </c>
      <c r="Q229" s="62">
        <f>VLOOKUP(Table_1[[#This Row],[AÇÕES]],'Dados Status Invest'!A:R,18,0)/100</f>
        <v/>
      </c>
      <c r="R229" s="62">
        <f>VLOOKUP(Table_1[[#This Row],[AÇÕES]],'Dados Status Invest'!A:Y,25,0)/100</f>
        <v/>
      </c>
      <c r="S229" s="62">
        <f>(1-Table_1[[#This Row],[PAYOUT]])*Table_1[[#This Row],[ROE]]</f>
        <v/>
      </c>
      <c r="T229" s="98">
        <f>AVERAGE(Table_1[[#This Row],[CAGR LUCRO 5A]],Table_1[[#This Row],[CRESCIMENTO DAMODARAN]])</f>
        <v/>
      </c>
      <c r="U229" s="64">
        <f>(Table_1[[#This Row],[PREÇO JUSTO BAZIN]]-Table_1[[#This Row],[PREÇO]])/Table_1[[#This Row],[PREÇO JUSTO BAZIN]]</f>
        <v/>
      </c>
      <c r="V229" s="129">
        <f>Table_1[[#This Row],[DPA]]/6%</f>
        <v/>
      </c>
      <c r="W229" s="129">
        <f>Table_1[[#This Row],[PREÇO JUSTO BAZIN]]/(1+Table_1[[#This Row],[MARGEM DE DESCONTO]])</f>
        <v/>
      </c>
      <c r="X229" s="64">
        <f>(Table_1[[#This Row],[PREÇO JUSTO GRAHAM]]-Table_1[[#This Row],[PREÇO]])/Table_1[[#This Row],[PREÇO JUSTO GRAHAM]]</f>
        <v/>
      </c>
      <c r="Y229" s="129">
        <f>(22.5*Table_1[[#This Row],[LPA]]*Table_1[[#This Row],[VPA]])^0.5</f>
        <v/>
      </c>
      <c r="Z229" s="129">
        <f>Table_1[[#This Row],[PREÇO JUSTO GRAHAM]]/(1+Table_1[[#This Row],[MARGEM DE DESCONTO]])</f>
        <v/>
      </c>
      <c r="AA229" s="64">
        <f>(Table_1[[#This Row],[PREÇO JUSTO GORDON]]-Table_1[[#This Row],[PREÇO]])/Table_1[[#This Row],[PREÇO JUSTO GORDON]]</f>
        <v/>
      </c>
      <c r="AB229" s="130">
        <f>Table_1[[#This Row],[DPA]]*(1+Table_1[[#This Row],[MÉDIA DE CRESCIMENTO]])</f>
        <v/>
      </c>
      <c r="AC229" s="130">
        <f>Table_1[[#This Row],[D1]]/(Table_1[[#This Row],[RISCO]]-Table_1[[#This Row],[MÉDIA DE CRESCIMENTO]])</f>
        <v/>
      </c>
      <c r="AD229" s="130">
        <f>Table_1[[#This Row],[PREÇO JUSTO GORDON]]/(1+Table_1[[#This Row],[MARGEM DE DESCONTO]])</f>
        <v/>
      </c>
      <c r="AE229" s="78">
        <f>Table_1[[#This Row],[P/L]]/Table_1[[#This Row],[MÉDIA DE CRESCIMENTO]]</f>
        <v/>
      </c>
    </row>
    <row r="230" ht="15.75" customHeight="1">
      <c r="B230" s="77">
        <f>'Dados Status Invest'!A216</f>
        <v/>
      </c>
      <c r="C230" s="60">
        <f>VLOOKUP(Table_1[[#This Row],[AÇÕES]],'Classificação B3'!A:B,2,0)</f>
        <v/>
      </c>
      <c r="D230" s="60">
        <f>VLOOKUP(Table_1[[#This Row],[AÇÕES]],'Classificação B3'!A:D,4,0)</f>
        <v/>
      </c>
      <c r="E230" s="60">
        <f>VLOOKUP(Table_1[[#This Row],[AÇÕES]],'Classificação B3'!A:F,6,0)</f>
        <v/>
      </c>
      <c r="F230" s="60">
        <f>VLOOKUP(Table_1[[#This Row],[AÇÕES]],'Classificação B3'!A:G,7,0)</f>
        <v/>
      </c>
      <c r="G230" s="61">
        <f>VLOOKUP(Table_1[[#This Row],[AÇÕES]],'Dados Status Invest'!A:B,2,0)</f>
        <v/>
      </c>
      <c r="H230" s="62">
        <f>VLOOKUP(Table_1[[#This Row],[AÇÕES]],'Dados Status Invest'!A:C,3,0)/100</f>
        <v/>
      </c>
      <c r="I230" s="62">
        <f>VLOOKUP(Table_1[[#This Row],[AÇÕES]],'Dados Status Invest'!A:D,4,0)/100</f>
        <v/>
      </c>
      <c r="J230" s="63">
        <f>VLOOKUP(Table_1[[#This Row],[AÇÕES]],'Dados Status Invest'!A:AB,28,0)</f>
        <v/>
      </c>
      <c r="K230" s="63">
        <f>VLOOKUP(Table_1[[#This Row],[AÇÕES]],'Dados Status Invest'!A:AA,27,0)</f>
        <v/>
      </c>
      <c r="L230" s="63">
        <f>Table_1[[#This Row],[PREÇO]]*Table_1[[#This Row],[DY]]</f>
        <v/>
      </c>
      <c r="M230" s="62">
        <f>$E$13</f>
        <v/>
      </c>
      <c r="N230" s="62" t="n">
        <v>0.3</v>
      </c>
      <c r="O230" s="62">
        <f>Table_1[[#This Row],[DPA]]/Table_1[[#This Row],[LPA]]</f>
        <v/>
      </c>
      <c r="P230" s="62">
        <f>IF(Table_1[[#This Row],[PAYOUT]]&lt;=40%,"CRESCIMENTO",IF(Table_1[[#This Row],[PAYOUT]]&lt;=60%,"INDEFINIDO","DIVIDENDOS"))</f>
        <v/>
      </c>
      <c r="Q230" s="62">
        <f>VLOOKUP(Table_1[[#This Row],[AÇÕES]],'Dados Status Invest'!A:R,18,0)/100</f>
        <v/>
      </c>
      <c r="R230" s="62">
        <f>VLOOKUP(Table_1[[#This Row],[AÇÕES]],'Dados Status Invest'!A:Y,25,0)/100</f>
        <v/>
      </c>
      <c r="S230" s="62">
        <f>(1-Table_1[[#This Row],[PAYOUT]])*Table_1[[#This Row],[ROE]]</f>
        <v/>
      </c>
      <c r="T230" s="98">
        <f>AVERAGE(Table_1[[#This Row],[CAGR LUCRO 5A]],Table_1[[#This Row],[CRESCIMENTO DAMODARAN]])</f>
        <v/>
      </c>
      <c r="U230" s="64">
        <f>(Table_1[[#This Row],[PREÇO JUSTO BAZIN]]-Table_1[[#This Row],[PREÇO]])/Table_1[[#This Row],[PREÇO JUSTO BAZIN]]</f>
        <v/>
      </c>
      <c r="V230" s="129">
        <f>Table_1[[#This Row],[DPA]]/6%</f>
        <v/>
      </c>
      <c r="W230" s="129">
        <f>Table_1[[#This Row],[PREÇO JUSTO BAZIN]]/(1+Table_1[[#This Row],[MARGEM DE DESCONTO]])</f>
        <v/>
      </c>
      <c r="X230" s="64">
        <f>(Table_1[[#This Row],[PREÇO JUSTO GRAHAM]]-Table_1[[#This Row],[PREÇO]])/Table_1[[#This Row],[PREÇO JUSTO GRAHAM]]</f>
        <v/>
      </c>
      <c r="Y230" s="129">
        <f>(22.5*Table_1[[#This Row],[LPA]]*Table_1[[#This Row],[VPA]])^0.5</f>
        <v/>
      </c>
      <c r="Z230" s="129">
        <f>Table_1[[#This Row],[PREÇO JUSTO GRAHAM]]/(1+Table_1[[#This Row],[MARGEM DE DESCONTO]])</f>
        <v/>
      </c>
      <c r="AA230" s="64">
        <f>(Table_1[[#This Row],[PREÇO JUSTO GORDON]]-Table_1[[#This Row],[PREÇO]])/Table_1[[#This Row],[PREÇO JUSTO GORDON]]</f>
        <v/>
      </c>
      <c r="AB230" s="130">
        <f>Table_1[[#This Row],[DPA]]*(1+Table_1[[#This Row],[MÉDIA DE CRESCIMENTO]])</f>
        <v/>
      </c>
      <c r="AC230" s="130">
        <f>Table_1[[#This Row],[D1]]/(Table_1[[#This Row],[RISCO]]-Table_1[[#This Row],[MÉDIA DE CRESCIMENTO]])</f>
        <v/>
      </c>
      <c r="AD230" s="130">
        <f>Table_1[[#This Row],[PREÇO JUSTO GORDON]]/(1+Table_1[[#This Row],[MARGEM DE DESCONTO]])</f>
        <v/>
      </c>
      <c r="AE230" s="78">
        <f>Table_1[[#This Row],[P/L]]/Table_1[[#This Row],[MÉDIA DE CRESCIMENTO]]</f>
        <v/>
      </c>
    </row>
    <row r="231" ht="15.75" customHeight="1">
      <c r="B231" s="77">
        <f>'Dados Status Invest'!A217</f>
        <v/>
      </c>
      <c r="C231" s="60">
        <f>VLOOKUP(Table_1[[#This Row],[AÇÕES]],'Classificação B3'!A:B,2,0)</f>
        <v/>
      </c>
      <c r="D231" s="60">
        <f>VLOOKUP(Table_1[[#This Row],[AÇÕES]],'Classificação B3'!A:D,4,0)</f>
        <v/>
      </c>
      <c r="E231" s="60">
        <f>VLOOKUP(Table_1[[#This Row],[AÇÕES]],'Classificação B3'!A:F,6,0)</f>
        <v/>
      </c>
      <c r="F231" s="60">
        <f>VLOOKUP(Table_1[[#This Row],[AÇÕES]],'Classificação B3'!A:G,7,0)</f>
        <v/>
      </c>
      <c r="G231" s="61">
        <f>VLOOKUP(Table_1[[#This Row],[AÇÕES]],'Dados Status Invest'!A:B,2,0)</f>
        <v/>
      </c>
      <c r="H231" s="62">
        <f>VLOOKUP(Table_1[[#This Row],[AÇÕES]],'Dados Status Invest'!A:C,3,0)/100</f>
        <v/>
      </c>
      <c r="I231" s="62">
        <f>VLOOKUP(Table_1[[#This Row],[AÇÕES]],'Dados Status Invest'!A:D,4,0)/100</f>
        <v/>
      </c>
      <c r="J231" s="63">
        <f>VLOOKUP(Table_1[[#This Row],[AÇÕES]],'Dados Status Invest'!A:AB,28,0)</f>
        <v/>
      </c>
      <c r="K231" s="63">
        <f>VLOOKUP(Table_1[[#This Row],[AÇÕES]],'Dados Status Invest'!A:AA,27,0)</f>
        <v/>
      </c>
      <c r="L231" s="63">
        <f>Table_1[[#This Row],[PREÇO]]*Table_1[[#This Row],[DY]]</f>
        <v/>
      </c>
      <c r="M231" s="62">
        <f>$E$13</f>
        <v/>
      </c>
      <c r="N231" s="62" t="n">
        <v>0.3</v>
      </c>
      <c r="O231" s="62">
        <f>Table_1[[#This Row],[DPA]]/Table_1[[#This Row],[LPA]]</f>
        <v/>
      </c>
      <c r="P231" s="62">
        <f>IF(Table_1[[#This Row],[PAYOUT]]&lt;=40%,"CRESCIMENTO",IF(Table_1[[#This Row],[PAYOUT]]&lt;=60%,"INDEFINIDO","DIVIDENDOS"))</f>
        <v/>
      </c>
      <c r="Q231" s="62">
        <f>VLOOKUP(Table_1[[#This Row],[AÇÕES]],'Dados Status Invest'!A:R,18,0)/100</f>
        <v/>
      </c>
      <c r="R231" s="62">
        <f>VLOOKUP(Table_1[[#This Row],[AÇÕES]],'Dados Status Invest'!A:Y,25,0)/100</f>
        <v/>
      </c>
      <c r="S231" s="62">
        <f>(1-Table_1[[#This Row],[PAYOUT]])*Table_1[[#This Row],[ROE]]</f>
        <v/>
      </c>
      <c r="T231" s="98">
        <f>AVERAGE(Table_1[[#This Row],[CAGR LUCRO 5A]],Table_1[[#This Row],[CRESCIMENTO DAMODARAN]])</f>
        <v/>
      </c>
      <c r="U231" s="64">
        <f>(Table_1[[#This Row],[PREÇO JUSTO BAZIN]]-Table_1[[#This Row],[PREÇO]])/Table_1[[#This Row],[PREÇO JUSTO BAZIN]]</f>
        <v/>
      </c>
      <c r="V231" s="129">
        <f>Table_1[[#This Row],[DPA]]/6%</f>
        <v/>
      </c>
      <c r="W231" s="129">
        <f>Table_1[[#This Row],[PREÇO JUSTO BAZIN]]/(1+Table_1[[#This Row],[MARGEM DE DESCONTO]])</f>
        <v/>
      </c>
      <c r="X231" s="64">
        <f>(Table_1[[#This Row],[PREÇO JUSTO GRAHAM]]-Table_1[[#This Row],[PREÇO]])/Table_1[[#This Row],[PREÇO JUSTO GRAHAM]]</f>
        <v/>
      </c>
      <c r="Y231" s="129">
        <f>(22.5*Table_1[[#This Row],[LPA]]*Table_1[[#This Row],[VPA]])^0.5</f>
        <v/>
      </c>
      <c r="Z231" s="129">
        <f>Table_1[[#This Row],[PREÇO JUSTO GRAHAM]]/(1+Table_1[[#This Row],[MARGEM DE DESCONTO]])</f>
        <v/>
      </c>
      <c r="AA231" s="64">
        <f>(Table_1[[#This Row],[PREÇO JUSTO GORDON]]-Table_1[[#This Row],[PREÇO]])/Table_1[[#This Row],[PREÇO JUSTO GORDON]]</f>
        <v/>
      </c>
      <c r="AB231" s="130">
        <f>Table_1[[#This Row],[DPA]]*(1+Table_1[[#This Row],[MÉDIA DE CRESCIMENTO]])</f>
        <v/>
      </c>
      <c r="AC231" s="130">
        <f>Table_1[[#This Row],[D1]]/(Table_1[[#This Row],[RISCO]]-Table_1[[#This Row],[MÉDIA DE CRESCIMENTO]])</f>
        <v/>
      </c>
      <c r="AD231" s="130">
        <f>Table_1[[#This Row],[PREÇO JUSTO GORDON]]/(1+Table_1[[#This Row],[MARGEM DE DESCONTO]])</f>
        <v/>
      </c>
      <c r="AE231" s="78">
        <f>Table_1[[#This Row],[P/L]]/Table_1[[#This Row],[MÉDIA DE CRESCIMENTO]]</f>
        <v/>
      </c>
    </row>
    <row r="232" ht="15.75" customHeight="1">
      <c r="B232" s="77">
        <f>'Dados Status Invest'!A218</f>
        <v/>
      </c>
      <c r="C232" s="60">
        <f>VLOOKUP(Table_1[[#This Row],[AÇÕES]],'Classificação B3'!A:B,2,0)</f>
        <v/>
      </c>
      <c r="D232" s="60">
        <f>VLOOKUP(Table_1[[#This Row],[AÇÕES]],'Classificação B3'!A:D,4,0)</f>
        <v/>
      </c>
      <c r="E232" s="60">
        <f>VLOOKUP(Table_1[[#This Row],[AÇÕES]],'Classificação B3'!A:F,6,0)</f>
        <v/>
      </c>
      <c r="F232" s="60">
        <f>VLOOKUP(Table_1[[#This Row],[AÇÕES]],'Classificação B3'!A:G,7,0)</f>
        <v/>
      </c>
      <c r="G232" s="61">
        <f>VLOOKUP(Table_1[[#This Row],[AÇÕES]],'Dados Status Invest'!A:B,2,0)</f>
        <v/>
      </c>
      <c r="H232" s="62">
        <f>VLOOKUP(Table_1[[#This Row],[AÇÕES]],'Dados Status Invest'!A:C,3,0)/100</f>
        <v/>
      </c>
      <c r="I232" s="62">
        <f>VLOOKUP(Table_1[[#This Row],[AÇÕES]],'Dados Status Invest'!A:D,4,0)/100</f>
        <v/>
      </c>
      <c r="J232" s="63">
        <f>VLOOKUP(Table_1[[#This Row],[AÇÕES]],'Dados Status Invest'!A:AB,28,0)</f>
        <v/>
      </c>
      <c r="K232" s="63">
        <f>VLOOKUP(Table_1[[#This Row],[AÇÕES]],'Dados Status Invest'!A:AA,27,0)</f>
        <v/>
      </c>
      <c r="L232" s="63">
        <f>Table_1[[#This Row],[PREÇO]]*Table_1[[#This Row],[DY]]</f>
        <v/>
      </c>
      <c r="M232" s="62">
        <f>$E$13</f>
        <v/>
      </c>
      <c r="N232" s="62" t="n">
        <v>0.3</v>
      </c>
      <c r="O232" s="62">
        <f>Table_1[[#This Row],[DPA]]/Table_1[[#This Row],[LPA]]</f>
        <v/>
      </c>
      <c r="P232" s="62">
        <f>IF(Table_1[[#This Row],[PAYOUT]]&lt;=40%,"CRESCIMENTO",IF(Table_1[[#This Row],[PAYOUT]]&lt;=60%,"INDEFINIDO","DIVIDENDOS"))</f>
        <v/>
      </c>
      <c r="Q232" s="62">
        <f>VLOOKUP(Table_1[[#This Row],[AÇÕES]],'Dados Status Invest'!A:R,18,0)/100</f>
        <v/>
      </c>
      <c r="R232" s="62">
        <f>VLOOKUP(Table_1[[#This Row],[AÇÕES]],'Dados Status Invest'!A:Y,25,0)/100</f>
        <v/>
      </c>
      <c r="S232" s="62">
        <f>(1-Table_1[[#This Row],[PAYOUT]])*Table_1[[#This Row],[ROE]]</f>
        <v/>
      </c>
      <c r="T232" s="98">
        <f>AVERAGE(Table_1[[#This Row],[CAGR LUCRO 5A]],Table_1[[#This Row],[CRESCIMENTO DAMODARAN]])</f>
        <v/>
      </c>
      <c r="U232" s="64">
        <f>(Table_1[[#This Row],[PREÇO JUSTO BAZIN]]-Table_1[[#This Row],[PREÇO]])/Table_1[[#This Row],[PREÇO JUSTO BAZIN]]</f>
        <v/>
      </c>
      <c r="V232" s="129">
        <f>Table_1[[#This Row],[DPA]]/6%</f>
        <v/>
      </c>
      <c r="W232" s="129">
        <f>Table_1[[#This Row],[PREÇO JUSTO BAZIN]]/(1+Table_1[[#This Row],[MARGEM DE DESCONTO]])</f>
        <v/>
      </c>
      <c r="X232" s="64">
        <f>(Table_1[[#This Row],[PREÇO JUSTO GRAHAM]]-Table_1[[#This Row],[PREÇO]])/Table_1[[#This Row],[PREÇO JUSTO GRAHAM]]</f>
        <v/>
      </c>
      <c r="Y232" s="129">
        <f>(22.5*Table_1[[#This Row],[LPA]]*Table_1[[#This Row],[VPA]])^0.5</f>
        <v/>
      </c>
      <c r="Z232" s="129">
        <f>Table_1[[#This Row],[PREÇO JUSTO GRAHAM]]/(1+Table_1[[#This Row],[MARGEM DE DESCONTO]])</f>
        <v/>
      </c>
      <c r="AA232" s="64">
        <f>(Table_1[[#This Row],[PREÇO JUSTO GORDON]]-Table_1[[#This Row],[PREÇO]])/Table_1[[#This Row],[PREÇO JUSTO GORDON]]</f>
        <v/>
      </c>
      <c r="AB232" s="130">
        <f>Table_1[[#This Row],[DPA]]*(1+Table_1[[#This Row],[MÉDIA DE CRESCIMENTO]])</f>
        <v/>
      </c>
      <c r="AC232" s="130">
        <f>Table_1[[#This Row],[D1]]/(Table_1[[#This Row],[RISCO]]-Table_1[[#This Row],[MÉDIA DE CRESCIMENTO]])</f>
        <v/>
      </c>
      <c r="AD232" s="130">
        <f>Table_1[[#This Row],[PREÇO JUSTO GORDON]]/(1+Table_1[[#This Row],[MARGEM DE DESCONTO]])</f>
        <v/>
      </c>
      <c r="AE232" s="78">
        <f>Table_1[[#This Row],[P/L]]/Table_1[[#This Row],[MÉDIA DE CRESCIMENTO]]</f>
        <v/>
      </c>
    </row>
    <row r="233" ht="15.75" customHeight="1">
      <c r="B233" s="77">
        <f>'Dados Status Invest'!A219</f>
        <v/>
      </c>
      <c r="C233" s="60">
        <f>VLOOKUP(Table_1[[#This Row],[AÇÕES]],'Classificação B3'!A:B,2,0)</f>
        <v/>
      </c>
      <c r="D233" s="60">
        <f>VLOOKUP(Table_1[[#This Row],[AÇÕES]],'Classificação B3'!A:D,4,0)</f>
        <v/>
      </c>
      <c r="E233" s="60">
        <f>VLOOKUP(Table_1[[#This Row],[AÇÕES]],'Classificação B3'!A:F,6,0)</f>
        <v/>
      </c>
      <c r="F233" s="60">
        <f>VLOOKUP(Table_1[[#This Row],[AÇÕES]],'Classificação B3'!A:G,7,0)</f>
        <v/>
      </c>
      <c r="G233" s="61">
        <f>VLOOKUP(Table_1[[#This Row],[AÇÕES]],'Dados Status Invest'!A:B,2,0)</f>
        <v/>
      </c>
      <c r="H233" s="62">
        <f>VLOOKUP(Table_1[[#This Row],[AÇÕES]],'Dados Status Invest'!A:C,3,0)/100</f>
        <v/>
      </c>
      <c r="I233" s="62">
        <f>VLOOKUP(Table_1[[#This Row],[AÇÕES]],'Dados Status Invest'!A:D,4,0)/100</f>
        <v/>
      </c>
      <c r="J233" s="63">
        <f>VLOOKUP(Table_1[[#This Row],[AÇÕES]],'Dados Status Invest'!A:AB,28,0)</f>
        <v/>
      </c>
      <c r="K233" s="63">
        <f>VLOOKUP(Table_1[[#This Row],[AÇÕES]],'Dados Status Invest'!A:AA,27,0)</f>
        <v/>
      </c>
      <c r="L233" s="63">
        <f>Table_1[[#This Row],[PREÇO]]*Table_1[[#This Row],[DY]]</f>
        <v/>
      </c>
      <c r="M233" s="62">
        <f>$E$13</f>
        <v/>
      </c>
      <c r="N233" s="62" t="n">
        <v>0.3</v>
      </c>
      <c r="O233" s="62">
        <f>Table_1[[#This Row],[DPA]]/Table_1[[#This Row],[LPA]]</f>
        <v/>
      </c>
      <c r="P233" s="62">
        <f>IF(Table_1[[#This Row],[PAYOUT]]&lt;=40%,"CRESCIMENTO",IF(Table_1[[#This Row],[PAYOUT]]&lt;=60%,"INDEFINIDO","DIVIDENDOS"))</f>
        <v/>
      </c>
      <c r="Q233" s="62">
        <f>VLOOKUP(Table_1[[#This Row],[AÇÕES]],'Dados Status Invest'!A:R,18,0)/100</f>
        <v/>
      </c>
      <c r="R233" s="62">
        <f>VLOOKUP(Table_1[[#This Row],[AÇÕES]],'Dados Status Invest'!A:Y,25,0)/100</f>
        <v/>
      </c>
      <c r="S233" s="62">
        <f>(1-Table_1[[#This Row],[PAYOUT]])*Table_1[[#This Row],[ROE]]</f>
        <v/>
      </c>
      <c r="T233" s="98">
        <f>AVERAGE(Table_1[[#This Row],[CAGR LUCRO 5A]],Table_1[[#This Row],[CRESCIMENTO DAMODARAN]])</f>
        <v/>
      </c>
      <c r="U233" s="64">
        <f>(Table_1[[#This Row],[PREÇO JUSTO BAZIN]]-Table_1[[#This Row],[PREÇO]])/Table_1[[#This Row],[PREÇO JUSTO BAZIN]]</f>
        <v/>
      </c>
      <c r="V233" s="129">
        <f>Table_1[[#This Row],[DPA]]/6%</f>
        <v/>
      </c>
      <c r="W233" s="129">
        <f>Table_1[[#This Row],[PREÇO JUSTO BAZIN]]/(1+Table_1[[#This Row],[MARGEM DE DESCONTO]])</f>
        <v/>
      </c>
      <c r="X233" s="64">
        <f>(Table_1[[#This Row],[PREÇO JUSTO GRAHAM]]-Table_1[[#This Row],[PREÇO]])/Table_1[[#This Row],[PREÇO JUSTO GRAHAM]]</f>
        <v/>
      </c>
      <c r="Y233" s="129">
        <f>(22.5*Table_1[[#This Row],[LPA]]*Table_1[[#This Row],[VPA]])^0.5</f>
        <v/>
      </c>
      <c r="Z233" s="129">
        <f>Table_1[[#This Row],[PREÇO JUSTO GRAHAM]]/(1+Table_1[[#This Row],[MARGEM DE DESCONTO]])</f>
        <v/>
      </c>
      <c r="AA233" s="64">
        <f>(Table_1[[#This Row],[PREÇO JUSTO GORDON]]-Table_1[[#This Row],[PREÇO]])/Table_1[[#This Row],[PREÇO JUSTO GORDON]]</f>
        <v/>
      </c>
      <c r="AB233" s="130">
        <f>Table_1[[#This Row],[DPA]]*(1+Table_1[[#This Row],[MÉDIA DE CRESCIMENTO]])</f>
        <v/>
      </c>
      <c r="AC233" s="130">
        <f>Table_1[[#This Row],[D1]]/(Table_1[[#This Row],[RISCO]]-Table_1[[#This Row],[MÉDIA DE CRESCIMENTO]])</f>
        <v/>
      </c>
      <c r="AD233" s="130">
        <f>Table_1[[#This Row],[PREÇO JUSTO GORDON]]/(1+Table_1[[#This Row],[MARGEM DE DESCONTO]])</f>
        <v/>
      </c>
      <c r="AE233" s="78">
        <f>Table_1[[#This Row],[P/L]]/Table_1[[#This Row],[MÉDIA DE CRESCIMENTO]]</f>
        <v/>
      </c>
    </row>
    <row r="234" ht="15.75" customHeight="1">
      <c r="B234" s="77">
        <f>'Dados Status Invest'!A220</f>
        <v/>
      </c>
      <c r="C234" s="60">
        <f>VLOOKUP(Table_1[[#This Row],[AÇÕES]],'Classificação B3'!A:B,2,0)</f>
        <v/>
      </c>
      <c r="D234" s="60">
        <f>VLOOKUP(Table_1[[#This Row],[AÇÕES]],'Classificação B3'!A:D,4,0)</f>
        <v/>
      </c>
      <c r="E234" s="60">
        <f>VLOOKUP(Table_1[[#This Row],[AÇÕES]],'Classificação B3'!A:F,6,0)</f>
        <v/>
      </c>
      <c r="F234" s="60">
        <f>VLOOKUP(Table_1[[#This Row],[AÇÕES]],'Classificação B3'!A:G,7,0)</f>
        <v/>
      </c>
      <c r="G234" s="61">
        <f>VLOOKUP(Table_1[[#This Row],[AÇÕES]],'Dados Status Invest'!A:B,2,0)</f>
        <v/>
      </c>
      <c r="H234" s="62">
        <f>VLOOKUP(Table_1[[#This Row],[AÇÕES]],'Dados Status Invest'!A:C,3,0)/100</f>
        <v/>
      </c>
      <c r="I234" s="62">
        <f>VLOOKUP(Table_1[[#This Row],[AÇÕES]],'Dados Status Invest'!A:D,4,0)/100</f>
        <v/>
      </c>
      <c r="J234" s="63">
        <f>VLOOKUP(Table_1[[#This Row],[AÇÕES]],'Dados Status Invest'!A:AB,28,0)</f>
        <v/>
      </c>
      <c r="K234" s="63">
        <f>VLOOKUP(Table_1[[#This Row],[AÇÕES]],'Dados Status Invest'!A:AA,27,0)</f>
        <v/>
      </c>
      <c r="L234" s="63">
        <f>Table_1[[#This Row],[PREÇO]]*Table_1[[#This Row],[DY]]</f>
        <v/>
      </c>
      <c r="M234" s="62">
        <f>$E$13</f>
        <v/>
      </c>
      <c r="N234" s="62" t="n">
        <v>0.3</v>
      </c>
      <c r="O234" s="62">
        <f>Table_1[[#This Row],[DPA]]/Table_1[[#This Row],[LPA]]</f>
        <v/>
      </c>
      <c r="P234" s="62">
        <f>IF(Table_1[[#This Row],[PAYOUT]]&lt;=40%,"CRESCIMENTO",IF(Table_1[[#This Row],[PAYOUT]]&lt;=60%,"INDEFINIDO","DIVIDENDOS"))</f>
        <v/>
      </c>
      <c r="Q234" s="62">
        <f>VLOOKUP(Table_1[[#This Row],[AÇÕES]],'Dados Status Invest'!A:R,18,0)/100</f>
        <v/>
      </c>
      <c r="R234" s="62">
        <f>VLOOKUP(Table_1[[#This Row],[AÇÕES]],'Dados Status Invest'!A:Y,25,0)/100</f>
        <v/>
      </c>
      <c r="S234" s="62">
        <f>(1-Table_1[[#This Row],[PAYOUT]])*Table_1[[#This Row],[ROE]]</f>
        <v/>
      </c>
      <c r="T234" s="98">
        <f>AVERAGE(Table_1[[#This Row],[CAGR LUCRO 5A]],Table_1[[#This Row],[CRESCIMENTO DAMODARAN]])</f>
        <v/>
      </c>
      <c r="U234" s="64">
        <f>(Table_1[[#This Row],[PREÇO JUSTO BAZIN]]-Table_1[[#This Row],[PREÇO]])/Table_1[[#This Row],[PREÇO JUSTO BAZIN]]</f>
        <v/>
      </c>
      <c r="V234" s="129">
        <f>Table_1[[#This Row],[DPA]]/6%</f>
        <v/>
      </c>
      <c r="W234" s="129">
        <f>Table_1[[#This Row],[PREÇO JUSTO BAZIN]]/(1+Table_1[[#This Row],[MARGEM DE DESCONTO]])</f>
        <v/>
      </c>
      <c r="X234" s="64">
        <f>(Table_1[[#This Row],[PREÇO JUSTO GRAHAM]]-Table_1[[#This Row],[PREÇO]])/Table_1[[#This Row],[PREÇO JUSTO GRAHAM]]</f>
        <v/>
      </c>
      <c r="Y234" s="129">
        <f>(22.5*Table_1[[#This Row],[LPA]]*Table_1[[#This Row],[VPA]])^0.5</f>
        <v/>
      </c>
      <c r="Z234" s="129">
        <f>Table_1[[#This Row],[PREÇO JUSTO GRAHAM]]/(1+Table_1[[#This Row],[MARGEM DE DESCONTO]])</f>
        <v/>
      </c>
      <c r="AA234" s="64">
        <f>(Table_1[[#This Row],[PREÇO JUSTO GORDON]]-Table_1[[#This Row],[PREÇO]])/Table_1[[#This Row],[PREÇO JUSTO GORDON]]</f>
        <v/>
      </c>
      <c r="AB234" s="130">
        <f>Table_1[[#This Row],[DPA]]*(1+Table_1[[#This Row],[MÉDIA DE CRESCIMENTO]])</f>
        <v/>
      </c>
      <c r="AC234" s="130">
        <f>Table_1[[#This Row],[D1]]/(Table_1[[#This Row],[RISCO]]-Table_1[[#This Row],[MÉDIA DE CRESCIMENTO]])</f>
        <v/>
      </c>
      <c r="AD234" s="130">
        <f>Table_1[[#This Row],[PREÇO JUSTO GORDON]]/(1+Table_1[[#This Row],[MARGEM DE DESCONTO]])</f>
        <v/>
      </c>
      <c r="AE234" s="78">
        <f>Table_1[[#This Row],[P/L]]/Table_1[[#This Row],[MÉDIA DE CRESCIMENTO]]</f>
        <v/>
      </c>
    </row>
    <row r="235" ht="15.75" customHeight="1">
      <c r="B235" s="77">
        <f>'Dados Status Invest'!A221</f>
        <v/>
      </c>
      <c r="C235" s="60">
        <f>VLOOKUP(Table_1[[#This Row],[AÇÕES]],'Classificação B3'!A:B,2,0)</f>
        <v/>
      </c>
      <c r="D235" s="60">
        <f>VLOOKUP(Table_1[[#This Row],[AÇÕES]],'Classificação B3'!A:D,4,0)</f>
        <v/>
      </c>
      <c r="E235" s="60">
        <f>VLOOKUP(Table_1[[#This Row],[AÇÕES]],'Classificação B3'!A:F,6,0)</f>
        <v/>
      </c>
      <c r="F235" s="60">
        <f>VLOOKUP(Table_1[[#This Row],[AÇÕES]],'Classificação B3'!A:G,7,0)</f>
        <v/>
      </c>
      <c r="G235" s="61">
        <f>VLOOKUP(Table_1[[#This Row],[AÇÕES]],'Dados Status Invest'!A:B,2,0)</f>
        <v/>
      </c>
      <c r="H235" s="62">
        <f>VLOOKUP(Table_1[[#This Row],[AÇÕES]],'Dados Status Invest'!A:C,3,0)/100</f>
        <v/>
      </c>
      <c r="I235" s="62">
        <f>VLOOKUP(Table_1[[#This Row],[AÇÕES]],'Dados Status Invest'!A:D,4,0)/100</f>
        <v/>
      </c>
      <c r="J235" s="63">
        <f>VLOOKUP(Table_1[[#This Row],[AÇÕES]],'Dados Status Invest'!A:AB,28,0)</f>
        <v/>
      </c>
      <c r="K235" s="63">
        <f>VLOOKUP(Table_1[[#This Row],[AÇÕES]],'Dados Status Invest'!A:AA,27,0)</f>
        <v/>
      </c>
      <c r="L235" s="63">
        <f>Table_1[[#This Row],[PREÇO]]*Table_1[[#This Row],[DY]]</f>
        <v/>
      </c>
      <c r="M235" s="62">
        <f>$E$13</f>
        <v/>
      </c>
      <c r="N235" s="62" t="n">
        <v>0.3</v>
      </c>
      <c r="O235" s="62">
        <f>Table_1[[#This Row],[DPA]]/Table_1[[#This Row],[LPA]]</f>
        <v/>
      </c>
      <c r="P235" s="62">
        <f>IF(Table_1[[#This Row],[PAYOUT]]&lt;=40%,"CRESCIMENTO",IF(Table_1[[#This Row],[PAYOUT]]&lt;=60%,"INDEFINIDO","DIVIDENDOS"))</f>
        <v/>
      </c>
      <c r="Q235" s="62">
        <f>VLOOKUP(Table_1[[#This Row],[AÇÕES]],'Dados Status Invest'!A:R,18,0)/100</f>
        <v/>
      </c>
      <c r="R235" s="62">
        <f>VLOOKUP(Table_1[[#This Row],[AÇÕES]],'Dados Status Invest'!A:Y,25,0)/100</f>
        <v/>
      </c>
      <c r="S235" s="62">
        <f>(1-Table_1[[#This Row],[PAYOUT]])*Table_1[[#This Row],[ROE]]</f>
        <v/>
      </c>
      <c r="T235" s="98">
        <f>AVERAGE(Table_1[[#This Row],[CAGR LUCRO 5A]],Table_1[[#This Row],[CRESCIMENTO DAMODARAN]])</f>
        <v/>
      </c>
      <c r="U235" s="64">
        <f>(Table_1[[#This Row],[PREÇO JUSTO BAZIN]]-Table_1[[#This Row],[PREÇO]])/Table_1[[#This Row],[PREÇO JUSTO BAZIN]]</f>
        <v/>
      </c>
      <c r="V235" s="129">
        <f>Table_1[[#This Row],[DPA]]/6%</f>
        <v/>
      </c>
      <c r="W235" s="129">
        <f>Table_1[[#This Row],[PREÇO JUSTO BAZIN]]/(1+Table_1[[#This Row],[MARGEM DE DESCONTO]])</f>
        <v/>
      </c>
      <c r="X235" s="64">
        <f>(Table_1[[#This Row],[PREÇO JUSTO GRAHAM]]-Table_1[[#This Row],[PREÇO]])/Table_1[[#This Row],[PREÇO JUSTO GRAHAM]]</f>
        <v/>
      </c>
      <c r="Y235" s="129">
        <f>(22.5*Table_1[[#This Row],[LPA]]*Table_1[[#This Row],[VPA]])^0.5</f>
        <v/>
      </c>
      <c r="Z235" s="129">
        <f>Table_1[[#This Row],[PREÇO JUSTO GRAHAM]]/(1+Table_1[[#This Row],[MARGEM DE DESCONTO]])</f>
        <v/>
      </c>
      <c r="AA235" s="64">
        <f>(Table_1[[#This Row],[PREÇO JUSTO GORDON]]-Table_1[[#This Row],[PREÇO]])/Table_1[[#This Row],[PREÇO JUSTO GORDON]]</f>
        <v/>
      </c>
      <c r="AB235" s="130">
        <f>Table_1[[#This Row],[DPA]]*(1+Table_1[[#This Row],[MÉDIA DE CRESCIMENTO]])</f>
        <v/>
      </c>
      <c r="AC235" s="130">
        <f>Table_1[[#This Row],[D1]]/(Table_1[[#This Row],[RISCO]]-Table_1[[#This Row],[MÉDIA DE CRESCIMENTO]])</f>
        <v/>
      </c>
      <c r="AD235" s="130">
        <f>Table_1[[#This Row],[PREÇO JUSTO GORDON]]/(1+Table_1[[#This Row],[MARGEM DE DESCONTO]])</f>
        <v/>
      </c>
      <c r="AE235" s="78">
        <f>Table_1[[#This Row],[P/L]]/Table_1[[#This Row],[MÉDIA DE CRESCIMENTO]]</f>
        <v/>
      </c>
    </row>
    <row r="236" ht="15.75" customHeight="1">
      <c r="B236" s="77">
        <f>'Dados Status Invest'!A222</f>
        <v/>
      </c>
      <c r="C236" s="60">
        <f>VLOOKUP(Table_1[[#This Row],[AÇÕES]],'Classificação B3'!A:B,2,0)</f>
        <v/>
      </c>
      <c r="D236" s="60">
        <f>VLOOKUP(Table_1[[#This Row],[AÇÕES]],'Classificação B3'!A:D,4,0)</f>
        <v/>
      </c>
      <c r="E236" s="60">
        <f>VLOOKUP(Table_1[[#This Row],[AÇÕES]],'Classificação B3'!A:F,6,0)</f>
        <v/>
      </c>
      <c r="F236" s="60">
        <f>VLOOKUP(Table_1[[#This Row],[AÇÕES]],'Classificação B3'!A:G,7,0)</f>
        <v/>
      </c>
      <c r="G236" s="61">
        <f>VLOOKUP(Table_1[[#This Row],[AÇÕES]],'Dados Status Invest'!A:B,2,0)</f>
        <v/>
      </c>
      <c r="H236" s="62">
        <f>VLOOKUP(Table_1[[#This Row],[AÇÕES]],'Dados Status Invest'!A:C,3,0)/100</f>
        <v/>
      </c>
      <c r="I236" s="62">
        <f>VLOOKUP(Table_1[[#This Row],[AÇÕES]],'Dados Status Invest'!A:D,4,0)/100</f>
        <v/>
      </c>
      <c r="J236" s="63">
        <f>VLOOKUP(Table_1[[#This Row],[AÇÕES]],'Dados Status Invest'!A:AB,28,0)</f>
        <v/>
      </c>
      <c r="K236" s="63">
        <f>VLOOKUP(Table_1[[#This Row],[AÇÕES]],'Dados Status Invest'!A:AA,27,0)</f>
        <v/>
      </c>
      <c r="L236" s="63">
        <f>Table_1[[#This Row],[PREÇO]]*Table_1[[#This Row],[DY]]</f>
        <v/>
      </c>
      <c r="M236" s="62">
        <f>$E$13</f>
        <v/>
      </c>
      <c r="N236" s="62" t="n">
        <v>0.3</v>
      </c>
      <c r="O236" s="62">
        <f>Table_1[[#This Row],[DPA]]/Table_1[[#This Row],[LPA]]</f>
        <v/>
      </c>
      <c r="P236" s="62">
        <f>IF(Table_1[[#This Row],[PAYOUT]]&lt;=40%,"CRESCIMENTO",IF(Table_1[[#This Row],[PAYOUT]]&lt;=60%,"INDEFINIDO","DIVIDENDOS"))</f>
        <v/>
      </c>
      <c r="Q236" s="62">
        <f>VLOOKUP(Table_1[[#This Row],[AÇÕES]],'Dados Status Invest'!A:R,18,0)/100</f>
        <v/>
      </c>
      <c r="R236" s="62">
        <f>VLOOKUP(Table_1[[#This Row],[AÇÕES]],'Dados Status Invest'!A:Y,25,0)/100</f>
        <v/>
      </c>
      <c r="S236" s="62">
        <f>(1-Table_1[[#This Row],[PAYOUT]])*Table_1[[#This Row],[ROE]]</f>
        <v/>
      </c>
      <c r="T236" s="98">
        <f>AVERAGE(Table_1[[#This Row],[CAGR LUCRO 5A]],Table_1[[#This Row],[CRESCIMENTO DAMODARAN]])</f>
        <v/>
      </c>
      <c r="U236" s="64">
        <f>(Table_1[[#This Row],[PREÇO JUSTO BAZIN]]-Table_1[[#This Row],[PREÇO]])/Table_1[[#This Row],[PREÇO JUSTO BAZIN]]</f>
        <v/>
      </c>
      <c r="V236" s="129">
        <f>Table_1[[#This Row],[DPA]]/6%</f>
        <v/>
      </c>
      <c r="W236" s="129">
        <f>Table_1[[#This Row],[PREÇO JUSTO BAZIN]]/(1+Table_1[[#This Row],[MARGEM DE DESCONTO]])</f>
        <v/>
      </c>
      <c r="X236" s="64">
        <f>(Table_1[[#This Row],[PREÇO JUSTO GRAHAM]]-Table_1[[#This Row],[PREÇO]])/Table_1[[#This Row],[PREÇO JUSTO GRAHAM]]</f>
        <v/>
      </c>
      <c r="Y236" s="129">
        <f>(22.5*Table_1[[#This Row],[LPA]]*Table_1[[#This Row],[VPA]])^0.5</f>
        <v/>
      </c>
      <c r="Z236" s="129">
        <f>Table_1[[#This Row],[PREÇO JUSTO GRAHAM]]/(1+Table_1[[#This Row],[MARGEM DE DESCONTO]])</f>
        <v/>
      </c>
      <c r="AA236" s="64">
        <f>(Table_1[[#This Row],[PREÇO JUSTO GORDON]]-Table_1[[#This Row],[PREÇO]])/Table_1[[#This Row],[PREÇO JUSTO GORDON]]</f>
        <v/>
      </c>
      <c r="AB236" s="130">
        <f>Table_1[[#This Row],[DPA]]*(1+Table_1[[#This Row],[MÉDIA DE CRESCIMENTO]])</f>
        <v/>
      </c>
      <c r="AC236" s="130">
        <f>Table_1[[#This Row],[D1]]/(Table_1[[#This Row],[RISCO]]-Table_1[[#This Row],[MÉDIA DE CRESCIMENTO]])</f>
        <v/>
      </c>
      <c r="AD236" s="130">
        <f>Table_1[[#This Row],[PREÇO JUSTO GORDON]]/(1+Table_1[[#This Row],[MARGEM DE DESCONTO]])</f>
        <v/>
      </c>
      <c r="AE236" s="78">
        <f>Table_1[[#This Row],[P/L]]/Table_1[[#This Row],[MÉDIA DE CRESCIMENTO]]</f>
        <v/>
      </c>
    </row>
    <row r="237" ht="15.75" customHeight="1">
      <c r="B237" s="77">
        <f>'Dados Status Invest'!A223</f>
        <v/>
      </c>
      <c r="C237" s="60">
        <f>VLOOKUP(Table_1[[#This Row],[AÇÕES]],'Classificação B3'!A:B,2,0)</f>
        <v/>
      </c>
      <c r="D237" s="60">
        <f>VLOOKUP(Table_1[[#This Row],[AÇÕES]],'Classificação B3'!A:D,4,0)</f>
        <v/>
      </c>
      <c r="E237" s="60">
        <f>VLOOKUP(Table_1[[#This Row],[AÇÕES]],'Classificação B3'!A:F,6,0)</f>
        <v/>
      </c>
      <c r="F237" s="60">
        <f>VLOOKUP(Table_1[[#This Row],[AÇÕES]],'Classificação B3'!A:G,7,0)</f>
        <v/>
      </c>
      <c r="G237" s="61">
        <f>VLOOKUP(Table_1[[#This Row],[AÇÕES]],'Dados Status Invest'!A:B,2,0)</f>
        <v/>
      </c>
      <c r="H237" s="62">
        <f>VLOOKUP(Table_1[[#This Row],[AÇÕES]],'Dados Status Invest'!A:C,3,0)/100</f>
        <v/>
      </c>
      <c r="I237" s="62">
        <f>VLOOKUP(Table_1[[#This Row],[AÇÕES]],'Dados Status Invest'!A:D,4,0)/100</f>
        <v/>
      </c>
      <c r="J237" s="63">
        <f>VLOOKUP(Table_1[[#This Row],[AÇÕES]],'Dados Status Invest'!A:AB,28,0)</f>
        <v/>
      </c>
      <c r="K237" s="63">
        <f>VLOOKUP(Table_1[[#This Row],[AÇÕES]],'Dados Status Invest'!A:AA,27,0)</f>
        <v/>
      </c>
      <c r="L237" s="63">
        <f>Table_1[[#This Row],[PREÇO]]*Table_1[[#This Row],[DY]]</f>
        <v/>
      </c>
      <c r="M237" s="62">
        <f>$E$13</f>
        <v/>
      </c>
      <c r="N237" s="62" t="n">
        <v>0.3</v>
      </c>
      <c r="O237" s="62">
        <f>Table_1[[#This Row],[DPA]]/Table_1[[#This Row],[LPA]]</f>
        <v/>
      </c>
      <c r="P237" s="62">
        <f>IF(Table_1[[#This Row],[PAYOUT]]&lt;=40%,"CRESCIMENTO",IF(Table_1[[#This Row],[PAYOUT]]&lt;=60%,"INDEFINIDO","DIVIDENDOS"))</f>
        <v/>
      </c>
      <c r="Q237" s="62">
        <f>VLOOKUP(Table_1[[#This Row],[AÇÕES]],'Dados Status Invest'!A:R,18,0)/100</f>
        <v/>
      </c>
      <c r="R237" s="62">
        <f>VLOOKUP(Table_1[[#This Row],[AÇÕES]],'Dados Status Invest'!A:Y,25,0)/100</f>
        <v/>
      </c>
      <c r="S237" s="62">
        <f>(1-Table_1[[#This Row],[PAYOUT]])*Table_1[[#This Row],[ROE]]</f>
        <v/>
      </c>
      <c r="T237" s="98">
        <f>AVERAGE(Table_1[[#This Row],[CAGR LUCRO 5A]],Table_1[[#This Row],[CRESCIMENTO DAMODARAN]])</f>
        <v/>
      </c>
      <c r="U237" s="64">
        <f>(Table_1[[#This Row],[PREÇO JUSTO BAZIN]]-Table_1[[#This Row],[PREÇO]])/Table_1[[#This Row],[PREÇO JUSTO BAZIN]]</f>
        <v/>
      </c>
      <c r="V237" s="129">
        <f>Table_1[[#This Row],[DPA]]/6%</f>
        <v/>
      </c>
      <c r="W237" s="129">
        <f>Table_1[[#This Row],[PREÇO JUSTO BAZIN]]/(1+Table_1[[#This Row],[MARGEM DE DESCONTO]])</f>
        <v/>
      </c>
      <c r="X237" s="64">
        <f>(Table_1[[#This Row],[PREÇO JUSTO GRAHAM]]-Table_1[[#This Row],[PREÇO]])/Table_1[[#This Row],[PREÇO JUSTO GRAHAM]]</f>
        <v/>
      </c>
      <c r="Y237" s="129">
        <f>(22.5*Table_1[[#This Row],[LPA]]*Table_1[[#This Row],[VPA]])^0.5</f>
        <v/>
      </c>
      <c r="Z237" s="129">
        <f>Table_1[[#This Row],[PREÇO JUSTO GRAHAM]]/(1+Table_1[[#This Row],[MARGEM DE DESCONTO]])</f>
        <v/>
      </c>
      <c r="AA237" s="64">
        <f>(Table_1[[#This Row],[PREÇO JUSTO GORDON]]-Table_1[[#This Row],[PREÇO]])/Table_1[[#This Row],[PREÇO JUSTO GORDON]]</f>
        <v/>
      </c>
      <c r="AB237" s="130">
        <f>Table_1[[#This Row],[DPA]]*(1+Table_1[[#This Row],[MÉDIA DE CRESCIMENTO]])</f>
        <v/>
      </c>
      <c r="AC237" s="130">
        <f>Table_1[[#This Row],[D1]]/(Table_1[[#This Row],[RISCO]]-Table_1[[#This Row],[MÉDIA DE CRESCIMENTO]])</f>
        <v/>
      </c>
      <c r="AD237" s="130">
        <f>Table_1[[#This Row],[PREÇO JUSTO GORDON]]/(1+Table_1[[#This Row],[MARGEM DE DESCONTO]])</f>
        <v/>
      </c>
      <c r="AE237" s="78">
        <f>Table_1[[#This Row],[P/L]]/Table_1[[#This Row],[MÉDIA DE CRESCIMENTO]]</f>
        <v/>
      </c>
    </row>
    <row r="238" ht="15.75" customHeight="1">
      <c r="B238" s="77">
        <f>'Dados Status Invest'!A224</f>
        <v/>
      </c>
      <c r="C238" s="60">
        <f>VLOOKUP(Table_1[[#This Row],[AÇÕES]],'Classificação B3'!A:B,2,0)</f>
        <v/>
      </c>
      <c r="D238" s="60">
        <f>VLOOKUP(Table_1[[#This Row],[AÇÕES]],'Classificação B3'!A:D,4,0)</f>
        <v/>
      </c>
      <c r="E238" s="60">
        <f>VLOOKUP(Table_1[[#This Row],[AÇÕES]],'Classificação B3'!A:F,6,0)</f>
        <v/>
      </c>
      <c r="F238" s="60">
        <f>VLOOKUP(Table_1[[#This Row],[AÇÕES]],'Classificação B3'!A:G,7,0)</f>
        <v/>
      </c>
      <c r="G238" s="61">
        <f>VLOOKUP(Table_1[[#This Row],[AÇÕES]],'Dados Status Invest'!A:B,2,0)</f>
        <v/>
      </c>
      <c r="H238" s="62">
        <f>VLOOKUP(Table_1[[#This Row],[AÇÕES]],'Dados Status Invest'!A:C,3,0)/100</f>
        <v/>
      </c>
      <c r="I238" s="62">
        <f>VLOOKUP(Table_1[[#This Row],[AÇÕES]],'Dados Status Invest'!A:D,4,0)/100</f>
        <v/>
      </c>
      <c r="J238" s="63">
        <f>VLOOKUP(Table_1[[#This Row],[AÇÕES]],'Dados Status Invest'!A:AB,28,0)</f>
        <v/>
      </c>
      <c r="K238" s="63">
        <f>VLOOKUP(Table_1[[#This Row],[AÇÕES]],'Dados Status Invest'!A:AA,27,0)</f>
        <v/>
      </c>
      <c r="L238" s="63">
        <f>Table_1[[#This Row],[PREÇO]]*Table_1[[#This Row],[DY]]</f>
        <v/>
      </c>
      <c r="M238" s="62">
        <f>$E$13</f>
        <v/>
      </c>
      <c r="N238" s="62" t="n">
        <v>0.3</v>
      </c>
      <c r="O238" s="62">
        <f>Table_1[[#This Row],[DPA]]/Table_1[[#This Row],[LPA]]</f>
        <v/>
      </c>
      <c r="P238" s="62">
        <f>IF(Table_1[[#This Row],[PAYOUT]]&lt;=40%,"CRESCIMENTO",IF(Table_1[[#This Row],[PAYOUT]]&lt;=60%,"INDEFINIDO","DIVIDENDOS"))</f>
        <v/>
      </c>
      <c r="Q238" s="62">
        <f>VLOOKUP(Table_1[[#This Row],[AÇÕES]],'Dados Status Invest'!A:R,18,0)/100</f>
        <v/>
      </c>
      <c r="R238" s="62">
        <f>VLOOKUP(Table_1[[#This Row],[AÇÕES]],'Dados Status Invest'!A:Y,25,0)/100</f>
        <v/>
      </c>
      <c r="S238" s="62">
        <f>(1-Table_1[[#This Row],[PAYOUT]])*Table_1[[#This Row],[ROE]]</f>
        <v/>
      </c>
      <c r="T238" s="98">
        <f>AVERAGE(Table_1[[#This Row],[CAGR LUCRO 5A]],Table_1[[#This Row],[CRESCIMENTO DAMODARAN]])</f>
        <v/>
      </c>
      <c r="U238" s="64">
        <f>(Table_1[[#This Row],[PREÇO JUSTO BAZIN]]-Table_1[[#This Row],[PREÇO]])/Table_1[[#This Row],[PREÇO JUSTO BAZIN]]</f>
        <v/>
      </c>
      <c r="V238" s="129">
        <f>Table_1[[#This Row],[DPA]]/6%</f>
        <v/>
      </c>
      <c r="W238" s="129">
        <f>Table_1[[#This Row],[PREÇO JUSTO BAZIN]]/(1+Table_1[[#This Row],[MARGEM DE DESCONTO]])</f>
        <v/>
      </c>
      <c r="X238" s="64">
        <f>(Table_1[[#This Row],[PREÇO JUSTO GRAHAM]]-Table_1[[#This Row],[PREÇO]])/Table_1[[#This Row],[PREÇO JUSTO GRAHAM]]</f>
        <v/>
      </c>
      <c r="Y238" s="129">
        <f>(22.5*Table_1[[#This Row],[LPA]]*Table_1[[#This Row],[VPA]])^0.5</f>
        <v/>
      </c>
      <c r="Z238" s="129">
        <f>Table_1[[#This Row],[PREÇO JUSTO GRAHAM]]/(1+Table_1[[#This Row],[MARGEM DE DESCONTO]])</f>
        <v/>
      </c>
      <c r="AA238" s="64">
        <f>(Table_1[[#This Row],[PREÇO JUSTO GORDON]]-Table_1[[#This Row],[PREÇO]])/Table_1[[#This Row],[PREÇO JUSTO GORDON]]</f>
        <v/>
      </c>
      <c r="AB238" s="130">
        <f>Table_1[[#This Row],[DPA]]*(1+Table_1[[#This Row],[MÉDIA DE CRESCIMENTO]])</f>
        <v/>
      </c>
      <c r="AC238" s="130">
        <f>Table_1[[#This Row],[D1]]/(Table_1[[#This Row],[RISCO]]-Table_1[[#This Row],[MÉDIA DE CRESCIMENTO]])</f>
        <v/>
      </c>
      <c r="AD238" s="130">
        <f>Table_1[[#This Row],[PREÇO JUSTO GORDON]]/(1+Table_1[[#This Row],[MARGEM DE DESCONTO]])</f>
        <v/>
      </c>
      <c r="AE238" s="78">
        <f>Table_1[[#This Row],[P/L]]/Table_1[[#This Row],[MÉDIA DE CRESCIMENTO]]</f>
        <v/>
      </c>
    </row>
    <row r="239" ht="15.75" customHeight="1">
      <c r="B239" s="77">
        <f>'Dados Status Invest'!A225</f>
        <v/>
      </c>
      <c r="C239" s="60">
        <f>VLOOKUP(Table_1[[#This Row],[AÇÕES]],'Classificação B3'!A:B,2,0)</f>
        <v/>
      </c>
      <c r="D239" s="60">
        <f>VLOOKUP(Table_1[[#This Row],[AÇÕES]],'Classificação B3'!A:D,4,0)</f>
        <v/>
      </c>
      <c r="E239" s="60">
        <f>VLOOKUP(Table_1[[#This Row],[AÇÕES]],'Classificação B3'!A:F,6,0)</f>
        <v/>
      </c>
      <c r="F239" s="60">
        <f>VLOOKUP(Table_1[[#This Row],[AÇÕES]],'Classificação B3'!A:G,7,0)</f>
        <v/>
      </c>
      <c r="G239" s="61">
        <f>VLOOKUP(Table_1[[#This Row],[AÇÕES]],'Dados Status Invest'!A:B,2,0)</f>
        <v/>
      </c>
      <c r="H239" s="62">
        <f>VLOOKUP(Table_1[[#This Row],[AÇÕES]],'Dados Status Invest'!A:C,3,0)/100</f>
        <v/>
      </c>
      <c r="I239" s="62">
        <f>VLOOKUP(Table_1[[#This Row],[AÇÕES]],'Dados Status Invest'!A:D,4,0)/100</f>
        <v/>
      </c>
      <c r="J239" s="63">
        <f>VLOOKUP(Table_1[[#This Row],[AÇÕES]],'Dados Status Invest'!A:AB,28,0)</f>
        <v/>
      </c>
      <c r="K239" s="63">
        <f>VLOOKUP(Table_1[[#This Row],[AÇÕES]],'Dados Status Invest'!A:AA,27,0)</f>
        <v/>
      </c>
      <c r="L239" s="63">
        <f>Table_1[[#This Row],[PREÇO]]*Table_1[[#This Row],[DY]]</f>
        <v/>
      </c>
      <c r="M239" s="62">
        <f>$E$13</f>
        <v/>
      </c>
      <c r="N239" s="62" t="n">
        <v>0.3</v>
      </c>
      <c r="O239" s="62">
        <f>Table_1[[#This Row],[DPA]]/Table_1[[#This Row],[LPA]]</f>
        <v/>
      </c>
      <c r="P239" s="62">
        <f>IF(Table_1[[#This Row],[PAYOUT]]&lt;=40%,"CRESCIMENTO",IF(Table_1[[#This Row],[PAYOUT]]&lt;=60%,"INDEFINIDO","DIVIDENDOS"))</f>
        <v/>
      </c>
      <c r="Q239" s="62">
        <f>VLOOKUP(Table_1[[#This Row],[AÇÕES]],'Dados Status Invest'!A:R,18,0)/100</f>
        <v/>
      </c>
      <c r="R239" s="62">
        <f>VLOOKUP(Table_1[[#This Row],[AÇÕES]],'Dados Status Invest'!A:Y,25,0)/100</f>
        <v/>
      </c>
      <c r="S239" s="62">
        <f>(1-Table_1[[#This Row],[PAYOUT]])*Table_1[[#This Row],[ROE]]</f>
        <v/>
      </c>
      <c r="T239" s="98">
        <f>AVERAGE(Table_1[[#This Row],[CAGR LUCRO 5A]],Table_1[[#This Row],[CRESCIMENTO DAMODARAN]])</f>
        <v/>
      </c>
      <c r="U239" s="64">
        <f>(Table_1[[#This Row],[PREÇO JUSTO BAZIN]]-Table_1[[#This Row],[PREÇO]])/Table_1[[#This Row],[PREÇO JUSTO BAZIN]]</f>
        <v/>
      </c>
      <c r="V239" s="129">
        <f>Table_1[[#This Row],[DPA]]/6%</f>
        <v/>
      </c>
      <c r="W239" s="129">
        <f>Table_1[[#This Row],[PREÇO JUSTO BAZIN]]/(1+Table_1[[#This Row],[MARGEM DE DESCONTO]])</f>
        <v/>
      </c>
      <c r="X239" s="64">
        <f>(Table_1[[#This Row],[PREÇO JUSTO GRAHAM]]-Table_1[[#This Row],[PREÇO]])/Table_1[[#This Row],[PREÇO JUSTO GRAHAM]]</f>
        <v/>
      </c>
      <c r="Y239" s="129">
        <f>(22.5*Table_1[[#This Row],[LPA]]*Table_1[[#This Row],[VPA]])^0.5</f>
        <v/>
      </c>
      <c r="Z239" s="129">
        <f>Table_1[[#This Row],[PREÇO JUSTO GRAHAM]]/(1+Table_1[[#This Row],[MARGEM DE DESCONTO]])</f>
        <v/>
      </c>
      <c r="AA239" s="64">
        <f>(Table_1[[#This Row],[PREÇO JUSTO GORDON]]-Table_1[[#This Row],[PREÇO]])/Table_1[[#This Row],[PREÇO JUSTO GORDON]]</f>
        <v/>
      </c>
      <c r="AB239" s="130">
        <f>Table_1[[#This Row],[DPA]]*(1+Table_1[[#This Row],[MÉDIA DE CRESCIMENTO]])</f>
        <v/>
      </c>
      <c r="AC239" s="130">
        <f>Table_1[[#This Row],[D1]]/(Table_1[[#This Row],[RISCO]]-Table_1[[#This Row],[MÉDIA DE CRESCIMENTO]])</f>
        <v/>
      </c>
      <c r="AD239" s="130">
        <f>Table_1[[#This Row],[PREÇO JUSTO GORDON]]/(1+Table_1[[#This Row],[MARGEM DE DESCONTO]])</f>
        <v/>
      </c>
      <c r="AE239" s="78">
        <f>Table_1[[#This Row],[P/L]]/Table_1[[#This Row],[MÉDIA DE CRESCIMENTO]]</f>
        <v/>
      </c>
    </row>
    <row r="240" ht="15.75" customHeight="1">
      <c r="B240" s="77">
        <f>'Dados Status Invest'!A226</f>
        <v/>
      </c>
      <c r="C240" s="60">
        <f>VLOOKUP(Table_1[[#This Row],[AÇÕES]],'Classificação B3'!A:B,2,0)</f>
        <v/>
      </c>
      <c r="D240" s="60">
        <f>VLOOKUP(Table_1[[#This Row],[AÇÕES]],'Classificação B3'!A:D,4,0)</f>
        <v/>
      </c>
      <c r="E240" s="60">
        <f>VLOOKUP(Table_1[[#This Row],[AÇÕES]],'Classificação B3'!A:F,6,0)</f>
        <v/>
      </c>
      <c r="F240" s="60">
        <f>VLOOKUP(Table_1[[#This Row],[AÇÕES]],'Classificação B3'!A:G,7,0)</f>
        <v/>
      </c>
      <c r="G240" s="61">
        <f>VLOOKUP(Table_1[[#This Row],[AÇÕES]],'Dados Status Invest'!A:B,2,0)</f>
        <v/>
      </c>
      <c r="H240" s="62">
        <f>VLOOKUP(Table_1[[#This Row],[AÇÕES]],'Dados Status Invest'!A:C,3,0)/100</f>
        <v/>
      </c>
      <c r="I240" s="62">
        <f>VLOOKUP(Table_1[[#This Row],[AÇÕES]],'Dados Status Invest'!A:D,4,0)/100</f>
        <v/>
      </c>
      <c r="J240" s="63">
        <f>VLOOKUP(Table_1[[#This Row],[AÇÕES]],'Dados Status Invest'!A:AB,28,0)</f>
        <v/>
      </c>
      <c r="K240" s="63">
        <f>VLOOKUP(Table_1[[#This Row],[AÇÕES]],'Dados Status Invest'!A:AA,27,0)</f>
        <v/>
      </c>
      <c r="L240" s="63">
        <f>Table_1[[#This Row],[PREÇO]]*Table_1[[#This Row],[DY]]</f>
        <v/>
      </c>
      <c r="M240" s="62">
        <f>$E$13</f>
        <v/>
      </c>
      <c r="N240" s="62" t="n">
        <v>0.3</v>
      </c>
      <c r="O240" s="62">
        <f>Table_1[[#This Row],[DPA]]/Table_1[[#This Row],[LPA]]</f>
        <v/>
      </c>
      <c r="P240" s="62">
        <f>IF(Table_1[[#This Row],[PAYOUT]]&lt;=40%,"CRESCIMENTO",IF(Table_1[[#This Row],[PAYOUT]]&lt;=60%,"INDEFINIDO","DIVIDENDOS"))</f>
        <v/>
      </c>
      <c r="Q240" s="62">
        <f>VLOOKUP(Table_1[[#This Row],[AÇÕES]],'Dados Status Invest'!A:R,18,0)/100</f>
        <v/>
      </c>
      <c r="R240" s="62">
        <f>VLOOKUP(Table_1[[#This Row],[AÇÕES]],'Dados Status Invest'!A:Y,25,0)/100</f>
        <v/>
      </c>
      <c r="S240" s="62">
        <f>(1-Table_1[[#This Row],[PAYOUT]])*Table_1[[#This Row],[ROE]]</f>
        <v/>
      </c>
      <c r="T240" s="98">
        <f>AVERAGE(Table_1[[#This Row],[CAGR LUCRO 5A]],Table_1[[#This Row],[CRESCIMENTO DAMODARAN]])</f>
        <v/>
      </c>
      <c r="U240" s="64">
        <f>(Table_1[[#This Row],[PREÇO JUSTO BAZIN]]-Table_1[[#This Row],[PREÇO]])/Table_1[[#This Row],[PREÇO JUSTO BAZIN]]</f>
        <v/>
      </c>
      <c r="V240" s="129">
        <f>Table_1[[#This Row],[DPA]]/6%</f>
        <v/>
      </c>
      <c r="W240" s="129">
        <f>Table_1[[#This Row],[PREÇO JUSTO BAZIN]]/(1+Table_1[[#This Row],[MARGEM DE DESCONTO]])</f>
        <v/>
      </c>
      <c r="X240" s="64">
        <f>(Table_1[[#This Row],[PREÇO JUSTO GRAHAM]]-Table_1[[#This Row],[PREÇO]])/Table_1[[#This Row],[PREÇO JUSTO GRAHAM]]</f>
        <v/>
      </c>
      <c r="Y240" s="129">
        <f>(22.5*Table_1[[#This Row],[LPA]]*Table_1[[#This Row],[VPA]])^0.5</f>
        <v/>
      </c>
      <c r="Z240" s="129">
        <f>Table_1[[#This Row],[PREÇO JUSTO GRAHAM]]/(1+Table_1[[#This Row],[MARGEM DE DESCONTO]])</f>
        <v/>
      </c>
      <c r="AA240" s="64">
        <f>(Table_1[[#This Row],[PREÇO JUSTO GORDON]]-Table_1[[#This Row],[PREÇO]])/Table_1[[#This Row],[PREÇO JUSTO GORDON]]</f>
        <v/>
      </c>
      <c r="AB240" s="130">
        <f>Table_1[[#This Row],[DPA]]*(1+Table_1[[#This Row],[MÉDIA DE CRESCIMENTO]])</f>
        <v/>
      </c>
      <c r="AC240" s="130">
        <f>Table_1[[#This Row],[D1]]/(Table_1[[#This Row],[RISCO]]-Table_1[[#This Row],[MÉDIA DE CRESCIMENTO]])</f>
        <v/>
      </c>
      <c r="AD240" s="130">
        <f>Table_1[[#This Row],[PREÇO JUSTO GORDON]]/(1+Table_1[[#This Row],[MARGEM DE DESCONTO]])</f>
        <v/>
      </c>
      <c r="AE240" s="78">
        <f>Table_1[[#This Row],[P/L]]/Table_1[[#This Row],[MÉDIA DE CRESCIMENTO]]</f>
        <v/>
      </c>
    </row>
    <row r="241" ht="15.75" customHeight="1">
      <c r="B241" s="77">
        <f>'Dados Status Invest'!A227</f>
        <v/>
      </c>
      <c r="C241" s="60">
        <f>VLOOKUP(Table_1[[#This Row],[AÇÕES]],'Classificação B3'!A:B,2,0)</f>
        <v/>
      </c>
      <c r="D241" s="60">
        <f>VLOOKUP(Table_1[[#This Row],[AÇÕES]],'Classificação B3'!A:D,4,0)</f>
        <v/>
      </c>
      <c r="E241" s="60">
        <f>VLOOKUP(Table_1[[#This Row],[AÇÕES]],'Classificação B3'!A:F,6,0)</f>
        <v/>
      </c>
      <c r="F241" s="60">
        <f>VLOOKUP(Table_1[[#This Row],[AÇÕES]],'Classificação B3'!A:G,7,0)</f>
        <v/>
      </c>
      <c r="G241" s="61">
        <f>VLOOKUP(Table_1[[#This Row],[AÇÕES]],'Dados Status Invest'!A:B,2,0)</f>
        <v/>
      </c>
      <c r="H241" s="62">
        <f>VLOOKUP(Table_1[[#This Row],[AÇÕES]],'Dados Status Invest'!A:C,3,0)/100</f>
        <v/>
      </c>
      <c r="I241" s="62">
        <f>VLOOKUP(Table_1[[#This Row],[AÇÕES]],'Dados Status Invest'!A:D,4,0)/100</f>
        <v/>
      </c>
      <c r="J241" s="63">
        <f>VLOOKUP(Table_1[[#This Row],[AÇÕES]],'Dados Status Invest'!A:AB,28,0)</f>
        <v/>
      </c>
      <c r="K241" s="63">
        <f>VLOOKUP(Table_1[[#This Row],[AÇÕES]],'Dados Status Invest'!A:AA,27,0)</f>
        <v/>
      </c>
      <c r="L241" s="63">
        <f>Table_1[[#This Row],[PREÇO]]*Table_1[[#This Row],[DY]]</f>
        <v/>
      </c>
      <c r="M241" s="62">
        <f>$E$13</f>
        <v/>
      </c>
      <c r="N241" s="62" t="n">
        <v>0.3</v>
      </c>
      <c r="O241" s="62">
        <f>Table_1[[#This Row],[DPA]]/Table_1[[#This Row],[LPA]]</f>
        <v/>
      </c>
      <c r="P241" s="62">
        <f>IF(Table_1[[#This Row],[PAYOUT]]&lt;=40%,"CRESCIMENTO",IF(Table_1[[#This Row],[PAYOUT]]&lt;=60%,"INDEFINIDO","DIVIDENDOS"))</f>
        <v/>
      </c>
      <c r="Q241" s="62">
        <f>VLOOKUP(Table_1[[#This Row],[AÇÕES]],'Dados Status Invest'!A:R,18,0)/100</f>
        <v/>
      </c>
      <c r="R241" s="62">
        <f>VLOOKUP(Table_1[[#This Row],[AÇÕES]],'Dados Status Invest'!A:Y,25,0)/100</f>
        <v/>
      </c>
      <c r="S241" s="62">
        <f>(1-Table_1[[#This Row],[PAYOUT]])*Table_1[[#This Row],[ROE]]</f>
        <v/>
      </c>
      <c r="T241" s="98">
        <f>AVERAGE(Table_1[[#This Row],[CAGR LUCRO 5A]],Table_1[[#This Row],[CRESCIMENTO DAMODARAN]])</f>
        <v/>
      </c>
      <c r="U241" s="64">
        <f>(Table_1[[#This Row],[PREÇO JUSTO BAZIN]]-Table_1[[#This Row],[PREÇO]])/Table_1[[#This Row],[PREÇO JUSTO BAZIN]]</f>
        <v/>
      </c>
      <c r="V241" s="129">
        <f>Table_1[[#This Row],[DPA]]/6%</f>
        <v/>
      </c>
      <c r="W241" s="129">
        <f>Table_1[[#This Row],[PREÇO JUSTO BAZIN]]/(1+Table_1[[#This Row],[MARGEM DE DESCONTO]])</f>
        <v/>
      </c>
      <c r="X241" s="64">
        <f>(Table_1[[#This Row],[PREÇO JUSTO GRAHAM]]-Table_1[[#This Row],[PREÇO]])/Table_1[[#This Row],[PREÇO JUSTO GRAHAM]]</f>
        <v/>
      </c>
      <c r="Y241" s="129">
        <f>(22.5*Table_1[[#This Row],[LPA]]*Table_1[[#This Row],[VPA]])^0.5</f>
        <v/>
      </c>
      <c r="Z241" s="129">
        <f>Table_1[[#This Row],[PREÇO JUSTO GRAHAM]]/(1+Table_1[[#This Row],[MARGEM DE DESCONTO]])</f>
        <v/>
      </c>
      <c r="AA241" s="64">
        <f>(Table_1[[#This Row],[PREÇO JUSTO GORDON]]-Table_1[[#This Row],[PREÇO]])/Table_1[[#This Row],[PREÇO JUSTO GORDON]]</f>
        <v/>
      </c>
      <c r="AB241" s="130">
        <f>Table_1[[#This Row],[DPA]]*(1+Table_1[[#This Row],[MÉDIA DE CRESCIMENTO]])</f>
        <v/>
      </c>
      <c r="AC241" s="130">
        <f>Table_1[[#This Row],[D1]]/(Table_1[[#This Row],[RISCO]]-Table_1[[#This Row],[MÉDIA DE CRESCIMENTO]])</f>
        <v/>
      </c>
      <c r="AD241" s="130">
        <f>Table_1[[#This Row],[PREÇO JUSTO GORDON]]/(1+Table_1[[#This Row],[MARGEM DE DESCONTO]])</f>
        <v/>
      </c>
      <c r="AE241" s="78">
        <f>Table_1[[#This Row],[P/L]]/Table_1[[#This Row],[MÉDIA DE CRESCIMENTO]]</f>
        <v/>
      </c>
    </row>
    <row r="242" ht="15.75" customHeight="1">
      <c r="B242" s="77">
        <f>'Dados Status Invest'!A228</f>
        <v/>
      </c>
      <c r="C242" s="60">
        <f>VLOOKUP(Table_1[[#This Row],[AÇÕES]],'Classificação B3'!A:B,2,0)</f>
        <v/>
      </c>
      <c r="D242" s="60">
        <f>VLOOKUP(Table_1[[#This Row],[AÇÕES]],'Classificação B3'!A:D,4,0)</f>
        <v/>
      </c>
      <c r="E242" s="60">
        <f>VLOOKUP(Table_1[[#This Row],[AÇÕES]],'Classificação B3'!A:F,6,0)</f>
        <v/>
      </c>
      <c r="F242" s="60">
        <f>VLOOKUP(Table_1[[#This Row],[AÇÕES]],'Classificação B3'!A:G,7,0)</f>
        <v/>
      </c>
      <c r="G242" s="61">
        <f>VLOOKUP(Table_1[[#This Row],[AÇÕES]],'Dados Status Invest'!A:B,2,0)</f>
        <v/>
      </c>
      <c r="H242" s="62">
        <f>VLOOKUP(Table_1[[#This Row],[AÇÕES]],'Dados Status Invest'!A:C,3,0)/100</f>
        <v/>
      </c>
      <c r="I242" s="62">
        <f>VLOOKUP(Table_1[[#This Row],[AÇÕES]],'Dados Status Invest'!A:D,4,0)/100</f>
        <v/>
      </c>
      <c r="J242" s="63">
        <f>VLOOKUP(Table_1[[#This Row],[AÇÕES]],'Dados Status Invest'!A:AB,28,0)</f>
        <v/>
      </c>
      <c r="K242" s="63">
        <f>VLOOKUP(Table_1[[#This Row],[AÇÕES]],'Dados Status Invest'!A:AA,27,0)</f>
        <v/>
      </c>
      <c r="L242" s="63">
        <f>Table_1[[#This Row],[PREÇO]]*Table_1[[#This Row],[DY]]</f>
        <v/>
      </c>
      <c r="M242" s="62">
        <f>$E$13</f>
        <v/>
      </c>
      <c r="N242" s="62" t="n">
        <v>0.3</v>
      </c>
      <c r="O242" s="62">
        <f>Table_1[[#This Row],[DPA]]/Table_1[[#This Row],[LPA]]</f>
        <v/>
      </c>
      <c r="P242" s="62">
        <f>IF(Table_1[[#This Row],[PAYOUT]]&lt;=40%,"CRESCIMENTO",IF(Table_1[[#This Row],[PAYOUT]]&lt;=60%,"INDEFINIDO","DIVIDENDOS"))</f>
        <v/>
      </c>
      <c r="Q242" s="62">
        <f>VLOOKUP(Table_1[[#This Row],[AÇÕES]],'Dados Status Invest'!A:R,18,0)/100</f>
        <v/>
      </c>
      <c r="R242" s="62">
        <f>VLOOKUP(Table_1[[#This Row],[AÇÕES]],'Dados Status Invest'!A:Y,25,0)/100</f>
        <v/>
      </c>
      <c r="S242" s="62">
        <f>(1-Table_1[[#This Row],[PAYOUT]])*Table_1[[#This Row],[ROE]]</f>
        <v/>
      </c>
      <c r="T242" s="98">
        <f>AVERAGE(Table_1[[#This Row],[CAGR LUCRO 5A]],Table_1[[#This Row],[CRESCIMENTO DAMODARAN]])</f>
        <v/>
      </c>
      <c r="U242" s="64">
        <f>(Table_1[[#This Row],[PREÇO JUSTO BAZIN]]-Table_1[[#This Row],[PREÇO]])/Table_1[[#This Row],[PREÇO JUSTO BAZIN]]</f>
        <v/>
      </c>
      <c r="V242" s="129">
        <f>Table_1[[#This Row],[DPA]]/6%</f>
        <v/>
      </c>
      <c r="W242" s="129">
        <f>Table_1[[#This Row],[PREÇO JUSTO BAZIN]]/(1+Table_1[[#This Row],[MARGEM DE DESCONTO]])</f>
        <v/>
      </c>
      <c r="X242" s="64">
        <f>(Table_1[[#This Row],[PREÇO JUSTO GRAHAM]]-Table_1[[#This Row],[PREÇO]])/Table_1[[#This Row],[PREÇO JUSTO GRAHAM]]</f>
        <v/>
      </c>
      <c r="Y242" s="129">
        <f>(22.5*Table_1[[#This Row],[LPA]]*Table_1[[#This Row],[VPA]])^0.5</f>
        <v/>
      </c>
      <c r="Z242" s="129">
        <f>Table_1[[#This Row],[PREÇO JUSTO GRAHAM]]/(1+Table_1[[#This Row],[MARGEM DE DESCONTO]])</f>
        <v/>
      </c>
      <c r="AA242" s="64">
        <f>(Table_1[[#This Row],[PREÇO JUSTO GORDON]]-Table_1[[#This Row],[PREÇO]])/Table_1[[#This Row],[PREÇO JUSTO GORDON]]</f>
        <v/>
      </c>
      <c r="AB242" s="130">
        <f>Table_1[[#This Row],[DPA]]*(1+Table_1[[#This Row],[MÉDIA DE CRESCIMENTO]])</f>
        <v/>
      </c>
      <c r="AC242" s="130">
        <f>Table_1[[#This Row],[D1]]/(Table_1[[#This Row],[RISCO]]-Table_1[[#This Row],[MÉDIA DE CRESCIMENTO]])</f>
        <v/>
      </c>
      <c r="AD242" s="130">
        <f>Table_1[[#This Row],[PREÇO JUSTO GORDON]]/(1+Table_1[[#This Row],[MARGEM DE DESCONTO]])</f>
        <v/>
      </c>
      <c r="AE242" s="78">
        <f>Table_1[[#This Row],[P/L]]/Table_1[[#This Row],[MÉDIA DE CRESCIMENTO]]</f>
        <v/>
      </c>
    </row>
    <row r="243" ht="15.75" customHeight="1">
      <c r="B243" s="77">
        <f>'Dados Status Invest'!A229</f>
        <v/>
      </c>
      <c r="C243" s="60">
        <f>VLOOKUP(Table_1[[#This Row],[AÇÕES]],'Classificação B3'!A:B,2,0)</f>
        <v/>
      </c>
      <c r="D243" s="60">
        <f>VLOOKUP(Table_1[[#This Row],[AÇÕES]],'Classificação B3'!A:D,4,0)</f>
        <v/>
      </c>
      <c r="E243" s="60">
        <f>VLOOKUP(Table_1[[#This Row],[AÇÕES]],'Classificação B3'!A:F,6,0)</f>
        <v/>
      </c>
      <c r="F243" s="60">
        <f>VLOOKUP(Table_1[[#This Row],[AÇÕES]],'Classificação B3'!A:G,7,0)</f>
        <v/>
      </c>
      <c r="G243" s="61">
        <f>VLOOKUP(Table_1[[#This Row],[AÇÕES]],'Dados Status Invest'!A:B,2,0)</f>
        <v/>
      </c>
      <c r="H243" s="62">
        <f>VLOOKUP(Table_1[[#This Row],[AÇÕES]],'Dados Status Invest'!A:C,3,0)/100</f>
        <v/>
      </c>
      <c r="I243" s="62">
        <f>VLOOKUP(Table_1[[#This Row],[AÇÕES]],'Dados Status Invest'!A:D,4,0)/100</f>
        <v/>
      </c>
      <c r="J243" s="63">
        <f>VLOOKUP(Table_1[[#This Row],[AÇÕES]],'Dados Status Invest'!A:AB,28,0)</f>
        <v/>
      </c>
      <c r="K243" s="63">
        <f>VLOOKUP(Table_1[[#This Row],[AÇÕES]],'Dados Status Invest'!A:AA,27,0)</f>
        <v/>
      </c>
      <c r="L243" s="63">
        <f>Table_1[[#This Row],[PREÇO]]*Table_1[[#This Row],[DY]]</f>
        <v/>
      </c>
      <c r="M243" s="62">
        <f>$E$13</f>
        <v/>
      </c>
      <c r="N243" s="62" t="n">
        <v>0.3</v>
      </c>
      <c r="O243" s="62">
        <f>Table_1[[#This Row],[DPA]]/Table_1[[#This Row],[LPA]]</f>
        <v/>
      </c>
      <c r="P243" s="62">
        <f>IF(Table_1[[#This Row],[PAYOUT]]&lt;=40%,"CRESCIMENTO",IF(Table_1[[#This Row],[PAYOUT]]&lt;=60%,"INDEFINIDO","DIVIDENDOS"))</f>
        <v/>
      </c>
      <c r="Q243" s="62">
        <f>VLOOKUP(Table_1[[#This Row],[AÇÕES]],'Dados Status Invest'!A:R,18,0)/100</f>
        <v/>
      </c>
      <c r="R243" s="62">
        <f>VLOOKUP(Table_1[[#This Row],[AÇÕES]],'Dados Status Invest'!A:Y,25,0)/100</f>
        <v/>
      </c>
      <c r="S243" s="62">
        <f>(1-Table_1[[#This Row],[PAYOUT]])*Table_1[[#This Row],[ROE]]</f>
        <v/>
      </c>
      <c r="T243" s="98">
        <f>AVERAGE(Table_1[[#This Row],[CAGR LUCRO 5A]],Table_1[[#This Row],[CRESCIMENTO DAMODARAN]])</f>
        <v/>
      </c>
      <c r="U243" s="64">
        <f>(Table_1[[#This Row],[PREÇO JUSTO BAZIN]]-Table_1[[#This Row],[PREÇO]])/Table_1[[#This Row],[PREÇO JUSTO BAZIN]]</f>
        <v/>
      </c>
      <c r="V243" s="129">
        <f>Table_1[[#This Row],[DPA]]/6%</f>
        <v/>
      </c>
      <c r="W243" s="129">
        <f>Table_1[[#This Row],[PREÇO JUSTO BAZIN]]/(1+Table_1[[#This Row],[MARGEM DE DESCONTO]])</f>
        <v/>
      </c>
      <c r="X243" s="64">
        <f>(Table_1[[#This Row],[PREÇO JUSTO GRAHAM]]-Table_1[[#This Row],[PREÇO]])/Table_1[[#This Row],[PREÇO JUSTO GRAHAM]]</f>
        <v/>
      </c>
      <c r="Y243" s="129">
        <f>(22.5*Table_1[[#This Row],[LPA]]*Table_1[[#This Row],[VPA]])^0.5</f>
        <v/>
      </c>
      <c r="Z243" s="129">
        <f>Table_1[[#This Row],[PREÇO JUSTO GRAHAM]]/(1+Table_1[[#This Row],[MARGEM DE DESCONTO]])</f>
        <v/>
      </c>
      <c r="AA243" s="64">
        <f>(Table_1[[#This Row],[PREÇO JUSTO GORDON]]-Table_1[[#This Row],[PREÇO]])/Table_1[[#This Row],[PREÇO JUSTO GORDON]]</f>
        <v/>
      </c>
      <c r="AB243" s="130">
        <f>Table_1[[#This Row],[DPA]]*(1+Table_1[[#This Row],[MÉDIA DE CRESCIMENTO]])</f>
        <v/>
      </c>
      <c r="AC243" s="130">
        <f>Table_1[[#This Row],[D1]]/(Table_1[[#This Row],[RISCO]]-Table_1[[#This Row],[MÉDIA DE CRESCIMENTO]])</f>
        <v/>
      </c>
      <c r="AD243" s="130">
        <f>Table_1[[#This Row],[PREÇO JUSTO GORDON]]/(1+Table_1[[#This Row],[MARGEM DE DESCONTO]])</f>
        <v/>
      </c>
      <c r="AE243" s="78">
        <f>Table_1[[#This Row],[P/L]]/Table_1[[#This Row],[MÉDIA DE CRESCIMENTO]]</f>
        <v/>
      </c>
    </row>
    <row r="244" ht="15.75" customHeight="1">
      <c r="B244" s="77">
        <f>'Dados Status Invest'!A230</f>
        <v/>
      </c>
      <c r="C244" s="60">
        <f>VLOOKUP(Table_1[[#This Row],[AÇÕES]],'Classificação B3'!A:B,2,0)</f>
        <v/>
      </c>
      <c r="D244" s="60">
        <f>VLOOKUP(Table_1[[#This Row],[AÇÕES]],'Classificação B3'!A:D,4,0)</f>
        <v/>
      </c>
      <c r="E244" s="60">
        <f>VLOOKUP(Table_1[[#This Row],[AÇÕES]],'Classificação B3'!A:F,6,0)</f>
        <v/>
      </c>
      <c r="F244" s="60">
        <f>VLOOKUP(Table_1[[#This Row],[AÇÕES]],'Classificação B3'!A:G,7,0)</f>
        <v/>
      </c>
      <c r="G244" s="61">
        <f>VLOOKUP(Table_1[[#This Row],[AÇÕES]],'Dados Status Invest'!A:B,2,0)</f>
        <v/>
      </c>
      <c r="H244" s="62">
        <f>VLOOKUP(Table_1[[#This Row],[AÇÕES]],'Dados Status Invest'!A:C,3,0)/100</f>
        <v/>
      </c>
      <c r="I244" s="62">
        <f>VLOOKUP(Table_1[[#This Row],[AÇÕES]],'Dados Status Invest'!A:D,4,0)/100</f>
        <v/>
      </c>
      <c r="J244" s="63">
        <f>VLOOKUP(Table_1[[#This Row],[AÇÕES]],'Dados Status Invest'!A:AB,28,0)</f>
        <v/>
      </c>
      <c r="K244" s="63">
        <f>VLOOKUP(Table_1[[#This Row],[AÇÕES]],'Dados Status Invest'!A:AA,27,0)</f>
        <v/>
      </c>
      <c r="L244" s="63">
        <f>Table_1[[#This Row],[PREÇO]]*Table_1[[#This Row],[DY]]</f>
        <v/>
      </c>
      <c r="M244" s="62">
        <f>$E$13</f>
        <v/>
      </c>
      <c r="N244" s="62" t="n">
        <v>0.3</v>
      </c>
      <c r="O244" s="62">
        <f>Table_1[[#This Row],[DPA]]/Table_1[[#This Row],[LPA]]</f>
        <v/>
      </c>
      <c r="P244" s="62">
        <f>IF(Table_1[[#This Row],[PAYOUT]]&lt;=40%,"CRESCIMENTO",IF(Table_1[[#This Row],[PAYOUT]]&lt;=60%,"INDEFINIDO","DIVIDENDOS"))</f>
        <v/>
      </c>
      <c r="Q244" s="62">
        <f>VLOOKUP(Table_1[[#This Row],[AÇÕES]],'Dados Status Invest'!A:R,18,0)/100</f>
        <v/>
      </c>
      <c r="R244" s="62">
        <f>VLOOKUP(Table_1[[#This Row],[AÇÕES]],'Dados Status Invest'!A:Y,25,0)/100</f>
        <v/>
      </c>
      <c r="S244" s="62">
        <f>(1-Table_1[[#This Row],[PAYOUT]])*Table_1[[#This Row],[ROE]]</f>
        <v/>
      </c>
      <c r="T244" s="98">
        <f>AVERAGE(Table_1[[#This Row],[CAGR LUCRO 5A]],Table_1[[#This Row],[CRESCIMENTO DAMODARAN]])</f>
        <v/>
      </c>
      <c r="U244" s="64">
        <f>(Table_1[[#This Row],[PREÇO JUSTO BAZIN]]-Table_1[[#This Row],[PREÇO]])/Table_1[[#This Row],[PREÇO JUSTO BAZIN]]</f>
        <v/>
      </c>
      <c r="V244" s="129">
        <f>Table_1[[#This Row],[DPA]]/6%</f>
        <v/>
      </c>
      <c r="W244" s="129">
        <f>Table_1[[#This Row],[PREÇO JUSTO BAZIN]]/(1+Table_1[[#This Row],[MARGEM DE DESCONTO]])</f>
        <v/>
      </c>
      <c r="X244" s="64">
        <f>(Table_1[[#This Row],[PREÇO JUSTO GRAHAM]]-Table_1[[#This Row],[PREÇO]])/Table_1[[#This Row],[PREÇO JUSTO GRAHAM]]</f>
        <v/>
      </c>
      <c r="Y244" s="129">
        <f>(22.5*Table_1[[#This Row],[LPA]]*Table_1[[#This Row],[VPA]])^0.5</f>
        <v/>
      </c>
      <c r="Z244" s="129">
        <f>Table_1[[#This Row],[PREÇO JUSTO GRAHAM]]/(1+Table_1[[#This Row],[MARGEM DE DESCONTO]])</f>
        <v/>
      </c>
      <c r="AA244" s="64">
        <f>(Table_1[[#This Row],[PREÇO JUSTO GORDON]]-Table_1[[#This Row],[PREÇO]])/Table_1[[#This Row],[PREÇO JUSTO GORDON]]</f>
        <v/>
      </c>
      <c r="AB244" s="130">
        <f>Table_1[[#This Row],[DPA]]*(1+Table_1[[#This Row],[MÉDIA DE CRESCIMENTO]])</f>
        <v/>
      </c>
      <c r="AC244" s="130">
        <f>Table_1[[#This Row],[D1]]/(Table_1[[#This Row],[RISCO]]-Table_1[[#This Row],[MÉDIA DE CRESCIMENTO]])</f>
        <v/>
      </c>
      <c r="AD244" s="130">
        <f>Table_1[[#This Row],[PREÇO JUSTO GORDON]]/(1+Table_1[[#This Row],[MARGEM DE DESCONTO]])</f>
        <v/>
      </c>
      <c r="AE244" s="78">
        <f>Table_1[[#This Row],[P/L]]/Table_1[[#This Row],[MÉDIA DE CRESCIMENTO]]</f>
        <v/>
      </c>
    </row>
    <row r="245" ht="15.75" customHeight="1">
      <c r="B245" s="77">
        <f>'Dados Status Invest'!A231</f>
        <v/>
      </c>
      <c r="C245" s="60">
        <f>VLOOKUP(Table_1[[#This Row],[AÇÕES]],'Classificação B3'!A:B,2,0)</f>
        <v/>
      </c>
      <c r="D245" s="60">
        <f>VLOOKUP(Table_1[[#This Row],[AÇÕES]],'Classificação B3'!A:D,4,0)</f>
        <v/>
      </c>
      <c r="E245" s="60">
        <f>VLOOKUP(Table_1[[#This Row],[AÇÕES]],'Classificação B3'!A:F,6,0)</f>
        <v/>
      </c>
      <c r="F245" s="60">
        <f>VLOOKUP(Table_1[[#This Row],[AÇÕES]],'Classificação B3'!A:G,7,0)</f>
        <v/>
      </c>
      <c r="G245" s="61">
        <f>VLOOKUP(Table_1[[#This Row],[AÇÕES]],'Dados Status Invest'!A:B,2,0)</f>
        <v/>
      </c>
      <c r="H245" s="62">
        <f>VLOOKUP(Table_1[[#This Row],[AÇÕES]],'Dados Status Invest'!A:C,3,0)/100</f>
        <v/>
      </c>
      <c r="I245" s="62">
        <f>VLOOKUP(Table_1[[#This Row],[AÇÕES]],'Dados Status Invest'!A:D,4,0)/100</f>
        <v/>
      </c>
      <c r="J245" s="63">
        <f>VLOOKUP(Table_1[[#This Row],[AÇÕES]],'Dados Status Invest'!A:AB,28,0)</f>
        <v/>
      </c>
      <c r="K245" s="63">
        <f>VLOOKUP(Table_1[[#This Row],[AÇÕES]],'Dados Status Invest'!A:AA,27,0)</f>
        <v/>
      </c>
      <c r="L245" s="63">
        <f>Table_1[[#This Row],[PREÇO]]*Table_1[[#This Row],[DY]]</f>
        <v/>
      </c>
      <c r="M245" s="62">
        <f>$E$13</f>
        <v/>
      </c>
      <c r="N245" s="62" t="n">
        <v>0.3</v>
      </c>
      <c r="O245" s="62">
        <f>Table_1[[#This Row],[DPA]]/Table_1[[#This Row],[LPA]]</f>
        <v/>
      </c>
      <c r="P245" s="62">
        <f>IF(Table_1[[#This Row],[PAYOUT]]&lt;=40%,"CRESCIMENTO",IF(Table_1[[#This Row],[PAYOUT]]&lt;=60%,"INDEFINIDO","DIVIDENDOS"))</f>
        <v/>
      </c>
      <c r="Q245" s="62">
        <f>VLOOKUP(Table_1[[#This Row],[AÇÕES]],'Dados Status Invest'!A:R,18,0)/100</f>
        <v/>
      </c>
      <c r="R245" s="62">
        <f>VLOOKUP(Table_1[[#This Row],[AÇÕES]],'Dados Status Invest'!A:Y,25,0)/100</f>
        <v/>
      </c>
      <c r="S245" s="62">
        <f>(1-Table_1[[#This Row],[PAYOUT]])*Table_1[[#This Row],[ROE]]</f>
        <v/>
      </c>
      <c r="T245" s="98">
        <f>AVERAGE(Table_1[[#This Row],[CAGR LUCRO 5A]],Table_1[[#This Row],[CRESCIMENTO DAMODARAN]])</f>
        <v/>
      </c>
      <c r="U245" s="64">
        <f>(Table_1[[#This Row],[PREÇO JUSTO BAZIN]]-Table_1[[#This Row],[PREÇO]])/Table_1[[#This Row],[PREÇO JUSTO BAZIN]]</f>
        <v/>
      </c>
      <c r="V245" s="129">
        <f>Table_1[[#This Row],[DPA]]/6%</f>
        <v/>
      </c>
      <c r="W245" s="129">
        <f>Table_1[[#This Row],[PREÇO JUSTO BAZIN]]/(1+Table_1[[#This Row],[MARGEM DE DESCONTO]])</f>
        <v/>
      </c>
      <c r="X245" s="64">
        <f>(Table_1[[#This Row],[PREÇO JUSTO GRAHAM]]-Table_1[[#This Row],[PREÇO]])/Table_1[[#This Row],[PREÇO JUSTO GRAHAM]]</f>
        <v/>
      </c>
      <c r="Y245" s="129">
        <f>(22.5*Table_1[[#This Row],[LPA]]*Table_1[[#This Row],[VPA]])^0.5</f>
        <v/>
      </c>
      <c r="Z245" s="129">
        <f>Table_1[[#This Row],[PREÇO JUSTO GRAHAM]]/(1+Table_1[[#This Row],[MARGEM DE DESCONTO]])</f>
        <v/>
      </c>
      <c r="AA245" s="64">
        <f>(Table_1[[#This Row],[PREÇO JUSTO GORDON]]-Table_1[[#This Row],[PREÇO]])/Table_1[[#This Row],[PREÇO JUSTO GORDON]]</f>
        <v/>
      </c>
      <c r="AB245" s="130">
        <f>Table_1[[#This Row],[DPA]]*(1+Table_1[[#This Row],[MÉDIA DE CRESCIMENTO]])</f>
        <v/>
      </c>
      <c r="AC245" s="130">
        <f>Table_1[[#This Row],[D1]]/(Table_1[[#This Row],[RISCO]]-Table_1[[#This Row],[MÉDIA DE CRESCIMENTO]])</f>
        <v/>
      </c>
      <c r="AD245" s="130">
        <f>Table_1[[#This Row],[PREÇO JUSTO GORDON]]/(1+Table_1[[#This Row],[MARGEM DE DESCONTO]])</f>
        <v/>
      </c>
      <c r="AE245" s="78">
        <f>Table_1[[#This Row],[P/L]]/Table_1[[#This Row],[MÉDIA DE CRESCIMENTO]]</f>
        <v/>
      </c>
    </row>
    <row r="246" ht="15.75" customHeight="1">
      <c r="B246" s="77">
        <f>'Dados Status Invest'!A232</f>
        <v/>
      </c>
      <c r="C246" s="60">
        <f>VLOOKUP(Table_1[[#This Row],[AÇÕES]],'Classificação B3'!A:B,2,0)</f>
        <v/>
      </c>
      <c r="D246" s="60">
        <f>VLOOKUP(Table_1[[#This Row],[AÇÕES]],'Classificação B3'!A:D,4,0)</f>
        <v/>
      </c>
      <c r="E246" s="60">
        <f>VLOOKUP(Table_1[[#This Row],[AÇÕES]],'Classificação B3'!A:F,6,0)</f>
        <v/>
      </c>
      <c r="F246" s="60">
        <f>VLOOKUP(Table_1[[#This Row],[AÇÕES]],'Classificação B3'!A:G,7,0)</f>
        <v/>
      </c>
      <c r="G246" s="61">
        <f>VLOOKUP(Table_1[[#This Row],[AÇÕES]],'Dados Status Invest'!A:B,2,0)</f>
        <v/>
      </c>
      <c r="H246" s="62">
        <f>VLOOKUP(Table_1[[#This Row],[AÇÕES]],'Dados Status Invest'!A:C,3,0)/100</f>
        <v/>
      </c>
      <c r="I246" s="62">
        <f>VLOOKUP(Table_1[[#This Row],[AÇÕES]],'Dados Status Invest'!A:D,4,0)/100</f>
        <v/>
      </c>
      <c r="J246" s="63">
        <f>VLOOKUP(Table_1[[#This Row],[AÇÕES]],'Dados Status Invest'!A:AB,28,0)</f>
        <v/>
      </c>
      <c r="K246" s="63">
        <f>VLOOKUP(Table_1[[#This Row],[AÇÕES]],'Dados Status Invest'!A:AA,27,0)</f>
        <v/>
      </c>
      <c r="L246" s="63">
        <f>Table_1[[#This Row],[PREÇO]]*Table_1[[#This Row],[DY]]</f>
        <v/>
      </c>
      <c r="M246" s="62">
        <f>$E$13</f>
        <v/>
      </c>
      <c r="N246" s="62" t="n">
        <v>0.3</v>
      </c>
      <c r="O246" s="62">
        <f>Table_1[[#This Row],[DPA]]/Table_1[[#This Row],[LPA]]</f>
        <v/>
      </c>
      <c r="P246" s="62">
        <f>IF(Table_1[[#This Row],[PAYOUT]]&lt;=40%,"CRESCIMENTO",IF(Table_1[[#This Row],[PAYOUT]]&lt;=60%,"INDEFINIDO","DIVIDENDOS"))</f>
        <v/>
      </c>
      <c r="Q246" s="62">
        <f>VLOOKUP(Table_1[[#This Row],[AÇÕES]],'Dados Status Invest'!A:R,18,0)/100</f>
        <v/>
      </c>
      <c r="R246" s="62">
        <f>VLOOKUP(Table_1[[#This Row],[AÇÕES]],'Dados Status Invest'!A:Y,25,0)/100</f>
        <v/>
      </c>
      <c r="S246" s="62">
        <f>(1-Table_1[[#This Row],[PAYOUT]])*Table_1[[#This Row],[ROE]]</f>
        <v/>
      </c>
      <c r="T246" s="98">
        <f>AVERAGE(Table_1[[#This Row],[CAGR LUCRO 5A]],Table_1[[#This Row],[CRESCIMENTO DAMODARAN]])</f>
        <v/>
      </c>
      <c r="U246" s="64">
        <f>(Table_1[[#This Row],[PREÇO JUSTO BAZIN]]-Table_1[[#This Row],[PREÇO]])/Table_1[[#This Row],[PREÇO JUSTO BAZIN]]</f>
        <v/>
      </c>
      <c r="V246" s="129">
        <f>Table_1[[#This Row],[DPA]]/6%</f>
        <v/>
      </c>
      <c r="W246" s="129">
        <f>Table_1[[#This Row],[PREÇO JUSTO BAZIN]]/(1+Table_1[[#This Row],[MARGEM DE DESCONTO]])</f>
        <v/>
      </c>
      <c r="X246" s="64">
        <f>(Table_1[[#This Row],[PREÇO JUSTO GRAHAM]]-Table_1[[#This Row],[PREÇO]])/Table_1[[#This Row],[PREÇO JUSTO GRAHAM]]</f>
        <v/>
      </c>
      <c r="Y246" s="129">
        <f>(22.5*Table_1[[#This Row],[LPA]]*Table_1[[#This Row],[VPA]])^0.5</f>
        <v/>
      </c>
      <c r="Z246" s="129">
        <f>Table_1[[#This Row],[PREÇO JUSTO GRAHAM]]/(1+Table_1[[#This Row],[MARGEM DE DESCONTO]])</f>
        <v/>
      </c>
      <c r="AA246" s="64">
        <f>(Table_1[[#This Row],[PREÇO JUSTO GORDON]]-Table_1[[#This Row],[PREÇO]])/Table_1[[#This Row],[PREÇO JUSTO GORDON]]</f>
        <v/>
      </c>
      <c r="AB246" s="130">
        <f>Table_1[[#This Row],[DPA]]*(1+Table_1[[#This Row],[MÉDIA DE CRESCIMENTO]])</f>
        <v/>
      </c>
      <c r="AC246" s="130">
        <f>Table_1[[#This Row],[D1]]/(Table_1[[#This Row],[RISCO]]-Table_1[[#This Row],[MÉDIA DE CRESCIMENTO]])</f>
        <v/>
      </c>
      <c r="AD246" s="130">
        <f>Table_1[[#This Row],[PREÇO JUSTO GORDON]]/(1+Table_1[[#This Row],[MARGEM DE DESCONTO]])</f>
        <v/>
      </c>
      <c r="AE246" s="78">
        <f>Table_1[[#This Row],[P/L]]/Table_1[[#This Row],[MÉDIA DE CRESCIMENTO]]</f>
        <v/>
      </c>
    </row>
    <row r="247" ht="15.75" customHeight="1">
      <c r="B247" s="77">
        <f>'Dados Status Invest'!A233</f>
        <v/>
      </c>
      <c r="C247" s="60">
        <f>VLOOKUP(Table_1[[#This Row],[AÇÕES]],'Classificação B3'!A:B,2,0)</f>
        <v/>
      </c>
      <c r="D247" s="60">
        <f>VLOOKUP(Table_1[[#This Row],[AÇÕES]],'Classificação B3'!A:D,4,0)</f>
        <v/>
      </c>
      <c r="E247" s="60">
        <f>VLOOKUP(Table_1[[#This Row],[AÇÕES]],'Classificação B3'!A:F,6,0)</f>
        <v/>
      </c>
      <c r="F247" s="60">
        <f>VLOOKUP(Table_1[[#This Row],[AÇÕES]],'Classificação B3'!A:G,7,0)</f>
        <v/>
      </c>
      <c r="G247" s="61">
        <f>VLOOKUP(Table_1[[#This Row],[AÇÕES]],'Dados Status Invest'!A:B,2,0)</f>
        <v/>
      </c>
      <c r="H247" s="62">
        <f>VLOOKUP(Table_1[[#This Row],[AÇÕES]],'Dados Status Invest'!A:C,3,0)/100</f>
        <v/>
      </c>
      <c r="I247" s="62">
        <f>VLOOKUP(Table_1[[#This Row],[AÇÕES]],'Dados Status Invest'!A:D,4,0)/100</f>
        <v/>
      </c>
      <c r="J247" s="63">
        <f>VLOOKUP(Table_1[[#This Row],[AÇÕES]],'Dados Status Invest'!A:AB,28,0)</f>
        <v/>
      </c>
      <c r="K247" s="63">
        <f>VLOOKUP(Table_1[[#This Row],[AÇÕES]],'Dados Status Invest'!A:AA,27,0)</f>
        <v/>
      </c>
      <c r="L247" s="63">
        <f>Table_1[[#This Row],[PREÇO]]*Table_1[[#This Row],[DY]]</f>
        <v/>
      </c>
      <c r="M247" s="62">
        <f>$E$13</f>
        <v/>
      </c>
      <c r="N247" s="62" t="n">
        <v>0.3</v>
      </c>
      <c r="O247" s="62">
        <f>Table_1[[#This Row],[DPA]]/Table_1[[#This Row],[LPA]]</f>
        <v/>
      </c>
      <c r="P247" s="62">
        <f>IF(Table_1[[#This Row],[PAYOUT]]&lt;=40%,"CRESCIMENTO",IF(Table_1[[#This Row],[PAYOUT]]&lt;=60%,"INDEFINIDO","DIVIDENDOS"))</f>
        <v/>
      </c>
      <c r="Q247" s="62">
        <f>VLOOKUP(Table_1[[#This Row],[AÇÕES]],'Dados Status Invest'!A:R,18,0)/100</f>
        <v/>
      </c>
      <c r="R247" s="62">
        <f>VLOOKUP(Table_1[[#This Row],[AÇÕES]],'Dados Status Invest'!A:Y,25,0)/100</f>
        <v/>
      </c>
      <c r="S247" s="62">
        <f>(1-Table_1[[#This Row],[PAYOUT]])*Table_1[[#This Row],[ROE]]</f>
        <v/>
      </c>
      <c r="T247" s="98">
        <f>AVERAGE(Table_1[[#This Row],[CAGR LUCRO 5A]],Table_1[[#This Row],[CRESCIMENTO DAMODARAN]])</f>
        <v/>
      </c>
      <c r="U247" s="64">
        <f>(Table_1[[#This Row],[PREÇO JUSTO BAZIN]]-Table_1[[#This Row],[PREÇO]])/Table_1[[#This Row],[PREÇO JUSTO BAZIN]]</f>
        <v/>
      </c>
      <c r="V247" s="129">
        <f>Table_1[[#This Row],[DPA]]/6%</f>
        <v/>
      </c>
      <c r="W247" s="129">
        <f>Table_1[[#This Row],[PREÇO JUSTO BAZIN]]/(1+Table_1[[#This Row],[MARGEM DE DESCONTO]])</f>
        <v/>
      </c>
      <c r="X247" s="64">
        <f>(Table_1[[#This Row],[PREÇO JUSTO GRAHAM]]-Table_1[[#This Row],[PREÇO]])/Table_1[[#This Row],[PREÇO JUSTO GRAHAM]]</f>
        <v/>
      </c>
      <c r="Y247" s="129">
        <f>(22.5*Table_1[[#This Row],[LPA]]*Table_1[[#This Row],[VPA]])^0.5</f>
        <v/>
      </c>
      <c r="Z247" s="129">
        <f>Table_1[[#This Row],[PREÇO JUSTO GRAHAM]]/(1+Table_1[[#This Row],[MARGEM DE DESCONTO]])</f>
        <v/>
      </c>
      <c r="AA247" s="64">
        <f>(Table_1[[#This Row],[PREÇO JUSTO GORDON]]-Table_1[[#This Row],[PREÇO]])/Table_1[[#This Row],[PREÇO JUSTO GORDON]]</f>
        <v/>
      </c>
      <c r="AB247" s="130">
        <f>Table_1[[#This Row],[DPA]]*(1+Table_1[[#This Row],[MÉDIA DE CRESCIMENTO]])</f>
        <v/>
      </c>
      <c r="AC247" s="130">
        <f>Table_1[[#This Row],[D1]]/(Table_1[[#This Row],[RISCO]]-Table_1[[#This Row],[MÉDIA DE CRESCIMENTO]])</f>
        <v/>
      </c>
      <c r="AD247" s="130">
        <f>Table_1[[#This Row],[PREÇO JUSTO GORDON]]/(1+Table_1[[#This Row],[MARGEM DE DESCONTO]])</f>
        <v/>
      </c>
      <c r="AE247" s="78">
        <f>Table_1[[#This Row],[P/L]]/Table_1[[#This Row],[MÉDIA DE CRESCIMENTO]]</f>
        <v/>
      </c>
    </row>
    <row r="248" ht="15.75" customHeight="1">
      <c r="B248" s="77">
        <f>'Dados Status Invest'!A234</f>
        <v/>
      </c>
      <c r="C248" s="60">
        <f>VLOOKUP(Table_1[[#This Row],[AÇÕES]],'Classificação B3'!A:B,2,0)</f>
        <v/>
      </c>
      <c r="D248" s="60">
        <f>VLOOKUP(Table_1[[#This Row],[AÇÕES]],'Classificação B3'!A:D,4,0)</f>
        <v/>
      </c>
      <c r="E248" s="60">
        <f>VLOOKUP(Table_1[[#This Row],[AÇÕES]],'Classificação B3'!A:F,6,0)</f>
        <v/>
      </c>
      <c r="F248" s="60">
        <f>VLOOKUP(Table_1[[#This Row],[AÇÕES]],'Classificação B3'!A:G,7,0)</f>
        <v/>
      </c>
      <c r="G248" s="61">
        <f>VLOOKUP(Table_1[[#This Row],[AÇÕES]],'Dados Status Invest'!A:B,2,0)</f>
        <v/>
      </c>
      <c r="H248" s="62">
        <f>VLOOKUP(Table_1[[#This Row],[AÇÕES]],'Dados Status Invest'!A:C,3,0)/100</f>
        <v/>
      </c>
      <c r="I248" s="62">
        <f>VLOOKUP(Table_1[[#This Row],[AÇÕES]],'Dados Status Invest'!A:D,4,0)/100</f>
        <v/>
      </c>
      <c r="J248" s="63">
        <f>VLOOKUP(Table_1[[#This Row],[AÇÕES]],'Dados Status Invest'!A:AB,28,0)</f>
        <v/>
      </c>
      <c r="K248" s="63">
        <f>VLOOKUP(Table_1[[#This Row],[AÇÕES]],'Dados Status Invest'!A:AA,27,0)</f>
        <v/>
      </c>
      <c r="L248" s="63">
        <f>Table_1[[#This Row],[PREÇO]]*Table_1[[#This Row],[DY]]</f>
        <v/>
      </c>
      <c r="M248" s="62">
        <f>$E$13</f>
        <v/>
      </c>
      <c r="N248" s="62" t="n">
        <v>0.3</v>
      </c>
      <c r="O248" s="62">
        <f>Table_1[[#This Row],[DPA]]/Table_1[[#This Row],[LPA]]</f>
        <v/>
      </c>
      <c r="P248" s="62">
        <f>IF(Table_1[[#This Row],[PAYOUT]]&lt;=40%,"CRESCIMENTO",IF(Table_1[[#This Row],[PAYOUT]]&lt;=60%,"INDEFINIDO","DIVIDENDOS"))</f>
        <v/>
      </c>
      <c r="Q248" s="62">
        <f>VLOOKUP(Table_1[[#This Row],[AÇÕES]],'Dados Status Invest'!A:R,18,0)/100</f>
        <v/>
      </c>
      <c r="R248" s="62">
        <f>VLOOKUP(Table_1[[#This Row],[AÇÕES]],'Dados Status Invest'!A:Y,25,0)/100</f>
        <v/>
      </c>
      <c r="S248" s="62">
        <f>(1-Table_1[[#This Row],[PAYOUT]])*Table_1[[#This Row],[ROE]]</f>
        <v/>
      </c>
      <c r="T248" s="98">
        <f>AVERAGE(Table_1[[#This Row],[CAGR LUCRO 5A]],Table_1[[#This Row],[CRESCIMENTO DAMODARAN]])</f>
        <v/>
      </c>
      <c r="U248" s="64">
        <f>(Table_1[[#This Row],[PREÇO JUSTO BAZIN]]-Table_1[[#This Row],[PREÇO]])/Table_1[[#This Row],[PREÇO JUSTO BAZIN]]</f>
        <v/>
      </c>
      <c r="V248" s="129">
        <f>Table_1[[#This Row],[DPA]]/6%</f>
        <v/>
      </c>
      <c r="W248" s="129">
        <f>Table_1[[#This Row],[PREÇO JUSTO BAZIN]]/(1+Table_1[[#This Row],[MARGEM DE DESCONTO]])</f>
        <v/>
      </c>
      <c r="X248" s="64">
        <f>(Table_1[[#This Row],[PREÇO JUSTO GRAHAM]]-Table_1[[#This Row],[PREÇO]])/Table_1[[#This Row],[PREÇO JUSTO GRAHAM]]</f>
        <v/>
      </c>
      <c r="Y248" s="129">
        <f>(22.5*Table_1[[#This Row],[LPA]]*Table_1[[#This Row],[VPA]])^0.5</f>
        <v/>
      </c>
      <c r="Z248" s="129">
        <f>Table_1[[#This Row],[PREÇO JUSTO GRAHAM]]/(1+Table_1[[#This Row],[MARGEM DE DESCONTO]])</f>
        <v/>
      </c>
      <c r="AA248" s="64">
        <f>(Table_1[[#This Row],[PREÇO JUSTO GORDON]]-Table_1[[#This Row],[PREÇO]])/Table_1[[#This Row],[PREÇO JUSTO GORDON]]</f>
        <v/>
      </c>
      <c r="AB248" s="130">
        <f>Table_1[[#This Row],[DPA]]*(1+Table_1[[#This Row],[MÉDIA DE CRESCIMENTO]])</f>
        <v/>
      </c>
      <c r="AC248" s="130">
        <f>Table_1[[#This Row],[D1]]/(Table_1[[#This Row],[RISCO]]-Table_1[[#This Row],[MÉDIA DE CRESCIMENTO]])</f>
        <v/>
      </c>
      <c r="AD248" s="130">
        <f>Table_1[[#This Row],[PREÇO JUSTO GORDON]]/(1+Table_1[[#This Row],[MARGEM DE DESCONTO]])</f>
        <v/>
      </c>
      <c r="AE248" s="78">
        <f>Table_1[[#This Row],[P/L]]/Table_1[[#This Row],[MÉDIA DE CRESCIMENTO]]</f>
        <v/>
      </c>
    </row>
    <row r="249" ht="15.75" customHeight="1">
      <c r="B249" s="77">
        <f>'Dados Status Invest'!A235</f>
        <v/>
      </c>
      <c r="C249" s="60">
        <f>VLOOKUP(Table_1[[#This Row],[AÇÕES]],'Classificação B3'!A:B,2,0)</f>
        <v/>
      </c>
      <c r="D249" s="60">
        <f>VLOOKUP(Table_1[[#This Row],[AÇÕES]],'Classificação B3'!A:D,4,0)</f>
        <v/>
      </c>
      <c r="E249" s="60">
        <f>VLOOKUP(Table_1[[#This Row],[AÇÕES]],'Classificação B3'!A:F,6,0)</f>
        <v/>
      </c>
      <c r="F249" s="60">
        <f>VLOOKUP(Table_1[[#This Row],[AÇÕES]],'Classificação B3'!A:G,7,0)</f>
        <v/>
      </c>
      <c r="G249" s="61">
        <f>VLOOKUP(Table_1[[#This Row],[AÇÕES]],'Dados Status Invest'!A:B,2,0)</f>
        <v/>
      </c>
      <c r="H249" s="62">
        <f>VLOOKUP(Table_1[[#This Row],[AÇÕES]],'Dados Status Invest'!A:C,3,0)/100</f>
        <v/>
      </c>
      <c r="I249" s="62">
        <f>VLOOKUP(Table_1[[#This Row],[AÇÕES]],'Dados Status Invest'!A:D,4,0)/100</f>
        <v/>
      </c>
      <c r="J249" s="63">
        <f>VLOOKUP(Table_1[[#This Row],[AÇÕES]],'Dados Status Invest'!A:AB,28,0)</f>
        <v/>
      </c>
      <c r="K249" s="63">
        <f>VLOOKUP(Table_1[[#This Row],[AÇÕES]],'Dados Status Invest'!A:AA,27,0)</f>
        <v/>
      </c>
      <c r="L249" s="63">
        <f>Table_1[[#This Row],[PREÇO]]*Table_1[[#This Row],[DY]]</f>
        <v/>
      </c>
      <c r="M249" s="62">
        <f>$E$13</f>
        <v/>
      </c>
      <c r="N249" s="62" t="n">
        <v>0.3</v>
      </c>
      <c r="O249" s="62">
        <f>Table_1[[#This Row],[DPA]]/Table_1[[#This Row],[LPA]]</f>
        <v/>
      </c>
      <c r="P249" s="62">
        <f>IF(Table_1[[#This Row],[PAYOUT]]&lt;=40%,"CRESCIMENTO",IF(Table_1[[#This Row],[PAYOUT]]&lt;=60%,"INDEFINIDO","DIVIDENDOS"))</f>
        <v/>
      </c>
      <c r="Q249" s="62">
        <f>VLOOKUP(Table_1[[#This Row],[AÇÕES]],'Dados Status Invest'!A:R,18,0)/100</f>
        <v/>
      </c>
      <c r="R249" s="62">
        <f>VLOOKUP(Table_1[[#This Row],[AÇÕES]],'Dados Status Invest'!A:Y,25,0)/100</f>
        <v/>
      </c>
      <c r="S249" s="62">
        <f>(1-Table_1[[#This Row],[PAYOUT]])*Table_1[[#This Row],[ROE]]</f>
        <v/>
      </c>
      <c r="T249" s="98">
        <f>AVERAGE(Table_1[[#This Row],[CAGR LUCRO 5A]],Table_1[[#This Row],[CRESCIMENTO DAMODARAN]])</f>
        <v/>
      </c>
      <c r="U249" s="64">
        <f>(Table_1[[#This Row],[PREÇO JUSTO BAZIN]]-Table_1[[#This Row],[PREÇO]])/Table_1[[#This Row],[PREÇO JUSTO BAZIN]]</f>
        <v/>
      </c>
      <c r="V249" s="129">
        <f>Table_1[[#This Row],[DPA]]/6%</f>
        <v/>
      </c>
      <c r="W249" s="129">
        <f>Table_1[[#This Row],[PREÇO JUSTO BAZIN]]/(1+Table_1[[#This Row],[MARGEM DE DESCONTO]])</f>
        <v/>
      </c>
      <c r="X249" s="64">
        <f>(Table_1[[#This Row],[PREÇO JUSTO GRAHAM]]-Table_1[[#This Row],[PREÇO]])/Table_1[[#This Row],[PREÇO JUSTO GRAHAM]]</f>
        <v/>
      </c>
      <c r="Y249" s="129">
        <f>(22.5*Table_1[[#This Row],[LPA]]*Table_1[[#This Row],[VPA]])^0.5</f>
        <v/>
      </c>
      <c r="Z249" s="129">
        <f>Table_1[[#This Row],[PREÇO JUSTO GRAHAM]]/(1+Table_1[[#This Row],[MARGEM DE DESCONTO]])</f>
        <v/>
      </c>
      <c r="AA249" s="64">
        <f>(Table_1[[#This Row],[PREÇO JUSTO GORDON]]-Table_1[[#This Row],[PREÇO]])/Table_1[[#This Row],[PREÇO JUSTO GORDON]]</f>
        <v/>
      </c>
      <c r="AB249" s="130">
        <f>Table_1[[#This Row],[DPA]]*(1+Table_1[[#This Row],[MÉDIA DE CRESCIMENTO]])</f>
        <v/>
      </c>
      <c r="AC249" s="130">
        <f>Table_1[[#This Row],[D1]]/(Table_1[[#This Row],[RISCO]]-Table_1[[#This Row],[MÉDIA DE CRESCIMENTO]])</f>
        <v/>
      </c>
      <c r="AD249" s="130">
        <f>Table_1[[#This Row],[PREÇO JUSTO GORDON]]/(1+Table_1[[#This Row],[MARGEM DE DESCONTO]])</f>
        <v/>
      </c>
      <c r="AE249" s="78">
        <f>Table_1[[#This Row],[P/L]]/Table_1[[#This Row],[MÉDIA DE CRESCIMENTO]]</f>
        <v/>
      </c>
    </row>
    <row r="250" ht="15.75" customHeight="1">
      <c r="B250" s="77">
        <f>'Dados Status Invest'!A236</f>
        <v/>
      </c>
      <c r="C250" s="60">
        <f>VLOOKUP(Table_1[[#This Row],[AÇÕES]],'Classificação B3'!A:B,2,0)</f>
        <v/>
      </c>
      <c r="D250" s="60">
        <f>VLOOKUP(Table_1[[#This Row],[AÇÕES]],'Classificação B3'!A:D,4,0)</f>
        <v/>
      </c>
      <c r="E250" s="60">
        <f>VLOOKUP(Table_1[[#This Row],[AÇÕES]],'Classificação B3'!A:F,6,0)</f>
        <v/>
      </c>
      <c r="F250" s="60">
        <f>VLOOKUP(Table_1[[#This Row],[AÇÕES]],'Classificação B3'!A:G,7,0)</f>
        <v/>
      </c>
      <c r="G250" s="61">
        <f>VLOOKUP(Table_1[[#This Row],[AÇÕES]],'Dados Status Invest'!A:B,2,0)</f>
        <v/>
      </c>
      <c r="H250" s="62">
        <f>VLOOKUP(Table_1[[#This Row],[AÇÕES]],'Dados Status Invest'!A:C,3,0)/100</f>
        <v/>
      </c>
      <c r="I250" s="62">
        <f>VLOOKUP(Table_1[[#This Row],[AÇÕES]],'Dados Status Invest'!A:D,4,0)/100</f>
        <v/>
      </c>
      <c r="J250" s="63">
        <f>VLOOKUP(Table_1[[#This Row],[AÇÕES]],'Dados Status Invest'!A:AB,28,0)</f>
        <v/>
      </c>
      <c r="K250" s="63">
        <f>VLOOKUP(Table_1[[#This Row],[AÇÕES]],'Dados Status Invest'!A:AA,27,0)</f>
        <v/>
      </c>
      <c r="L250" s="63">
        <f>Table_1[[#This Row],[PREÇO]]*Table_1[[#This Row],[DY]]</f>
        <v/>
      </c>
      <c r="M250" s="62">
        <f>$E$13</f>
        <v/>
      </c>
      <c r="N250" s="62" t="n">
        <v>0.3</v>
      </c>
      <c r="O250" s="62">
        <f>Table_1[[#This Row],[DPA]]/Table_1[[#This Row],[LPA]]</f>
        <v/>
      </c>
      <c r="P250" s="62">
        <f>IF(Table_1[[#This Row],[PAYOUT]]&lt;=40%,"CRESCIMENTO",IF(Table_1[[#This Row],[PAYOUT]]&lt;=60%,"INDEFINIDO","DIVIDENDOS"))</f>
        <v/>
      </c>
      <c r="Q250" s="62">
        <f>VLOOKUP(Table_1[[#This Row],[AÇÕES]],'Dados Status Invest'!A:R,18,0)/100</f>
        <v/>
      </c>
      <c r="R250" s="62">
        <f>VLOOKUP(Table_1[[#This Row],[AÇÕES]],'Dados Status Invest'!A:Y,25,0)/100</f>
        <v/>
      </c>
      <c r="S250" s="62">
        <f>(1-Table_1[[#This Row],[PAYOUT]])*Table_1[[#This Row],[ROE]]</f>
        <v/>
      </c>
      <c r="T250" s="98">
        <f>AVERAGE(Table_1[[#This Row],[CAGR LUCRO 5A]],Table_1[[#This Row],[CRESCIMENTO DAMODARAN]])</f>
        <v/>
      </c>
      <c r="U250" s="64">
        <f>(Table_1[[#This Row],[PREÇO JUSTO BAZIN]]-Table_1[[#This Row],[PREÇO]])/Table_1[[#This Row],[PREÇO JUSTO BAZIN]]</f>
        <v/>
      </c>
      <c r="V250" s="129">
        <f>Table_1[[#This Row],[DPA]]/6%</f>
        <v/>
      </c>
      <c r="W250" s="129">
        <f>Table_1[[#This Row],[PREÇO JUSTO BAZIN]]/(1+Table_1[[#This Row],[MARGEM DE DESCONTO]])</f>
        <v/>
      </c>
      <c r="X250" s="64">
        <f>(Table_1[[#This Row],[PREÇO JUSTO GRAHAM]]-Table_1[[#This Row],[PREÇO]])/Table_1[[#This Row],[PREÇO JUSTO GRAHAM]]</f>
        <v/>
      </c>
      <c r="Y250" s="129">
        <f>(22.5*Table_1[[#This Row],[LPA]]*Table_1[[#This Row],[VPA]])^0.5</f>
        <v/>
      </c>
      <c r="Z250" s="129">
        <f>Table_1[[#This Row],[PREÇO JUSTO GRAHAM]]/(1+Table_1[[#This Row],[MARGEM DE DESCONTO]])</f>
        <v/>
      </c>
      <c r="AA250" s="64">
        <f>(Table_1[[#This Row],[PREÇO JUSTO GORDON]]-Table_1[[#This Row],[PREÇO]])/Table_1[[#This Row],[PREÇO JUSTO GORDON]]</f>
        <v/>
      </c>
      <c r="AB250" s="130">
        <f>Table_1[[#This Row],[DPA]]*(1+Table_1[[#This Row],[MÉDIA DE CRESCIMENTO]])</f>
        <v/>
      </c>
      <c r="AC250" s="130">
        <f>Table_1[[#This Row],[D1]]/(Table_1[[#This Row],[RISCO]]-Table_1[[#This Row],[MÉDIA DE CRESCIMENTO]])</f>
        <v/>
      </c>
      <c r="AD250" s="130">
        <f>Table_1[[#This Row],[PREÇO JUSTO GORDON]]/(1+Table_1[[#This Row],[MARGEM DE DESCONTO]])</f>
        <v/>
      </c>
      <c r="AE250" s="78">
        <f>Table_1[[#This Row],[P/L]]/Table_1[[#This Row],[MÉDIA DE CRESCIMENTO]]</f>
        <v/>
      </c>
    </row>
    <row r="251" ht="15.75" customHeight="1">
      <c r="B251" s="77">
        <f>'Dados Status Invest'!A237</f>
        <v/>
      </c>
      <c r="C251" s="60">
        <f>VLOOKUP(Table_1[[#This Row],[AÇÕES]],'Classificação B3'!A:B,2,0)</f>
        <v/>
      </c>
      <c r="D251" s="60">
        <f>VLOOKUP(Table_1[[#This Row],[AÇÕES]],'Classificação B3'!A:D,4,0)</f>
        <v/>
      </c>
      <c r="E251" s="60">
        <f>VLOOKUP(Table_1[[#This Row],[AÇÕES]],'Classificação B3'!A:F,6,0)</f>
        <v/>
      </c>
      <c r="F251" s="60">
        <f>VLOOKUP(Table_1[[#This Row],[AÇÕES]],'Classificação B3'!A:G,7,0)</f>
        <v/>
      </c>
      <c r="G251" s="61">
        <f>VLOOKUP(Table_1[[#This Row],[AÇÕES]],'Dados Status Invest'!A:B,2,0)</f>
        <v/>
      </c>
      <c r="H251" s="62">
        <f>VLOOKUP(Table_1[[#This Row],[AÇÕES]],'Dados Status Invest'!A:C,3,0)/100</f>
        <v/>
      </c>
      <c r="I251" s="62">
        <f>VLOOKUP(Table_1[[#This Row],[AÇÕES]],'Dados Status Invest'!A:D,4,0)/100</f>
        <v/>
      </c>
      <c r="J251" s="63">
        <f>VLOOKUP(Table_1[[#This Row],[AÇÕES]],'Dados Status Invest'!A:AB,28,0)</f>
        <v/>
      </c>
      <c r="K251" s="63">
        <f>VLOOKUP(Table_1[[#This Row],[AÇÕES]],'Dados Status Invest'!A:AA,27,0)</f>
        <v/>
      </c>
      <c r="L251" s="63">
        <f>Table_1[[#This Row],[PREÇO]]*Table_1[[#This Row],[DY]]</f>
        <v/>
      </c>
      <c r="M251" s="62">
        <f>$E$13</f>
        <v/>
      </c>
      <c r="N251" s="62" t="n">
        <v>0.3</v>
      </c>
      <c r="O251" s="62">
        <f>Table_1[[#This Row],[DPA]]/Table_1[[#This Row],[LPA]]</f>
        <v/>
      </c>
      <c r="P251" s="62">
        <f>IF(Table_1[[#This Row],[PAYOUT]]&lt;=40%,"CRESCIMENTO",IF(Table_1[[#This Row],[PAYOUT]]&lt;=60%,"INDEFINIDO","DIVIDENDOS"))</f>
        <v/>
      </c>
      <c r="Q251" s="62">
        <f>VLOOKUP(Table_1[[#This Row],[AÇÕES]],'Dados Status Invest'!A:R,18,0)/100</f>
        <v/>
      </c>
      <c r="R251" s="62">
        <f>VLOOKUP(Table_1[[#This Row],[AÇÕES]],'Dados Status Invest'!A:Y,25,0)/100</f>
        <v/>
      </c>
      <c r="S251" s="62">
        <f>(1-Table_1[[#This Row],[PAYOUT]])*Table_1[[#This Row],[ROE]]</f>
        <v/>
      </c>
      <c r="T251" s="98">
        <f>AVERAGE(Table_1[[#This Row],[CAGR LUCRO 5A]],Table_1[[#This Row],[CRESCIMENTO DAMODARAN]])</f>
        <v/>
      </c>
      <c r="U251" s="64">
        <f>(Table_1[[#This Row],[PREÇO JUSTO BAZIN]]-Table_1[[#This Row],[PREÇO]])/Table_1[[#This Row],[PREÇO JUSTO BAZIN]]</f>
        <v/>
      </c>
      <c r="V251" s="129">
        <f>Table_1[[#This Row],[DPA]]/6%</f>
        <v/>
      </c>
      <c r="W251" s="129">
        <f>Table_1[[#This Row],[PREÇO JUSTO BAZIN]]/(1+Table_1[[#This Row],[MARGEM DE DESCONTO]])</f>
        <v/>
      </c>
      <c r="X251" s="64">
        <f>(Table_1[[#This Row],[PREÇO JUSTO GRAHAM]]-Table_1[[#This Row],[PREÇO]])/Table_1[[#This Row],[PREÇO JUSTO GRAHAM]]</f>
        <v/>
      </c>
      <c r="Y251" s="129">
        <f>(22.5*Table_1[[#This Row],[LPA]]*Table_1[[#This Row],[VPA]])^0.5</f>
        <v/>
      </c>
      <c r="Z251" s="129">
        <f>Table_1[[#This Row],[PREÇO JUSTO GRAHAM]]/(1+Table_1[[#This Row],[MARGEM DE DESCONTO]])</f>
        <v/>
      </c>
      <c r="AA251" s="64">
        <f>(Table_1[[#This Row],[PREÇO JUSTO GORDON]]-Table_1[[#This Row],[PREÇO]])/Table_1[[#This Row],[PREÇO JUSTO GORDON]]</f>
        <v/>
      </c>
      <c r="AB251" s="130">
        <f>Table_1[[#This Row],[DPA]]*(1+Table_1[[#This Row],[MÉDIA DE CRESCIMENTO]])</f>
        <v/>
      </c>
      <c r="AC251" s="130">
        <f>Table_1[[#This Row],[D1]]/(Table_1[[#This Row],[RISCO]]-Table_1[[#This Row],[MÉDIA DE CRESCIMENTO]])</f>
        <v/>
      </c>
      <c r="AD251" s="130">
        <f>Table_1[[#This Row],[PREÇO JUSTO GORDON]]/(1+Table_1[[#This Row],[MARGEM DE DESCONTO]])</f>
        <v/>
      </c>
      <c r="AE251" s="78">
        <f>Table_1[[#This Row],[P/L]]/Table_1[[#This Row],[MÉDIA DE CRESCIMENTO]]</f>
        <v/>
      </c>
    </row>
    <row r="252" ht="15.75" customHeight="1">
      <c r="B252" s="77">
        <f>'Dados Status Invest'!A238</f>
        <v/>
      </c>
      <c r="C252" s="60">
        <f>VLOOKUP(Table_1[[#This Row],[AÇÕES]],'Classificação B3'!A:B,2,0)</f>
        <v/>
      </c>
      <c r="D252" s="60">
        <f>VLOOKUP(Table_1[[#This Row],[AÇÕES]],'Classificação B3'!A:D,4,0)</f>
        <v/>
      </c>
      <c r="E252" s="60">
        <f>VLOOKUP(Table_1[[#This Row],[AÇÕES]],'Classificação B3'!A:F,6,0)</f>
        <v/>
      </c>
      <c r="F252" s="60">
        <f>VLOOKUP(Table_1[[#This Row],[AÇÕES]],'Classificação B3'!A:G,7,0)</f>
        <v/>
      </c>
      <c r="G252" s="61">
        <f>VLOOKUP(Table_1[[#This Row],[AÇÕES]],'Dados Status Invest'!A:B,2,0)</f>
        <v/>
      </c>
      <c r="H252" s="62">
        <f>VLOOKUP(Table_1[[#This Row],[AÇÕES]],'Dados Status Invest'!A:C,3,0)/100</f>
        <v/>
      </c>
      <c r="I252" s="62">
        <f>VLOOKUP(Table_1[[#This Row],[AÇÕES]],'Dados Status Invest'!A:D,4,0)/100</f>
        <v/>
      </c>
      <c r="J252" s="63">
        <f>VLOOKUP(Table_1[[#This Row],[AÇÕES]],'Dados Status Invest'!A:AB,28,0)</f>
        <v/>
      </c>
      <c r="K252" s="63">
        <f>VLOOKUP(Table_1[[#This Row],[AÇÕES]],'Dados Status Invest'!A:AA,27,0)</f>
        <v/>
      </c>
      <c r="L252" s="63">
        <f>Table_1[[#This Row],[PREÇO]]*Table_1[[#This Row],[DY]]</f>
        <v/>
      </c>
      <c r="M252" s="62">
        <f>$E$13</f>
        <v/>
      </c>
      <c r="N252" s="62" t="n">
        <v>0.3</v>
      </c>
      <c r="O252" s="62">
        <f>Table_1[[#This Row],[DPA]]/Table_1[[#This Row],[LPA]]</f>
        <v/>
      </c>
      <c r="P252" s="62">
        <f>IF(Table_1[[#This Row],[PAYOUT]]&lt;=40%,"CRESCIMENTO",IF(Table_1[[#This Row],[PAYOUT]]&lt;=60%,"INDEFINIDO","DIVIDENDOS"))</f>
        <v/>
      </c>
      <c r="Q252" s="62">
        <f>VLOOKUP(Table_1[[#This Row],[AÇÕES]],'Dados Status Invest'!A:R,18,0)/100</f>
        <v/>
      </c>
      <c r="R252" s="62">
        <f>VLOOKUP(Table_1[[#This Row],[AÇÕES]],'Dados Status Invest'!A:Y,25,0)/100</f>
        <v/>
      </c>
      <c r="S252" s="62">
        <f>(1-Table_1[[#This Row],[PAYOUT]])*Table_1[[#This Row],[ROE]]</f>
        <v/>
      </c>
      <c r="T252" s="98">
        <f>AVERAGE(Table_1[[#This Row],[CAGR LUCRO 5A]],Table_1[[#This Row],[CRESCIMENTO DAMODARAN]])</f>
        <v/>
      </c>
      <c r="U252" s="64">
        <f>(Table_1[[#This Row],[PREÇO JUSTO BAZIN]]-Table_1[[#This Row],[PREÇO]])/Table_1[[#This Row],[PREÇO JUSTO BAZIN]]</f>
        <v/>
      </c>
      <c r="V252" s="129">
        <f>Table_1[[#This Row],[DPA]]/6%</f>
        <v/>
      </c>
      <c r="W252" s="129">
        <f>Table_1[[#This Row],[PREÇO JUSTO BAZIN]]/(1+Table_1[[#This Row],[MARGEM DE DESCONTO]])</f>
        <v/>
      </c>
      <c r="X252" s="64">
        <f>(Table_1[[#This Row],[PREÇO JUSTO GRAHAM]]-Table_1[[#This Row],[PREÇO]])/Table_1[[#This Row],[PREÇO JUSTO GRAHAM]]</f>
        <v/>
      </c>
      <c r="Y252" s="129">
        <f>(22.5*Table_1[[#This Row],[LPA]]*Table_1[[#This Row],[VPA]])^0.5</f>
        <v/>
      </c>
      <c r="Z252" s="129">
        <f>Table_1[[#This Row],[PREÇO JUSTO GRAHAM]]/(1+Table_1[[#This Row],[MARGEM DE DESCONTO]])</f>
        <v/>
      </c>
      <c r="AA252" s="64">
        <f>(Table_1[[#This Row],[PREÇO JUSTO GORDON]]-Table_1[[#This Row],[PREÇO]])/Table_1[[#This Row],[PREÇO JUSTO GORDON]]</f>
        <v/>
      </c>
      <c r="AB252" s="130">
        <f>Table_1[[#This Row],[DPA]]*(1+Table_1[[#This Row],[MÉDIA DE CRESCIMENTO]])</f>
        <v/>
      </c>
      <c r="AC252" s="130">
        <f>Table_1[[#This Row],[D1]]/(Table_1[[#This Row],[RISCO]]-Table_1[[#This Row],[MÉDIA DE CRESCIMENTO]])</f>
        <v/>
      </c>
      <c r="AD252" s="130">
        <f>Table_1[[#This Row],[PREÇO JUSTO GORDON]]/(1+Table_1[[#This Row],[MARGEM DE DESCONTO]])</f>
        <v/>
      </c>
      <c r="AE252" s="78">
        <f>Table_1[[#This Row],[P/L]]/Table_1[[#This Row],[MÉDIA DE CRESCIMENTO]]</f>
        <v/>
      </c>
    </row>
    <row r="253" ht="15.75" customHeight="1">
      <c r="B253" s="77">
        <f>'Dados Status Invest'!A239</f>
        <v/>
      </c>
      <c r="C253" s="60">
        <f>VLOOKUP(Table_1[[#This Row],[AÇÕES]],'Classificação B3'!A:B,2,0)</f>
        <v/>
      </c>
      <c r="D253" s="60">
        <f>VLOOKUP(Table_1[[#This Row],[AÇÕES]],'Classificação B3'!A:D,4,0)</f>
        <v/>
      </c>
      <c r="E253" s="60">
        <f>VLOOKUP(Table_1[[#This Row],[AÇÕES]],'Classificação B3'!A:F,6,0)</f>
        <v/>
      </c>
      <c r="F253" s="60">
        <f>VLOOKUP(Table_1[[#This Row],[AÇÕES]],'Classificação B3'!A:G,7,0)</f>
        <v/>
      </c>
      <c r="G253" s="61">
        <f>VLOOKUP(Table_1[[#This Row],[AÇÕES]],'Dados Status Invest'!A:B,2,0)</f>
        <v/>
      </c>
      <c r="H253" s="62">
        <f>VLOOKUP(Table_1[[#This Row],[AÇÕES]],'Dados Status Invest'!A:C,3,0)/100</f>
        <v/>
      </c>
      <c r="I253" s="62">
        <f>VLOOKUP(Table_1[[#This Row],[AÇÕES]],'Dados Status Invest'!A:D,4,0)/100</f>
        <v/>
      </c>
      <c r="J253" s="63">
        <f>VLOOKUP(Table_1[[#This Row],[AÇÕES]],'Dados Status Invest'!A:AB,28,0)</f>
        <v/>
      </c>
      <c r="K253" s="63">
        <f>VLOOKUP(Table_1[[#This Row],[AÇÕES]],'Dados Status Invest'!A:AA,27,0)</f>
        <v/>
      </c>
      <c r="L253" s="63">
        <f>Table_1[[#This Row],[PREÇO]]*Table_1[[#This Row],[DY]]</f>
        <v/>
      </c>
      <c r="M253" s="62">
        <f>$E$13</f>
        <v/>
      </c>
      <c r="N253" s="62" t="n">
        <v>0.3</v>
      </c>
      <c r="O253" s="62">
        <f>Table_1[[#This Row],[DPA]]/Table_1[[#This Row],[LPA]]</f>
        <v/>
      </c>
      <c r="P253" s="62">
        <f>IF(Table_1[[#This Row],[PAYOUT]]&lt;=40%,"CRESCIMENTO",IF(Table_1[[#This Row],[PAYOUT]]&lt;=60%,"INDEFINIDO","DIVIDENDOS"))</f>
        <v/>
      </c>
      <c r="Q253" s="62">
        <f>VLOOKUP(Table_1[[#This Row],[AÇÕES]],'Dados Status Invest'!A:R,18,0)/100</f>
        <v/>
      </c>
      <c r="R253" s="62">
        <f>VLOOKUP(Table_1[[#This Row],[AÇÕES]],'Dados Status Invest'!A:Y,25,0)/100</f>
        <v/>
      </c>
      <c r="S253" s="62">
        <f>(1-Table_1[[#This Row],[PAYOUT]])*Table_1[[#This Row],[ROE]]</f>
        <v/>
      </c>
      <c r="T253" s="98">
        <f>AVERAGE(Table_1[[#This Row],[CAGR LUCRO 5A]],Table_1[[#This Row],[CRESCIMENTO DAMODARAN]])</f>
        <v/>
      </c>
      <c r="U253" s="64">
        <f>(Table_1[[#This Row],[PREÇO JUSTO BAZIN]]-Table_1[[#This Row],[PREÇO]])/Table_1[[#This Row],[PREÇO JUSTO BAZIN]]</f>
        <v/>
      </c>
      <c r="V253" s="129">
        <f>Table_1[[#This Row],[DPA]]/6%</f>
        <v/>
      </c>
      <c r="W253" s="129">
        <f>Table_1[[#This Row],[PREÇO JUSTO BAZIN]]/(1+Table_1[[#This Row],[MARGEM DE DESCONTO]])</f>
        <v/>
      </c>
      <c r="X253" s="64">
        <f>(Table_1[[#This Row],[PREÇO JUSTO GRAHAM]]-Table_1[[#This Row],[PREÇO]])/Table_1[[#This Row],[PREÇO JUSTO GRAHAM]]</f>
        <v/>
      </c>
      <c r="Y253" s="129">
        <f>(22.5*Table_1[[#This Row],[LPA]]*Table_1[[#This Row],[VPA]])^0.5</f>
        <v/>
      </c>
      <c r="Z253" s="129">
        <f>Table_1[[#This Row],[PREÇO JUSTO GRAHAM]]/(1+Table_1[[#This Row],[MARGEM DE DESCONTO]])</f>
        <v/>
      </c>
      <c r="AA253" s="64">
        <f>(Table_1[[#This Row],[PREÇO JUSTO GORDON]]-Table_1[[#This Row],[PREÇO]])/Table_1[[#This Row],[PREÇO JUSTO GORDON]]</f>
        <v/>
      </c>
      <c r="AB253" s="130">
        <f>Table_1[[#This Row],[DPA]]*(1+Table_1[[#This Row],[MÉDIA DE CRESCIMENTO]])</f>
        <v/>
      </c>
      <c r="AC253" s="130">
        <f>Table_1[[#This Row],[D1]]/(Table_1[[#This Row],[RISCO]]-Table_1[[#This Row],[MÉDIA DE CRESCIMENTO]])</f>
        <v/>
      </c>
      <c r="AD253" s="130">
        <f>Table_1[[#This Row],[PREÇO JUSTO GORDON]]/(1+Table_1[[#This Row],[MARGEM DE DESCONTO]])</f>
        <v/>
      </c>
      <c r="AE253" s="78">
        <f>Table_1[[#This Row],[P/L]]/Table_1[[#This Row],[MÉDIA DE CRESCIMENTO]]</f>
        <v/>
      </c>
    </row>
    <row r="254" ht="15.75" customHeight="1">
      <c r="B254" s="77">
        <f>'Dados Status Invest'!A240</f>
        <v/>
      </c>
      <c r="C254" s="60">
        <f>VLOOKUP(Table_1[[#This Row],[AÇÕES]],'Classificação B3'!A:B,2,0)</f>
        <v/>
      </c>
      <c r="D254" s="60">
        <f>VLOOKUP(Table_1[[#This Row],[AÇÕES]],'Classificação B3'!A:D,4,0)</f>
        <v/>
      </c>
      <c r="E254" s="60">
        <f>VLOOKUP(Table_1[[#This Row],[AÇÕES]],'Classificação B3'!A:F,6,0)</f>
        <v/>
      </c>
      <c r="F254" s="60">
        <f>VLOOKUP(Table_1[[#This Row],[AÇÕES]],'Classificação B3'!A:G,7,0)</f>
        <v/>
      </c>
      <c r="G254" s="61">
        <f>VLOOKUP(Table_1[[#This Row],[AÇÕES]],'Dados Status Invest'!A:B,2,0)</f>
        <v/>
      </c>
      <c r="H254" s="62">
        <f>VLOOKUP(Table_1[[#This Row],[AÇÕES]],'Dados Status Invest'!A:C,3,0)/100</f>
        <v/>
      </c>
      <c r="I254" s="62">
        <f>VLOOKUP(Table_1[[#This Row],[AÇÕES]],'Dados Status Invest'!A:D,4,0)/100</f>
        <v/>
      </c>
      <c r="J254" s="63">
        <f>VLOOKUP(Table_1[[#This Row],[AÇÕES]],'Dados Status Invest'!A:AB,28,0)</f>
        <v/>
      </c>
      <c r="K254" s="63">
        <f>VLOOKUP(Table_1[[#This Row],[AÇÕES]],'Dados Status Invest'!A:AA,27,0)</f>
        <v/>
      </c>
      <c r="L254" s="63">
        <f>Table_1[[#This Row],[PREÇO]]*Table_1[[#This Row],[DY]]</f>
        <v/>
      </c>
      <c r="M254" s="62">
        <f>$E$13</f>
        <v/>
      </c>
      <c r="N254" s="62" t="n">
        <v>0.3</v>
      </c>
      <c r="O254" s="62">
        <f>Table_1[[#This Row],[DPA]]/Table_1[[#This Row],[LPA]]</f>
        <v/>
      </c>
      <c r="P254" s="62">
        <f>IF(Table_1[[#This Row],[PAYOUT]]&lt;=40%,"CRESCIMENTO",IF(Table_1[[#This Row],[PAYOUT]]&lt;=60%,"INDEFINIDO","DIVIDENDOS"))</f>
        <v/>
      </c>
      <c r="Q254" s="62">
        <f>VLOOKUP(Table_1[[#This Row],[AÇÕES]],'Dados Status Invest'!A:R,18,0)/100</f>
        <v/>
      </c>
      <c r="R254" s="62">
        <f>VLOOKUP(Table_1[[#This Row],[AÇÕES]],'Dados Status Invest'!A:Y,25,0)/100</f>
        <v/>
      </c>
      <c r="S254" s="62">
        <f>(1-Table_1[[#This Row],[PAYOUT]])*Table_1[[#This Row],[ROE]]</f>
        <v/>
      </c>
      <c r="T254" s="98">
        <f>AVERAGE(Table_1[[#This Row],[CAGR LUCRO 5A]],Table_1[[#This Row],[CRESCIMENTO DAMODARAN]])</f>
        <v/>
      </c>
      <c r="U254" s="64">
        <f>(Table_1[[#This Row],[PREÇO JUSTO BAZIN]]-Table_1[[#This Row],[PREÇO]])/Table_1[[#This Row],[PREÇO JUSTO BAZIN]]</f>
        <v/>
      </c>
      <c r="V254" s="129">
        <f>Table_1[[#This Row],[DPA]]/6%</f>
        <v/>
      </c>
      <c r="W254" s="129">
        <f>Table_1[[#This Row],[PREÇO JUSTO BAZIN]]/(1+Table_1[[#This Row],[MARGEM DE DESCONTO]])</f>
        <v/>
      </c>
      <c r="X254" s="64">
        <f>(Table_1[[#This Row],[PREÇO JUSTO GRAHAM]]-Table_1[[#This Row],[PREÇO]])/Table_1[[#This Row],[PREÇO JUSTO GRAHAM]]</f>
        <v/>
      </c>
      <c r="Y254" s="129">
        <f>(22.5*Table_1[[#This Row],[LPA]]*Table_1[[#This Row],[VPA]])^0.5</f>
        <v/>
      </c>
      <c r="Z254" s="129">
        <f>Table_1[[#This Row],[PREÇO JUSTO GRAHAM]]/(1+Table_1[[#This Row],[MARGEM DE DESCONTO]])</f>
        <v/>
      </c>
      <c r="AA254" s="64">
        <f>(Table_1[[#This Row],[PREÇO JUSTO GORDON]]-Table_1[[#This Row],[PREÇO]])/Table_1[[#This Row],[PREÇO JUSTO GORDON]]</f>
        <v/>
      </c>
      <c r="AB254" s="130">
        <f>Table_1[[#This Row],[DPA]]*(1+Table_1[[#This Row],[MÉDIA DE CRESCIMENTO]])</f>
        <v/>
      </c>
      <c r="AC254" s="130">
        <f>Table_1[[#This Row],[D1]]/(Table_1[[#This Row],[RISCO]]-Table_1[[#This Row],[MÉDIA DE CRESCIMENTO]])</f>
        <v/>
      </c>
      <c r="AD254" s="130">
        <f>Table_1[[#This Row],[PREÇO JUSTO GORDON]]/(1+Table_1[[#This Row],[MARGEM DE DESCONTO]])</f>
        <v/>
      </c>
      <c r="AE254" s="78">
        <f>Table_1[[#This Row],[P/L]]/Table_1[[#This Row],[MÉDIA DE CRESCIMENTO]]</f>
        <v/>
      </c>
    </row>
    <row r="255" ht="15.75" customHeight="1">
      <c r="B255" s="77">
        <f>'Dados Status Invest'!A241</f>
        <v/>
      </c>
      <c r="C255" s="60">
        <f>VLOOKUP(Table_1[[#This Row],[AÇÕES]],'Classificação B3'!A:B,2,0)</f>
        <v/>
      </c>
      <c r="D255" s="60">
        <f>VLOOKUP(Table_1[[#This Row],[AÇÕES]],'Classificação B3'!A:D,4,0)</f>
        <v/>
      </c>
      <c r="E255" s="60">
        <f>VLOOKUP(Table_1[[#This Row],[AÇÕES]],'Classificação B3'!A:F,6,0)</f>
        <v/>
      </c>
      <c r="F255" s="60">
        <f>VLOOKUP(Table_1[[#This Row],[AÇÕES]],'Classificação B3'!A:G,7,0)</f>
        <v/>
      </c>
      <c r="G255" s="61">
        <f>VLOOKUP(Table_1[[#This Row],[AÇÕES]],'Dados Status Invest'!A:B,2,0)</f>
        <v/>
      </c>
      <c r="H255" s="62">
        <f>VLOOKUP(Table_1[[#This Row],[AÇÕES]],'Dados Status Invest'!A:C,3,0)/100</f>
        <v/>
      </c>
      <c r="I255" s="62">
        <f>VLOOKUP(Table_1[[#This Row],[AÇÕES]],'Dados Status Invest'!A:D,4,0)/100</f>
        <v/>
      </c>
      <c r="J255" s="63">
        <f>VLOOKUP(Table_1[[#This Row],[AÇÕES]],'Dados Status Invest'!A:AB,28,0)</f>
        <v/>
      </c>
      <c r="K255" s="63">
        <f>VLOOKUP(Table_1[[#This Row],[AÇÕES]],'Dados Status Invest'!A:AA,27,0)</f>
        <v/>
      </c>
      <c r="L255" s="63">
        <f>Table_1[[#This Row],[PREÇO]]*Table_1[[#This Row],[DY]]</f>
        <v/>
      </c>
      <c r="M255" s="62">
        <f>$E$13</f>
        <v/>
      </c>
      <c r="N255" s="62" t="n">
        <v>0.3</v>
      </c>
      <c r="O255" s="62">
        <f>Table_1[[#This Row],[DPA]]/Table_1[[#This Row],[LPA]]</f>
        <v/>
      </c>
      <c r="P255" s="62">
        <f>IF(Table_1[[#This Row],[PAYOUT]]&lt;=40%,"CRESCIMENTO",IF(Table_1[[#This Row],[PAYOUT]]&lt;=60%,"INDEFINIDO","DIVIDENDOS"))</f>
        <v/>
      </c>
      <c r="Q255" s="62">
        <f>VLOOKUP(Table_1[[#This Row],[AÇÕES]],'Dados Status Invest'!A:R,18,0)/100</f>
        <v/>
      </c>
      <c r="R255" s="62">
        <f>VLOOKUP(Table_1[[#This Row],[AÇÕES]],'Dados Status Invest'!A:Y,25,0)/100</f>
        <v/>
      </c>
      <c r="S255" s="62">
        <f>(1-Table_1[[#This Row],[PAYOUT]])*Table_1[[#This Row],[ROE]]</f>
        <v/>
      </c>
      <c r="T255" s="98">
        <f>AVERAGE(Table_1[[#This Row],[CAGR LUCRO 5A]],Table_1[[#This Row],[CRESCIMENTO DAMODARAN]])</f>
        <v/>
      </c>
      <c r="U255" s="64">
        <f>(Table_1[[#This Row],[PREÇO JUSTO BAZIN]]-Table_1[[#This Row],[PREÇO]])/Table_1[[#This Row],[PREÇO JUSTO BAZIN]]</f>
        <v/>
      </c>
      <c r="V255" s="129">
        <f>Table_1[[#This Row],[DPA]]/6%</f>
        <v/>
      </c>
      <c r="W255" s="129">
        <f>Table_1[[#This Row],[PREÇO JUSTO BAZIN]]/(1+Table_1[[#This Row],[MARGEM DE DESCONTO]])</f>
        <v/>
      </c>
      <c r="X255" s="64">
        <f>(Table_1[[#This Row],[PREÇO JUSTO GRAHAM]]-Table_1[[#This Row],[PREÇO]])/Table_1[[#This Row],[PREÇO JUSTO GRAHAM]]</f>
        <v/>
      </c>
      <c r="Y255" s="129">
        <f>(22.5*Table_1[[#This Row],[LPA]]*Table_1[[#This Row],[VPA]])^0.5</f>
        <v/>
      </c>
      <c r="Z255" s="129">
        <f>Table_1[[#This Row],[PREÇO JUSTO GRAHAM]]/(1+Table_1[[#This Row],[MARGEM DE DESCONTO]])</f>
        <v/>
      </c>
      <c r="AA255" s="64">
        <f>(Table_1[[#This Row],[PREÇO JUSTO GORDON]]-Table_1[[#This Row],[PREÇO]])/Table_1[[#This Row],[PREÇO JUSTO GORDON]]</f>
        <v/>
      </c>
      <c r="AB255" s="130">
        <f>Table_1[[#This Row],[DPA]]*(1+Table_1[[#This Row],[MÉDIA DE CRESCIMENTO]])</f>
        <v/>
      </c>
      <c r="AC255" s="130">
        <f>Table_1[[#This Row],[D1]]/(Table_1[[#This Row],[RISCO]]-Table_1[[#This Row],[MÉDIA DE CRESCIMENTO]])</f>
        <v/>
      </c>
      <c r="AD255" s="130">
        <f>Table_1[[#This Row],[PREÇO JUSTO GORDON]]/(1+Table_1[[#This Row],[MARGEM DE DESCONTO]])</f>
        <v/>
      </c>
      <c r="AE255" s="78">
        <f>Table_1[[#This Row],[P/L]]/Table_1[[#This Row],[MÉDIA DE CRESCIMENTO]]</f>
        <v/>
      </c>
    </row>
    <row r="256" ht="15.75" customHeight="1">
      <c r="B256" s="77">
        <f>'Dados Status Invest'!A242</f>
        <v/>
      </c>
      <c r="C256" s="60">
        <f>VLOOKUP(Table_1[[#This Row],[AÇÕES]],'Classificação B3'!A:B,2,0)</f>
        <v/>
      </c>
      <c r="D256" s="60">
        <f>VLOOKUP(Table_1[[#This Row],[AÇÕES]],'Classificação B3'!A:D,4,0)</f>
        <v/>
      </c>
      <c r="E256" s="60">
        <f>VLOOKUP(Table_1[[#This Row],[AÇÕES]],'Classificação B3'!A:F,6,0)</f>
        <v/>
      </c>
      <c r="F256" s="60">
        <f>VLOOKUP(Table_1[[#This Row],[AÇÕES]],'Classificação B3'!A:G,7,0)</f>
        <v/>
      </c>
      <c r="G256" s="61">
        <f>VLOOKUP(Table_1[[#This Row],[AÇÕES]],'Dados Status Invest'!A:B,2,0)</f>
        <v/>
      </c>
      <c r="H256" s="62">
        <f>VLOOKUP(Table_1[[#This Row],[AÇÕES]],'Dados Status Invest'!A:C,3,0)/100</f>
        <v/>
      </c>
      <c r="I256" s="62">
        <f>VLOOKUP(Table_1[[#This Row],[AÇÕES]],'Dados Status Invest'!A:D,4,0)/100</f>
        <v/>
      </c>
      <c r="J256" s="63">
        <f>VLOOKUP(Table_1[[#This Row],[AÇÕES]],'Dados Status Invest'!A:AB,28,0)</f>
        <v/>
      </c>
      <c r="K256" s="63">
        <f>VLOOKUP(Table_1[[#This Row],[AÇÕES]],'Dados Status Invest'!A:AA,27,0)</f>
        <v/>
      </c>
      <c r="L256" s="63">
        <f>Table_1[[#This Row],[PREÇO]]*Table_1[[#This Row],[DY]]</f>
        <v/>
      </c>
      <c r="M256" s="62">
        <f>$E$13</f>
        <v/>
      </c>
      <c r="N256" s="62" t="n">
        <v>0.3</v>
      </c>
      <c r="O256" s="62">
        <f>Table_1[[#This Row],[DPA]]/Table_1[[#This Row],[LPA]]</f>
        <v/>
      </c>
      <c r="P256" s="62">
        <f>IF(Table_1[[#This Row],[PAYOUT]]&lt;=40%,"CRESCIMENTO",IF(Table_1[[#This Row],[PAYOUT]]&lt;=60%,"INDEFINIDO","DIVIDENDOS"))</f>
        <v/>
      </c>
      <c r="Q256" s="62">
        <f>VLOOKUP(Table_1[[#This Row],[AÇÕES]],'Dados Status Invest'!A:R,18,0)/100</f>
        <v/>
      </c>
      <c r="R256" s="62">
        <f>VLOOKUP(Table_1[[#This Row],[AÇÕES]],'Dados Status Invest'!A:Y,25,0)/100</f>
        <v/>
      </c>
      <c r="S256" s="62">
        <f>(1-Table_1[[#This Row],[PAYOUT]])*Table_1[[#This Row],[ROE]]</f>
        <v/>
      </c>
      <c r="T256" s="98">
        <f>AVERAGE(Table_1[[#This Row],[CAGR LUCRO 5A]],Table_1[[#This Row],[CRESCIMENTO DAMODARAN]])</f>
        <v/>
      </c>
      <c r="U256" s="64">
        <f>(Table_1[[#This Row],[PREÇO JUSTO BAZIN]]-Table_1[[#This Row],[PREÇO]])/Table_1[[#This Row],[PREÇO JUSTO BAZIN]]</f>
        <v/>
      </c>
      <c r="V256" s="129">
        <f>Table_1[[#This Row],[DPA]]/6%</f>
        <v/>
      </c>
      <c r="W256" s="129">
        <f>Table_1[[#This Row],[PREÇO JUSTO BAZIN]]/(1+Table_1[[#This Row],[MARGEM DE DESCONTO]])</f>
        <v/>
      </c>
      <c r="X256" s="64">
        <f>(Table_1[[#This Row],[PREÇO JUSTO GRAHAM]]-Table_1[[#This Row],[PREÇO]])/Table_1[[#This Row],[PREÇO JUSTO GRAHAM]]</f>
        <v/>
      </c>
      <c r="Y256" s="129">
        <f>(22.5*Table_1[[#This Row],[LPA]]*Table_1[[#This Row],[VPA]])^0.5</f>
        <v/>
      </c>
      <c r="Z256" s="129">
        <f>Table_1[[#This Row],[PREÇO JUSTO GRAHAM]]/(1+Table_1[[#This Row],[MARGEM DE DESCONTO]])</f>
        <v/>
      </c>
      <c r="AA256" s="64">
        <f>(Table_1[[#This Row],[PREÇO JUSTO GORDON]]-Table_1[[#This Row],[PREÇO]])/Table_1[[#This Row],[PREÇO JUSTO GORDON]]</f>
        <v/>
      </c>
      <c r="AB256" s="130">
        <f>Table_1[[#This Row],[DPA]]*(1+Table_1[[#This Row],[MÉDIA DE CRESCIMENTO]])</f>
        <v/>
      </c>
      <c r="AC256" s="130">
        <f>Table_1[[#This Row],[D1]]/(Table_1[[#This Row],[RISCO]]-Table_1[[#This Row],[MÉDIA DE CRESCIMENTO]])</f>
        <v/>
      </c>
      <c r="AD256" s="130">
        <f>Table_1[[#This Row],[PREÇO JUSTO GORDON]]/(1+Table_1[[#This Row],[MARGEM DE DESCONTO]])</f>
        <v/>
      </c>
      <c r="AE256" s="78">
        <f>Table_1[[#This Row],[P/L]]/Table_1[[#This Row],[MÉDIA DE CRESCIMENTO]]</f>
        <v/>
      </c>
    </row>
    <row r="257" ht="15.75" customHeight="1">
      <c r="B257" s="77">
        <f>'Dados Status Invest'!A243</f>
        <v/>
      </c>
      <c r="C257" s="60">
        <f>VLOOKUP(Table_1[[#This Row],[AÇÕES]],'Classificação B3'!A:B,2,0)</f>
        <v/>
      </c>
      <c r="D257" s="60">
        <f>VLOOKUP(Table_1[[#This Row],[AÇÕES]],'Classificação B3'!A:D,4,0)</f>
        <v/>
      </c>
      <c r="E257" s="60">
        <f>VLOOKUP(Table_1[[#This Row],[AÇÕES]],'Classificação B3'!A:F,6,0)</f>
        <v/>
      </c>
      <c r="F257" s="60">
        <f>VLOOKUP(Table_1[[#This Row],[AÇÕES]],'Classificação B3'!A:G,7,0)</f>
        <v/>
      </c>
      <c r="G257" s="61">
        <f>VLOOKUP(Table_1[[#This Row],[AÇÕES]],'Dados Status Invest'!A:B,2,0)</f>
        <v/>
      </c>
      <c r="H257" s="62">
        <f>VLOOKUP(Table_1[[#This Row],[AÇÕES]],'Dados Status Invest'!A:C,3,0)/100</f>
        <v/>
      </c>
      <c r="I257" s="62">
        <f>VLOOKUP(Table_1[[#This Row],[AÇÕES]],'Dados Status Invest'!A:D,4,0)/100</f>
        <v/>
      </c>
      <c r="J257" s="63">
        <f>VLOOKUP(Table_1[[#This Row],[AÇÕES]],'Dados Status Invest'!A:AB,28,0)</f>
        <v/>
      </c>
      <c r="K257" s="63">
        <f>VLOOKUP(Table_1[[#This Row],[AÇÕES]],'Dados Status Invest'!A:AA,27,0)</f>
        <v/>
      </c>
      <c r="L257" s="63">
        <f>Table_1[[#This Row],[PREÇO]]*Table_1[[#This Row],[DY]]</f>
        <v/>
      </c>
      <c r="M257" s="62">
        <f>$E$13</f>
        <v/>
      </c>
      <c r="N257" s="62" t="n">
        <v>0.3</v>
      </c>
      <c r="O257" s="62">
        <f>Table_1[[#This Row],[DPA]]/Table_1[[#This Row],[LPA]]</f>
        <v/>
      </c>
      <c r="P257" s="62">
        <f>IF(Table_1[[#This Row],[PAYOUT]]&lt;=40%,"CRESCIMENTO",IF(Table_1[[#This Row],[PAYOUT]]&lt;=60%,"INDEFINIDO","DIVIDENDOS"))</f>
        <v/>
      </c>
      <c r="Q257" s="62">
        <f>VLOOKUP(Table_1[[#This Row],[AÇÕES]],'Dados Status Invest'!A:R,18,0)/100</f>
        <v/>
      </c>
      <c r="R257" s="62">
        <f>VLOOKUP(Table_1[[#This Row],[AÇÕES]],'Dados Status Invest'!A:Y,25,0)/100</f>
        <v/>
      </c>
      <c r="S257" s="62">
        <f>(1-Table_1[[#This Row],[PAYOUT]])*Table_1[[#This Row],[ROE]]</f>
        <v/>
      </c>
      <c r="T257" s="98">
        <f>AVERAGE(Table_1[[#This Row],[CAGR LUCRO 5A]],Table_1[[#This Row],[CRESCIMENTO DAMODARAN]])</f>
        <v/>
      </c>
      <c r="U257" s="64">
        <f>(Table_1[[#This Row],[PREÇO JUSTO BAZIN]]-Table_1[[#This Row],[PREÇO]])/Table_1[[#This Row],[PREÇO JUSTO BAZIN]]</f>
        <v/>
      </c>
      <c r="V257" s="129">
        <f>Table_1[[#This Row],[DPA]]/6%</f>
        <v/>
      </c>
      <c r="W257" s="129">
        <f>Table_1[[#This Row],[PREÇO JUSTO BAZIN]]/(1+Table_1[[#This Row],[MARGEM DE DESCONTO]])</f>
        <v/>
      </c>
      <c r="X257" s="64">
        <f>(Table_1[[#This Row],[PREÇO JUSTO GRAHAM]]-Table_1[[#This Row],[PREÇO]])/Table_1[[#This Row],[PREÇO JUSTO GRAHAM]]</f>
        <v/>
      </c>
      <c r="Y257" s="129">
        <f>(22.5*Table_1[[#This Row],[LPA]]*Table_1[[#This Row],[VPA]])^0.5</f>
        <v/>
      </c>
      <c r="Z257" s="129">
        <f>Table_1[[#This Row],[PREÇO JUSTO GRAHAM]]/(1+Table_1[[#This Row],[MARGEM DE DESCONTO]])</f>
        <v/>
      </c>
      <c r="AA257" s="64">
        <f>(Table_1[[#This Row],[PREÇO JUSTO GORDON]]-Table_1[[#This Row],[PREÇO]])/Table_1[[#This Row],[PREÇO JUSTO GORDON]]</f>
        <v/>
      </c>
      <c r="AB257" s="130">
        <f>Table_1[[#This Row],[DPA]]*(1+Table_1[[#This Row],[MÉDIA DE CRESCIMENTO]])</f>
        <v/>
      </c>
      <c r="AC257" s="130">
        <f>Table_1[[#This Row],[D1]]/(Table_1[[#This Row],[RISCO]]-Table_1[[#This Row],[MÉDIA DE CRESCIMENTO]])</f>
        <v/>
      </c>
      <c r="AD257" s="130">
        <f>Table_1[[#This Row],[PREÇO JUSTO GORDON]]/(1+Table_1[[#This Row],[MARGEM DE DESCONTO]])</f>
        <v/>
      </c>
      <c r="AE257" s="78">
        <f>Table_1[[#This Row],[P/L]]/Table_1[[#This Row],[MÉDIA DE CRESCIMENTO]]</f>
        <v/>
      </c>
    </row>
    <row r="258" ht="15.75" customHeight="1">
      <c r="B258" s="77">
        <f>'Dados Status Invest'!A244</f>
        <v/>
      </c>
      <c r="C258" s="60">
        <f>VLOOKUP(Table_1[[#This Row],[AÇÕES]],'Classificação B3'!A:B,2,0)</f>
        <v/>
      </c>
      <c r="D258" s="60">
        <f>VLOOKUP(Table_1[[#This Row],[AÇÕES]],'Classificação B3'!A:D,4,0)</f>
        <v/>
      </c>
      <c r="E258" s="60">
        <f>VLOOKUP(Table_1[[#This Row],[AÇÕES]],'Classificação B3'!A:F,6,0)</f>
        <v/>
      </c>
      <c r="F258" s="60">
        <f>VLOOKUP(Table_1[[#This Row],[AÇÕES]],'Classificação B3'!A:G,7,0)</f>
        <v/>
      </c>
      <c r="G258" s="61">
        <f>VLOOKUP(Table_1[[#This Row],[AÇÕES]],'Dados Status Invest'!A:B,2,0)</f>
        <v/>
      </c>
      <c r="H258" s="62">
        <f>VLOOKUP(Table_1[[#This Row],[AÇÕES]],'Dados Status Invest'!A:C,3,0)/100</f>
        <v/>
      </c>
      <c r="I258" s="62">
        <f>VLOOKUP(Table_1[[#This Row],[AÇÕES]],'Dados Status Invest'!A:D,4,0)/100</f>
        <v/>
      </c>
      <c r="J258" s="63">
        <f>VLOOKUP(Table_1[[#This Row],[AÇÕES]],'Dados Status Invest'!A:AB,28,0)</f>
        <v/>
      </c>
      <c r="K258" s="63">
        <f>VLOOKUP(Table_1[[#This Row],[AÇÕES]],'Dados Status Invest'!A:AA,27,0)</f>
        <v/>
      </c>
      <c r="L258" s="63">
        <f>Table_1[[#This Row],[PREÇO]]*Table_1[[#This Row],[DY]]</f>
        <v/>
      </c>
      <c r="M258" s="62">
        <f>$E$13</f>
        <v/>
      </c>
      <c r="N258" s="62" t="n">
        <v>0.3</v>
      </c>
      <c r="O258" s="62">
        <f>Table_1[[#This Row],[DPA]]/Table_1[[#This Row],[LPA]]</f>
        <v/>
      </c>
      <c r="P258" s="62">
        <f>IF(Table_1[[#This Row],[PAYOUT]]&lt;=40%,"CRESCIMENTO",IF(Table_1[[#This Row],[PAYOUT]]&lt;=60%,"INDEFINIDO","DIVIDENDOS"))</f>
        <v/>
      </c>
      <c r="Q258" s="62">
        <f>VLOOKUP(Table_1[[#This Row],[AÇÕES]],'Dados Status Invest'!A:R,18,0)/100</f>
        <v/>
      </c>
      <c r="R258" s="62">
        <f>VLOOKUP(Table_1[[#This Row],[AÇÕES]],'Dados Status Invest'!A:Y,25,0)/100</f>
        <v/>
      </c>
      <c r="S258" s="62">
        <f>(1-Table_1[[#This Row],[PAYOUT]])*Table_1[[#This Row],[ROE]]</f>
        <v/>
      </c>
      <c r="T258" s="98">
        <f>AVERAGE(Table_1[[#This Row],[CAGR LUCRO 5A]],Table_1[[#This Row],[CRESCIMENTO DAMODARAN]])</f>
        <v/>
      </c>
      <c r="U258" s="64">
        <f>(Table_1[[#This Row],[PREÇO JUSTO BAZIN]]-Table_1[[#This Row],[PREÇO]])/Table_1[[#This Row],[PREÇO JUSTO BAZIN]]</f>
        <v/>
      </c>
      <c r="V258" s="129">
        <f>Table_1[[#This Row],[DPA]]/6%</f>
        <v/>
      </c>
      <c r="W258" s="129">
        <f>Table_1[[#This Row],[PREÇO JUSTO BAZIN]]/(1+Table_1[[#This Row],[MARGEM DE DESCONTO]])</f>
        <v/>
      </c>
      <c r="X258" s="64">
        <f>(Table_1[[#This Row],[PREÇO JUSTO GRAHAM]]-Table_1[[#This Row],[PREÇO]])/Table_1[[#This Row],[PREÇO JUSTO GRAHAM]]</f>
        <v/>
      </c>
      <c r="Y258" s="129">
        <f>(22.5*Table_1[[#This Row],[LPA]]*Table_1[[#This Row],[VPA]])^0.5</f>
        <v/>
      </c>
      <c r="Z258" s="129">
        <f>Table_1[[#This Row],[PREÇO JUSTO GRAHAM]]/(1+Table_1[[#This Row],[MARGEM DE DESCONTO]])</f>
        <v/>
      </c>
      <c r="AA258" s="64">
        <f>(Table_1[[#This Row],[PREÇO JUSTO GORDON]]-Table_1[[#This Row],[PREÇO]])/Table_1[[#This Row],[PREÇO JUSTO GORDON]]</f>
        <v/>
      </c>
      <c r="AB258" s="130">
        <f>Table_1[[#This Row],[DPA]]*(1+Table_1[[#This Row],[MÉDIA DE CRESCIMENTO]])</f>
        <v/>
      </c>
      <c r="AC258" s="130">
        <f>Table_1[[#This Row],[D1]]/(Table_1[[#This Row],[RISCO]]-Table_1[[#This Row],[MÉDIA DE CRESCIMENTO]])</f>
        <v/>
      </c>
      <c r="AD258" s="130">
        <f>Table_1[[#This Row],[PREÇO JUSTO GORDON]]/(1+Table_1[[#This Row],[MARGEM DE DESCONTO]])</f>
        <v/>
      </c>
      <c r="AE258" s="78">
        <f>Table_1[[#This Row],[P/L]]/Table_1[[#This Row],[MÉDIA DE CRESCIMENTO]]</f>
        <v/>
      </c>
    </row>
    <row r="259" ht="15.75" customHeight="1">
      <c r="B259" s="77">
        <f>'Dados Status Invest'!A245</f>
        <v/>
      </c>
      <c r="C259" s="60">
        <f>VLOOKUP(Table_1[[#This Row],[AÇÕES]],'Classificação B3'!A:B,2,0)</f>
        <v/>
      </c>
      <c r="D259" s="60">
        <f>VLOOKUP(Table_1[[#This Row],[AÇÕES]],'Classificação B3'!A:D,4,0)</f>
        <v/>
      </c>
      <c r="E259" s="60">
        <f>VLOOKUP(Table_1[[#This Row],[AÇÕES]],'Classificação B3'!A:F,6,0)</f>
        <v/>
      </c>
      <c r="F259" s="60">
        <f>VLOOKUP(Table_1[[#This Row],[AÇÕES]],'Classificação B3'!A:G,7,0)</f>
        <v/>
      </c>
      <c r="G259" s="61">
        <f>VLOOKUP(Table_1[[#This Row],[AÇÕES]],'Dados Status Invest'!A:B,2,0)</f>
        <v/>
      </c>
      <c r="H259" s="62">
        <f>VLOOKUP(Table_1[[#This Row],[AÇÕES]],'Dados Status Invest'!A:C,3,0)/100</f>
        <v/>
      </c>
      <c r="I259" s="62">
        <f>VLOOKUP(Table_1[[#This Row],[AÇÕES]],'Dados Status Invest'!A:D,4,0)/100</f>
        <v/>
      </c>
      <c r="J259" s="63">
        <f>VLOOKUP(Table_1[[#This Row],[AÇÕES]],'Dados Status Invest'!A:AB,28,0)</f>
        <v/>
      </c>
      <c r="K259" s="63">
        <f>VLOOKUP(Table_1[[#This Row],[AÇÕES]],'Dados Status Invest'!A:AA,27,0)</f>
        <v/>
      </c>
      <c r="L259" s="63">
        <f>Table_1[[#This Row],[PREÇO]]*Table_1[[#This Row],[DY]]</f>
        <v/>
      </c>
      <c r="M259" s="62">
        <f>$E$13</f>
        <v/>
      </c>
      <c r="N259" s="62" t="n">
        <v>0.3</v>
      </c>
      <c r="O259" s="62">
        <f>Table_1[[#This Row],[DPA]]/Table_1[[#This Row],[LPA]]</f>
        <v/>
      </c>
      <c r="P259" s="62">
        <f>IF(Table_1[[#This Row],[PAYOUT]]&lt;=40%,"CRESCIMENTO",IF(Table_1[[#This Row],[PAYOUT]]&lt;=60%,"INDEFINIDO","DIVIDENDOS"))</f>
        <v/>
      </c>
      <c r="Q259" s="62">
        <f>VLOOKUP(Table_1[[#This Row],[AÇÕES]],'Dados Status Invest'!A:R,18,0)/100</f>
        <v/>
      </c>
      <c r="R259" s="62">
        <f>VLOOKUP(Table_1[[#This Row],[AÇÕES]],'Dados Status Invest'!A:Y,25,0)/100</f>
        <v/>
      </c>
      <c r="S259" s="62">
        <f>(1-Table_1[[#This Row],[PAYOUT]])*Table_1[[#This Row],[ROE]]</f>
        <v/>
      </c>
      <c r="T259" s="98">
        <f>AVERAGE(Table_1[[#This Row],[CAGR LUCRO 5A]],Table_1[[#This Row],[CRESCIMENTO DAMODARAN]])</f>
        <v/>
      </c>
      <c r="U259" s="64">
        <f>(Table_1[[#This Row],[PREÇO JUSTO BAZIN]]-Table_1[[#This Row],[PREÇO]])/Table_1[[#This Row],[PREÇO JUSTO BAZIN]]</f>
        <v/>
      </c>
      <c r="V259" s="129">
        <f>Table_1[[#This Row],[DPA]]/6%</f>
        <v/>
      </c>
      <c r="W259" s="129">
        <f>Table_1[[#This Row],[PREÇO JUSTO BAZIN]]/(1+Table_1[[#This Row],[MARGEM DE DESCONTO]])</f>
        <v/>
      </c>
      <c r="X259" s="64">
        <f>(Table_1[[#This Row],[PREÇO JUSTO GRAHAM]]-Table_1[[#This Row],[PREÇO]])/Table_1[[#This Row],[PREÇO JUSTO GRAHAM]]</f>
        <v/>
      </c>
      <c r="Y259" s="129">
        <f>(22.5*Table_1[[#This Row],[LPA]]*Table_1[[#This Row],[VPA]])^0.5</f>
        <v/>
      </c>
      <c r="Z259" s="129">
        <f>Table_1[[#This Row],[PREÇO JUSTO GRAHAM]]/(1+Table_1[[#This Row],[MARGEM DE DESCONTO]])</f>
        <v/>
      </c>
      <c r="AA259" s="64">
        <f>(Table_1[[#This Row],[PREÇO JUSTO GORDON]]-Table_1[[#This Row],[PREÇO]])/Table_1[[#This Row],[PREÇO JUSTO GORDON]]</f>
        <v/>
      </c>
      <c r="AB259" s="130">
        <f>Table_1[[#This Row],[DPA]]*(1+Table_1[[#This Row],[MÉDIA DE CRESCIMENTO]])</f>
        <v/>
      </c>
      <c r="AC259" s="130">
        <f>Table_1[[#This Row],[D1]]/(Table_1[[#This Row],[RISCO]]-Table_1[[#This Row],[MÉDIA DE CRESCIMENTO]])</f>
        <v/>
      </c>
      <c r="AD259" s="130">
        <f>Table_1[[#This Row],[PREÇO JUSTO GORDON]]/(1+Table_1[[#This Row],[MARGEM DE DESCONTO]])</f>
        <v/>
      </c>
      <c r="AE259" s="78">
        <f>Table_1[[#This Row],[P/L]]/Table_1[[#This Row],[MÉDIA DE CRESCIMENTO]]</f>
        <v/>
      </c>
    </row>
    <row r="260" ht="15.75" customHeight="1">
      <c r="B260" s="77">
        <f>'Dados Status Invest'!A246</f>
        <v/>
      </c>
      <c r="C260" s="60">
        <f>VLOOKUP(Table_1[[#This Row],[AÇÕES]],'Classificação B3'!A:B,2,0)</f>
        <v/>
      </c>
      <c r="D260" s="60">
        <f>VLOOKUP(Table_1[[#This Row],[AÇÕES]],'Classificação B3'!A:D,4,0)</f>
        <v/>
      </c>
      <c r="E260" s="60">
        <f>VLOOKUP(Table_1[[#This Row],[AÇÕES]],'Classificação B3'!A:F,6,0)</f>
        <v/>
      </c>
      <c r="F260" s="60">
        <f>VLOOKUP(Table_1[[#This Row],[AÇÕES]],'Classificação B3'!A:G,7,0)</f>
        <v/>
      </c>
      <c r="G260" s="61">
        <f>VLOOKUP(Table_1[[#This Row],[AÇÕES]],'Dados Status Invest'!A:B,2,0)</f>
        <v/>
      </c>
      <c r="H260" s="62">
        <f>VLOOKUP(Table_1[[#This Row],[AÇÕES]],'Dados Status Invest'!A:C,3,0)/100</f>
        <v/>
      </c>
      <c r="I260" s="62">
        <f>VLOOKUP(Table_1[[#This Row],[AÇÕES]],'Dados Status Invest'!A:D,4,0)/100</f>
        <v/>
      </c>
      <c r="J260" s="63">
        <f>VLOOKUP(Table_1[[#This Row],[AÇÕES]],'Dados Status Invest'!A:AB,28,0)</f>
        <v/>
      </c>
      <c r="K260" s="63">
        <f>VLOOKUP(Table_1[[#This Row],[AÇÕES]],'Dados Status Invest'!A:AA,27,0)</f>
        <v/>
      </c>
      <c r="L260" s="63">
        <f>Table_1[[#This Row],[PREÇO]]*Table_1[[#This Row],[DY]]</f>
        <v/>
      </c>
      <c r="M260" s="62">
        <f>$E$13</f>
        <v/>
      </c>
      <c r="N260" s="62" t="n">
        <v>0.3</v>
      </c>
      <c r="O260" s="62">
        <f>Table_1[[#This Row],[DPA]]/Table_1[[#This Row],[LPA]]</f>
        <v/>
      </c>
      <c r="P260" s="62">
        <f>IF(Table_1[[#This Row],[PAYOUT]]&lt;=40%,"CRESCIMENTO",IF(Table_1[[#This Row],[PAYOUT]]&lt;=60%,"INDEFINIDO","DIVIDENDOS"))</f>
        <v/>
      </c>
      <c r="Q260" s="62">
        <f>VLOOKUP(Table_1[[#This Row],[AÇÕES]],'Dados Status Invest'!A:R,18,0)/100</f>
        <v/>
      </c>
      <c r="R260" s="62">
        <f>VLOOKUP(Table_1[[#This Row],[AÇÕES]],'Dados Status Invest'!A:Y,25,0)/100</f>
        <v/>
      </c>
      <c r="S260" s="62">
        <f>(1-Table_1[[#This Row],[PAYOUT]])*Table_1[[#This Row],[ROE]]</f>
        <v/>
      </c>
      <c r="T260" s="98">
        <f>AVERAGE(Table_1[[#This Row],[CAGR LUCRO 5A]],Table_1[[#This Row],[CRESCIMENTO DAMODARAN]])</f>
        <v/>
      </c>
      <c r="U260" s="64">
        <f>(Table_1[[#This Row],[PREÇO JUSTO BAZIN]]-Table_1[[#This Row],[PREÇO]])/Table_1[[#This Row],[PREÇO JUSTO BAZIN]]</f>
        <v/>
      </c>
      <c r="V260" s="129">
        <f>Table_1[[#This Row],[DPA]]/6%</f>
        <v/>
      </c>
      <c r="W260" s="129">
        <f>Table_1[[#This Row],[PREÇO JUSTO BAZIN]]/(1+Table_1[[#This Row],[MARGEM DE DESCONTO]])</f>
        <v/>
      </c>
      <c r="X260" s="64">
        <f>(Table_1[[#This Row],[PREÇO JUSTO GRAHAM]]-Table_1[[#This Row],[PREÇO]])/Table_1[[#This Row],[PREÇO JUSTO GRAHAM]]</f>
        <v/>
      </c>
      <c r="Y260" s="129">
        <f>(22.5*Table_1[[#This Row],[LPA]]*Table_1[[#This Row],[VPA]])^0.5</f>
        <v/>
      </c>
      <c r="Z260" s="129">
        <f>Table_1[[#This Row],[PREÇO JUSTO GRAHAM]]/(1+Table_1[[#This Row],[MARGEM DE DESCONTO]])</f>
        <v/>
      </c>
      <c r="AA260" s="64">
        <f>(Table_1[[#This Row],[PREÇO JUSTO GORDON]]-Table_1[[#This Row],[PREÇO]])/Table_1[[#This Row],[PREÇO JUSTO GORDON]]</f>
        <v/>
      </c>
      <c r="AB260" s="130">
        <f>Table_1[[#This Row],[DPA]]*(1+Table_1[[#This Row],[MÉDIA DE CRESCIMENTO]])</f>
        <v/>
      </c>
      <c r="AC260" s="130">
        <f>Table_1[[#This Row],[D1]]/(Table_1[[#This Row],[RISCO]]-Table_1[[#This Row],[MÉDIA DE CRESCIMENTO]])</f>
        <v/>
      </c>
      <c r="AD260" s="130">
        <f>Table_1[[#This Row],[PREÇO JUSTO GORDON]]/(1+Table_1[[#This Row],[MARGEM DE DESCONTO]])</f>
        <v/>
      </c>
      <c r="AE260" s="78">
        <f>Table_1[[#This Row],[P/L]]/Table_1[[#This Row],[MÉDIA DE CRESCIMENTO]]</f>
        <v/>
      </c>
    </row>
    <row r="261" ht="15.75" customHeight="1">
      <c r="B261" s="77">
        <f>'Dados Status Invest'!A247</f>
        <v/>
      </c>
      <c r="C261" s="60">
        <f>VLOOKUP(Table_1[[#This Row],[AÇÕES]],'Classificação B3'!A:B,2,0)</f>
        <v/>
      </c>
      <c r="D261" s="60">
        <f>VLOOKUP(Table_1[[#This Row],[AÇÕES]],'Classificação B3'!A:D,4,0)</f>
        <v/>
      </c>
      <c r="E261" s="60">
        <f>VLOOKUP(Table_1[[#This Row],[AÇÕES]],'Classificação B3'!A:F,6,0)</f>
        <v/>
      </c>
      <c r="F261" s="60">
        <f>VLOOKUP(Table_1[[#This Row],[AÇÕES]],'Classificação B3'!A:G,7,0)</f>
        <v/>
      </c>
      <c r="G261" s="61">
        <f>VLOOKUP(Table_1[[#This Row],[AÇÕES]],'Dados Status Invest'!A:B,2,0)</f>
        <v/>
      </c>
      <c r="H261" s="62">
        <f>VLOOKUP(Table_1[[#This Row],[AÇÕES]],'Dados Status Invest'!A:C,3,0)/100</f>
        <v/>
      </c>
      <c r="I261" s="62">
        <f>VLOOKUP(Table_1[[#This Row],[AÇÕES]],'Dados Status Invest'!A:D,4,0)/100</f>
        <v/>
      </c>
      <c r="J261" s="63">
        <f>VLOOKUP(Table_1[[#This Row],[AÇÕES]],'Dados Status Invest'!A:AB,28,0)</f>
        <v/>
      </c>
      <c r="K261" s="63">
        <f>VLOOKUP(Table_1[[#This Row],[AÇÕES]],'Dados Status Invest'!A:AA,27,0)</f>
        <v/>
      </c>
      <c r="L261" s="63">
        <f>Table_1[[#This Row],[PREÇO]]*Table_1[[#This Row],[DY]]</f>
        <v/>
      </c>
      <c r="M261" s="62">
        <f>$E$13</f>
        <v/>
      </c>
      <c r="N261" s="62" t="n">
        <v>0.3</v>
      </c>
      <c r="O261" s="62">
        <f>Table_1[[#This Row],[DPA]]/Table_1[[#This Row],[LPA]]</f>
        <v/>
      </c>
      <c r="P261" s="62">
        <f>IF(Table_1[[#This Row],[PAYOUT]]&lt;=40%,"CRESCIMENTO",IF(Table_1[[#This Row],[PAYOUT]]&lt;=60%,"INDEFINIDO","DIVIDENDOS"))</f>
        <v/>
      </c>
      <c r="Q261" s="62">
        <f>VLOOKUP(Table_1[[#This Row],[AÇÕES]],'Dados Status Invest'!A:R,18,0)/100</f>
        <v/>
      </c>
      <c r="R261" s="62">
        <f>VLOOKUP(Table_1[[#This Row],[AÇÕES]],'Dados Status Invest'!A:Y,25,0)/100</f>
        <v/>
      </c>
      <c r="S261" s="62">
        <f>(1-Table_1[[#This Row],[PAYOUT]])*Table_1[[#This Row],[ROE]]</f>
        <v/>
      </c>
      <c r="T261" s="98">
        <f>AVERAGE(Table_1[[#This Row],[CAGR LUCRO 5A]],Table_1[[#This Row],[CRESCIMENTO DAMODARAN]])</f>
        <v/>
      </c>
      <c r="U261" s="64">
        <f>(Table_1[[#This Row],[PREÇO JUSTO BAZIN]]-Table_1[[#This Row],[PREÇO]])/Table_1[[#This Row],[PREÇO JUSTO BAZIN]]</f>
        <v/>
      </c>
      <c r="V261" s="129">
        <f>Table_1[[#This Row],[DPA]]/6%</f>
        <v/>
      </c>
      <c r="W261" s="129">
        <f>Table_1[[#This Row],[PREÇO JUSTO BAZIN]]/(1+Table_1[[#This Row],[MARGEM DE DESCONTO]])</f>
        <v/>
      </c>
      <c r="X261" s="64">
        <f>(Table_1[[#This Row],[PREÇO JUSTO GRAHAM]]-Table_1[[#This Row],[PREÇO]])/Table_1[[#This Row],[PREÇO JUSTO GRAHAM]]</f>
        <v/>
      </c>
      <c r="Y261" s="129">
        <f>(22.5*Table_1[[#This Row],[LPA]]*Table_1[[#This Row],[VPA]])^0.5</f>
        <v/>
      </c>
      <c r="Z261" s="129">
        <f>Table_1[[#This Row],[PREÇO JUSTO GRAHAM]]/(1+Table_1[[#This Row],[MARGEM DE DESCONTO]])</f>
        <v/>
      </c>
      <c r="AA261" s="64">
        <f>(Table_1[[#This Row],[PREÇO JUSTO GORDON]]-Table_1[[#This Row],[PREÇO]])/Table_1[[#This Row],[PREÇO JUSTO GORDON]]</f>
        <v/>
      </c>
      <c r="AB261" s="130">
        <f>Table_1[[#This Row],[DPA]]*(1+Table_1[[#This Row],[MÉDIA DE CRESCIMENTO]])</f>
        <v/>
      </c>
      <c r="AC261" s="130">
        <f>Table_1[[#This Row],[D1]]/(Table_1[[#This Row],[RISCO]]-Table_1[[#This Row],[MÉDIA DE CRESCIMENTO]])</f>
        <v/>
      </c>
      <c r="AD261" s="130">
        <f>Table_1[[#This Row],[PREÇO JUSTO GORDON]]/(1+Table_1[[#This Row],[MARGEM DE DESCONTO]])</f>
        <v/>
      </c>
      <c r="AE261" s="78">
        <f>Table_1[[#This Row],[P/L]]/Table_1[[#This Row],[MÉDIA DE CRESCIMENTO]]</f>
        <v/>
      </c>
    </row>
    <row r="262" ht="15.75" customHeight="1">
      <c r="B262" s="77">
        <f>'Dados Status Invest'!A248</f>
        <v/>
      </c>
      <c r="C262" s="60">
        <f>VLOOKUP(Table_1[[#This Row],[AÇÕES]],'Classificação B3'!A:B,2,0)</f>
        <v/>
      </c>
      <c r="D262" s="60">
        <f>VLOOKUP(Table_1[[#This Row],[AÇÕES]],'Classificação B3'!A:D,4,0)</f>
        <v/>
      </c>
      <c r="E262" s="60">
        <f>VLOOKUP(Table_1[[#This Row],[AÇÕES]],'Classificação B3'!A:F,6,0)</f>
        <v/>
      </c>
      <c r="F262" s="60">
        <f>VLOOKUP(Table_1[[#This Row],[AÇÕES]],'Classificação B3'!A:G,7,0)</f>
        <v/>
      </c>
      <c r="G262" s="61">
        <f>VLOOKUP(Table_1[[#This Row],[AÇÕES]],'Dados Status Invest'!A:B,2,0)</f>
        <v/>
      </c>
      <c r="H262" s="62">
        <f>VLOOKUP(Table_1[[#This Row],[AÇÕES]],'Dados Status Invest'!A:C,3,0)/100</f>
        <v/>
      </c>
      <c r="I262" s="62">
        <f>VLOOKUP(Table_1[[#This Row],[AÇÕES]],'Dados Status Invest'!A:D,4,0)/100</f>
        <v/>
      </c>
      <c r="J262" s="63">
        <f>VLOOKUP(Table_1[[#This Row],[AÇÕES]],'Dados Status Invest'!A:AB,28,0)</f>
        <v/>
      </c>
      <c r="K262" s="63">
        <f>VLOOKUP(Table_1[[#This Row],[AÇÕES]],'Dados Status Invest'!A:AA,27,0)</f>
        <v/>
      </c>
      <c r="L262" s="63">
        <f>Table_1[[#This Row],[PREÇO]]*Table_1[[#This Row],[DY]]</f>
        <v/>
      </c>
      <c r="M262" s="62">
        <f>$E$13</f>
        <v/>
      </c>
      <c r="N262" s="62" t="n">
        <v>0.3</v>
      </c>
      <c r="O262" s="62">
        <f>Table_1[[#This Row],[DPA]]/Table_1[[#This Row],[LPA]]</f>
        <v/>
      </c>
      <c r="P262" s="62">
        <f>IF(Table_1[[#This Row],[PAYOUT]]&lt;=40%,"CRESCIMENTO",IF(Table_1[[#This Row],[PAYOUT]]&lt;=60%,"INDEFINIDO","DIVIDENDOS"))</f>
        <v/>
      </c>
      <c r="Q262" s="62">
        <f>VLOOKUP(Table_1[[#This Row],[AÇÕES]],'Dados Status Invest'!A:R,18,0)/100</f>
        <v/>
      </c>
      <c r="R262" s="62">
        <f>VLOOKUP(Table_1[[#This Row],[AÇÕES]],'Dados Status Invest'!A:Y,25,0)/100</f>
        <v/>
      </c>
      <c r="S262" s="62">
        <f>(1-Table_1[[#This Row],[PAYOUT]])*Table_1[[#This Row],[ROE]]</f>
        <v/>
      </c>
      <c r="T262" s="98">
        <f>AVERAGE(Table_1[[#This Row],[CAGR LUCRO 5A]],Table_1[[#This Row],[CRESCIMENTO DAMODARAN]])</f>
        <v/>
      </c>
      <c r="U262" s="64">
        <f>(Table_1[[#This Row],[PREÇO JUSTO BAZIN]]-Table_1[[#This Row],[PREÇO]])/Table_1[[#This Row],[PREÇO JUSTO BAZIN]]</f>
        <v/>
      </c>
      <c r="V262" s="129">
        <f>Table_1[[#This Row],[DPA]]/6%</f>
        <v/>
      </c>
      <c r="W262" s="129">
        <f>Table_1[[#This Row],[PREÇO JUSTO BAZIN]]/(1+Table_1[[#This Row],[MARGEM DE DESCONTO]])</f>
        <v/>
      </c>
      <c r="X262" s="64">
        <f>(Table_1[[#This Row],[PREÇO JUSTO GRAHAM]]-Table_1[[#This Row],[PREÇO]])/Table_1[[#This Row],[PREÇO JUSTO GRAHAM]]</f>
        <v/>
      </c>
      <c r="Y262" s="129">
        <f>(22.5*Table_1[[#This Row],[LPA]]*Table_1[[#This Row],[VPA]])^0.5</f>
        <v/>
      </c>
      <c r="Z262" s="129">
        <f>Table_1[[#This Row],[PREÇO JUSTO GRAHAM]]/(1+Table_1[[#This Row],[MARGEM DE DESCONTO]])</f>
        <v/>
      </c>
      <c r="AA262" s="64">
        <f>(Table_1[[#This Row],[PREÇO JUSTO GORDON]]-Table_1[[#This Row],[PREÇO]])/Table_1[[#This Row],[PREÇO JUSTO GORDON]]</f>
        <v/>
      </c>
      <c r="AB262" s="130">
        <f>Table_1[[#This Row],[DPA]]*(1+Table_1[[#This Row],[MÉDIA DE CRESCIMENTO]])</f>
        <v/>
      </c>
      <c r="AC262" s="130">
        <f>Table_1[[#This Row],[D1]]/(Table_1[[#This Row],[RISCO]]-Table_1[[#This Row],[MÉDIA DE CRESCIMENTO]])</f>
        <v/>
      </c>
      <c r="AD262" s="130">
        <f>Table_1[[#This Row],[PREÇO JUSTO GORDON]]/(1+Table_1[[#This Row],[MARGEM DE DESCONTO]])</f>
        <v/>
      </c>
      <c r="AE262" s="78">
        <f>Table_1[[#This Row],[P/L]]/Table_1[[#This Row],[MÉDIA DE CRESCIMENTO]]</f>
        <v/>
      </c>
    </row>
    <row r="263" ht="15.75" customHeight="1">
      <c r="B263" s="77">
        <f>'Dados Status Invest'!A249</f>
        <v/>
      </c>
      <c r="C263" s="60">
        <f>VLOOKUP(Table_1[[#This Row],[AÇÕES]],'Classificação B3'!A:B,2,0)</f>
        <v/>
      </c>
      <c r="D263" s="60">
        <f>VLOOKUP(Table_1[[#This Row],[AÇÕES]],'Classificação B3'!A:D,4,0)</f>
        <v/>
      </c>
      <c r="E263" s="60">
        <f>VLOOKUP(Table_1[[#This Row],[AÇÕES]],'Classificação B3'!A:F,6,0)</f>
        <v/>
      </c>
      <c r="F263" s="60">
        <f>VLOOKUP(Table_1[[#This Row],[AÇÕES]],'Classificação B3'!A:G,7,0)</f>
        <v/>
      </c>
      <c r="G263" s="61">
        <f>VLOOKUP(Table_1[[#This Row],[AÇÕES]],'Dados Status Invest'!A:B,2,0)</f>
        <v/>
      </c>
      <c r="H263" s="62">
        <f>VLOOKUP(Table_1[[#This Row],[AÇÕES]],'Dados Status Invest'!A:C,3,0)/100</f>
        <v/>
      </c>
      <c r="I263" s="62">
        <f>VLOOKUP(Table_1[[#This Row],[AÇÕES]],'Dados Status Invest'!A:D,4,0)/100</f>
        <v/>
      </c>
      <c r="J263" s="63">
        <f>VLOOKUP(Table_1[[#This Row],[AÇÕES]],'Dados Status Invest'!A:AB,28,0)</f>
        <v/>
      </c>
      <c r="K263" s="63">
        <f>VLOOKUP(Table_1[[#This Row],[AÇÕES]],'Dados Status Invest'!A:AA,27,0)</f>
        <v/>
      </c>
      <c r="L263" s="63">
        <f>Table_1[[#This Row],[PREÇO]]*Table_1[[#This Row],[DY]]</f>
        <v/>
      </c>
      <c r="M263" s="62">
        <f>$E$13</f>
        <v/>
      </c>
      <c r="N263" s="62" t="n">
        <v>0.3</v>
      </c>
      <c r="O263" s="62">
        <f>Table_1[[#This Row],[DPA]]/Table_1[[#This Row],[LPA]]</f>
        <v/>
      </c>
      <c r="P263" s="62">
        <f>IF(Table_1[[#This Row],[PAYOUT]]&lt;=40%,"CRESCIMENTO",IF(Table_1[[#This Row],[PAYOUT]]&lt;=60%,"INDEFINIDO","DIVIDENDOS"))</f>
        <v/>
      </c>
      <c r="Q263" s="62">
        <f>VLOOKUP(Table_1[[#This Row],[AÇÕES]],'Dados Status Invest'!A:R,18,0)/100</f>
        <v/>
      </c>
      <c r="R263" s="62">
        <f>VLOOKUP(Table_1[[#This Row],[AÇÕES]],'Dados Status Invest'!A:Y,25,0)/100</f>
        <v/>
      </c>
      <c r="S263" s="62">
        <f>(1-Table_1[[#This Row],[PAYOUT]])*Table_1[[#This Row],[ROE]]</f>
        <v/>
      </c>
      <c r="T263" s="98">
        <f>AVERAGE(Table_1[[#This Row],[CAGR LUCRO 5A]],Table_1[[#This Row],[CRESCIMENTO DAMODARAN]])</f>
        <v/>
      </c>
      <c r="U263" s="64">
        <f>(Table_1[[#This Row],[PREÇO JUSTO BAZIN]]-Table_1[[#This Row],[PREÇO]])/Table_1[[#This Row],[PREÇO JUSTO BAZIN]]</f>
        <v/>
      </c>
      <c r="V263" s="129">
        <f>Table_1[[#This Row],[DPA]]/6%</f>
        <v/>
      </c>
      <c r="W263" s="129">
        <f>Table_1[[#This Row],[PREÇO JUSTO BAZIN]]/(1+Table_1[[#This Row],[MARGEM DE DESCONTO]])</f>
        <v/>
      </c>
      <c r="X263" s="64">
        <f>(Table_1[[#This Row],[PREÇO JUSTO GRAHAM]]-Table_1[[#This Row],[PREÇO]])/Table_1[[#This Row],[PREÇO JUSTO GRAHAM]]</f>
        <v/>
      </c>
      <c r="Y263" s="129">
        <f>(22.5*Table_1[[#This Row],[LPA]]*Table_1[[#This Row],[VPA]])^0.5</f>
        <v/>
      </c>
      <c r="Z263" s="129">
        <f>Table_1[[#This Row],[PREÇO JUSTO GRAHAM]]/(1+Table_1[[#This Row],[MARGEM DE DESCONTO]])</f>
        <v/>
      </c>
      <c r="AA263" s="64">
        <f>(Table_1[[#This Row],[PREÇO JUSTO GORDON]]-Table_1[[#This Row],[PREÇO]])/Table_1[[#This Row],[PREÇO JUSTO GORDON]]</f>
        <v/>
      </c>
      <c r="AB263" s="130">
        <f>Table_1[[#This Row],[DPA]]*(1+Table_1[[#This Row],[MÉDIA DE CRESCIMENTO]])</f>
        <v/>
      </c>
      <c r="AC263" s="130">
        <f>Table_1[[#This Row],[D1]]/(Table_1[[#This Row],[RISCO]]-Table_1[[#This Row],[MÉDIA DE CRESCIMENTO]])</f>
        <v/>
      </c>
      <c r="AD263" s="130">
        <f>Table_1[[#This Row],[PREÇO JUSTO GORDON]]/(1+Table_1[[#This Row],[MARGEM DE DESCONTO]])</f>
        <v/>
      </c>
      <c r="AE263" s="78">
        <f>Table_1[[#This Row],[P/L]]/Table_1[[#This Row],[MÉDIA DE CRESCIMENTO]]</f>
        <v/>
      </c>
    </row>
    <row r="264" ht="15.75" customHeight="1">
      <c r="B264" s="77">
        <f>'Dados Status Invest'!A250</f>
        <v/>
      </c>
      <c r="C264" s="60">
        <f>VLOOKUP(Table_1[[#This Row],[AÇÕES]],'Classificação B3'!A:B,2,0)</f>
        <v/>
      </c>
      <c r="D264" s="60">
        <f>VLOOKUP(Table_1[[#This Row],[AÇÕES]],'Classificação B3'!A:D,4,0)</f>
        <v/>
      </c>
      <c r="E264" s="60">
        <f>VLOOKUP(Table_1[[#This Row],[AÇÕES]],'Classificação B3'!A:F,6,0)</f>
        <v/>
      </c>
      <c r="F264" s="60">
        <f>VLOOKUP(Table_1[[#This Row],[AÇÕES]],'Classificação B3'!A:G,7,0)</f>
        <v/>
      </c>
      <c r="G264" s="61">
        <f>VLOOKUP(Table_1[[#This Row],[AÇÕES]],'Dados Status Invest'!A:B,2,0)</f>
        <v/>
      </c>
      <c r="H264" s="62">
        <f>VLOOKUP(Table_1[[#This Row],[AÇÕES]],'Dados Status Invest'!A:C,3,0)/100</f>
        <v/>
      </c>
      <c r="I264" s="62">
        <f>VLOOKUP(Table_1[[#This Row],[AÇÕES]],'Dados Status Invest'!A:D,4,0)/100</f>
        <v/>
      </c>
      <c r="J264" s="63">
        <f>VLOOKUP(Table_1[[#This Row],[AÇÕES]],'Dados Status Invest'!A:AB,28,0)</f>
        <v/>
      </c>
      <c r="K264" s="63">
        <f>VLOOKUP(Table_1[[#This Row],[AÇÕES]],'Dados Status Invest'!A:AA,27,0)</f>
        <v/>
      </c>
      <c r="L264" s="63">
        <f>Table_1[[#This Row],[PREÇO]]*Table_1[[#This Row],[DY]]</f>
        <v/>
      </c>
      <c r="M264" s="62">
        <f>$E$13</f>
        <v/>
      </c>
      <c r="N264" s="62" t="n">
        <v>0.3</v>
      </c>
      <c r="O264" s="62">
        <f>Table_1[[#This Row],[DPA]]/Table_1[[#This Row],[LPA]]</f>
        <v/>
      </c>
      <c r="P264" s="62">
        <f>IF(Table_1[[#This Row],[PAYOUT]]&lt;=40%,"CRESCIMENTO",IF(Table_1[[#This Row],[PAYOUT]]&lt;=60%,"INDEFINIDO","DIVIDENDOS"))</f>
        <v/>
      </c>
      <c r="Q264" s="62">
        <f>VLOOKUP(Table_1[[#This Row],[AÇÕES]],'Dados Status Invest'!A:R,18,0)/100</f>
        <v/>
      </c>
      <c r="R264" s="62">
        <f>VLOOKUP(Table_1[[#This Row],[AÇÕES]],'Dados Status Invest'!A:Y,25,0)/100</f>
        <v/>
      </c>
      <c r="S264" s="62">
        <f>(1-Table_1[[#This Row],[PAYOUT]])*Table_1[[#This Row],[ROE]]</f>
        <v/>
      </c>
      <c r="T264" s="98">
        <f>AVERAGE(Table_1[[#This Row],[CAGR LUCRO 5A]],Table_1[[#This Row],[CRESCIMENTO DAMODARAN]])</f>
        <v/>
      </c>
      <c r="U264" s="64">
        <f>(Table_1[[#This Row],[PREÇO JUSTO BAZIN]]-Table_1[[#This Row],[PREÇO]])/Table_1[[#This Row],[PREÇO JUSTO BAZIN]]</f>
        <v/>
      </c>
      <c r="V264" s="129">
        <f>Table_1[[#This Row],[DPA]]/6%</f>
        <v/>
      </c>
      <c r="W264" s="129">
        <f>Table_1[[#This Row],[PREÇO JUSTO BAZIN]]/(1+Table_1[[#This Row],[MARGEM DE DESCONTO]])</f>
        <v/>
      </c>
      <c r="X264" s="64">
        <f>(Table_1[[#This Row],[PREÇO JUSTO GRAHAM]]-Table_1[[#This Row],[PREÇO]])/Table_1[[#This Row],[PREÇO JUSTO GRAHAM]]</f>
        <v/>
      </c>
      <c r="Y264" s="129">
        <f>(22.5*Table_1[[#This Row],[LPA]]*Table_1[[#This Row],[VPA]])^0.5</f>
        <v/>
      </c>
      <c r="Z264" s="129">
        <f>Table_1[[#This Row],[PREÇO JUSTO GRAHAM]]/(1+Table_1[[#This Row],[MARGEM DE DESCONTO]])</f>
        <v/>
      </c>
      <c r="AA264" s="64">
        <f>(Table_1[[#This Row],[PREÇO JUSTO GORDON]]-Table_1[[#This Row],[PREÇO]])/Table_1[[#This Row],[PREÇO JUSTO GORDON]]</f>
        <v/>
      </c>
      <c r="AB264" s="130">
        <f>Table_1[[#This Row],[DPA]]*(1+Table_1[[#This Row],[MÉDIA DE CRESCIMENTO]])</f>
        <v/>
      </c>
      <c r="AC264" s="130">
        <f>Table_1[[#This Row],[D1]]/(Table_1[[#This Row],[RISCO]]-Table_1[[#This Row],[MÉDIA DE CRESCIMENTO]])</f>
        <v/>
      </c>
      <c r="AD264" s="130">
        <f>Table_1[[#This Row],[PREÇO JUSTO GORDON]]/(1+Table_1[[#This Row],[MARGEM DE DESCONTO]])</f>
        <v/>
      </c>
      <c r="AE264" s="78">
        <f>Table_1[[#This Row],[P/L]]/Table_1[[#This Row],[MÉDIA DE CRESCIMENTO]]</f>
        <v/>
      </c>
    </row>
    <row r="265" ht="15.75" customHeight="1">
      <c r="B265" s="77">
        <f>'Dados Status Invest'!A251</f>
        <v/>
      </c>
      <c r="C265" s="60">
        <f>VLOOKUP(Table_1[[#This Row],[AÇÕES]],'Classificação B3'!A:B,2,0)</f>
        <v/>
      </c>
      <c r="D265" s="60">
        <f>VLOOKUP(Table_1[[#This Row],[AÇÕES]],'Classificação B3'!A:D,4,0)</f>
        <v/>
      </c>
      <c r="E265" s="60">
        <f>VLOOKUP(Table_1[[#This Row],[AÇÕES]],'Classificação B3'!A:F,6,0)</f>
        <v/>
      </c>
      <c r="F265" s="60">
        <f>VLOOKUP(Table_1[[#This Row],[AÇÕES]],'Classificação B3'!A:G,7,0)</f>
        <v/>
      </c>
      <c r="G265" s="61">
        <f>VLOOKUP(Table_1[[#This Row],[AÇÕES]],'Dados Status Invest'!A:B,2,0)</f>
        <v/>
      </c>
      <c r="H265" s="62">
        <f>VLOOKUP(Table_1[[#This Row],[AÇÕES]],'Dados Status Invest'!A:C,3,0)/100</f>
        <v/>
      </c>
      <c r="I265" s="62">
        <f>VLOOKUP(Table_1[[#This Row],[AÇÕES]],'Dados Status Invest'!A:D,4,0)/100</f>
        <v/>
      </c>
      <c r="J265" s="63">
        <f>VLOOKUP(Table_1[[#This Row],[AÇÕES]],'Dados Status Invest'!A:AB,28,0)</f>
        <v/>
      </c>
      <c r="K265" s="63">
        <f>VLOOKUP(Table_1[[#This Row],[AÇÕES]],'Dados Status Invest'!A:AA,27,0)</f>
        <v/>
      </c>
      <c r="L265" s="63">
        <f>Table_1[[#This Row],[PREÇO]]*Table_1[[#This Row],[DY]]</f>
        <v/>
      </c>
      <c r="M265" s="62">
        <f>$E$13</f>
        <v/>
      </c>
      <c r="N265" s="62" t="n">
        <v>0.3</v>
      </c>
      <c r="O265" s="62">
        <f>Table_1[[#This Row],[DPA]]/Table_1[[#This Row],[LPA]]</f>
        <v/>
      </c>
      <c r="P265" s="62">
        <f>IF(Table_1[[#This Row],[PAYOUT]]&lt;=40%,"CRESCIMENTO",IF(Table_1[[#This Row],[PAYOUT]]&lt;=60%,"INDEFINIDO","DIVIDENDOS"))</f>
        <v/>
      </c>
      <c r="Q265" s="62">
        <f>VLOOKUP(Table_1[[#This Row],[AÇÕES]],'Dados Status Invest'!A:R,18,0)/100</f>
        <v/>
      </c>
      <c r="R265" s="62">
        <f>VLOOKUP(Table_1[[#This Row],[AÇÕES]],'Dados Status Invest'!A:Y,25,0)/100</f>
        <v/>
      </c>
      <c r="S265" s="62">
        <f>(1-Table_1[[#This Row],[PAYOUT]])*Table_1[[#This Row],[ROE]]</f>
        <v/>
      </c>
      <c r="T265" s="98">
        <f>AVERAGE(Table_1[[#This Row],[CAGR LUCRO 5A]],Table_1[[#This Row],[CRESCIMENTO DAMODARAN]])</f>
        <v/>
      </c>
      <c r="U265" s="64">
        <f>(Table_1[[#This Row],[PREÇO JUSTO BAZIN]]-Table_1[[#This Row],[PREÇO]])/Table_1[[#This Row],[PREÇO JUSTO BAZIN]]</f>
        <v/>
      </c>
      <c r="V265" s="129">
        <f>Table_1[[#This Row],[DPA]]/6%</f>
        <v/>
      </c>
      <c r="W265" s="129">
        <f>Table_1[[#This Row],[PREÇO JUSTO BAZIN]]/(1+Table_1[[#This Row],[MARGEM DE DESCONTO]])</f>
        <v/>
      </c>
      <c r="X265" s="64">
        <f>(Table_1[[#This Row],[PREÇO JUSTO GRAHAM]]-Table_1[[#This Row],[PREÇO]])/Table_1[[#This Row],[PREÇO JUSTO GRAHAM]]</f>
        <v/>
      </c>
      <c r="Y265" s="129">
        <f>(22.5*Table_1[[#This Row],[LPA]]*Table_1[[#This Row],[VPA]])^0.5</f>
        <v/>
      </c>
      <c r="Z265" s="129">
        <f>Table_1[[#This Row],[PREÇO JUSTO GRAHAM]]/(1+Table_1[[#This Row],[MARGEM DE DESCONTO]])</f>
        <v/>
      </c>
      <c r="AA265" s="64">
        <f>(Table_1[[#This Row],[PREÇO JUSTO GORDON]]-Table_1[[#This Row],[PREÇO]])/Table_1[[#This Row],[PREÇO JUSTO GORDON]]</f>
        <v/>
      </c>
      <c r="AB265" s="130">
        <f>Table_1[[#This Row],[DPA]]*(1+Table_1[[#This Row],[MÉDIA DE CRESCIMENTO]])</f>
        <v/>
      </c>
      <c r="AC265" s="130">
        <f>Table_1[[#This Row],[D1]]/(Table_1[[#This Row],[RISCO]]-Table_1[[#This Row],[MÉDIA DE CRESCIMENTO]])</f>
        <v/>
      </c>
      <c r="AD265" s="130">
        <f>Table_1[[#This Row],[PREÇO JUSTO GORDON]]/(1+Table_1[[#This Row],[MARGEM DE DESCONTO]])</f>
        <v/>
      </c>
      <c r="AE265" s="78">
        <f>Table_1[[#This Row],[P/L]]/Table_1[[#This Row],[MÉDIA DE CRESCIMENTO]]</f>
        <v/>
      </c>
    </row>
    <row r="266" ht="15.75" customHeight="1">
      <c r="B266" s="77">
        <f>'Dados Status Invest'!A252</f>
        <v/>
      </c>
      <c r="C266" s="60">
        <f>VLOOKUP(Table_1[[#This Row],[AÇÕES]],'Classificação B3'!A:B,2,0)</f>
        <v/>
      </c>
      <c r="D266" s="60">
        <f>VLOOKUP(Table_1[[#This Row],[AÇÕES]],'Classificação B3'!A:D,4,0)</f>
        <v/>
      </c>
      <c r="E266" s="60">
        <f>VLOOKUP(Table_1[[#This Row],[AÇÕES]],'Classificação B3'!A:F,6,0)</f>
        <v/>
      </c>
      <c r="F266" s="60">
        <f>VLOOKUP(Table_1[[#This Row],[AÇÕES]],'Classificação B3'!A:G,7,0)</f>
        <v/>
      </c>
      <c r="G266" s="61">
        <f>VLOOKUP(Table_1[[#This Row],[AÇÕES]],'Dados Status Invest'!A:B,2,0)</f>
        <v/>
      </c>
      <c r="H266" s="62">
        <f>VLOOKUP(Table_1[[#This Row],[AÇÕES]],'Dados Status Invest'!A:C,3,0)/100</f>
        <v/>
      </c>
      <c r="I266" s="62">
        <f>VLOOKUP(Table_1[[#This Row],[AÇÕES]],'Dados Status Invest'!A:D,4,0)/100</f>
        <v/>
      </c>
      <c r="J266" s="63">
        <f>VLOOKUP(Table_1[[#This Row],[AÇÕES]],'Dados Status Invest'!A:AB,28,0)</f>
        <v/>
      </c>
      <c r="K266" s="63">
        <f>VLOOKUP(Table_1[[#This Row],[AÇÕES]],'Dados Status Invest'!A:AA,27,0)</f>
        <v/>
      </c>
      <c r="L266" s="63">
        <f>Table_1[[#This Row],[PREÇO]]*Table_1[[#This Row],[DY]]</f>
        <v/>
      </c>
      <c r="M266" s="62">
        <f>$E$13</f>
        <v/>
      </c>
      <c r="N266" s="62" t="n">
        <v>0.3</v>
      </c>
      <c r="O266" s="62">
        <f>Table_1[[#This Row],[DPA]]/Table_1[[#This Row],[LPA]]</f>
        <v/>
      </c>
      <c r="P266" s="62">
        <f>IF(Table_1[[#This Row],[PAYOUT]]&lt;=40%,"CRESCIMENTO",IF(Table_1[[#This Row],[PAYOUT]]&lt;=60%,"INDEFINIDO","DIVIDENDOS"))</f>
        <v/>
      </c>
      <c r="Q266" s="62">
        <f>VLOOKUP(Table_1[[#This Row],[AÇÕES]],'Dados Status Invest'!A:R,18,0)/100</f>
        <v/>
      </c>
      <c r="R266" s="62">
        <f>VLOOKUP(Table_1[[#This Row],[AÇÕES]],'Dados Status Invest'!A:Y,25,0)/100</f>
        <v/>
      </c>
      <c r="S266" s="62">
        <f>(1-Table_1[[#This Row],[PAYOUT]])*Table_1[[#This Row],[ROE]]</f>
        <v/>
      </c>
      <c r="T266" s="98">
        <f>AVERAGE(Table_1[[#This Row],[CAGR LUCRO 5A]],Table_1[[#This Row],[CRESCIMENTO DAMODARAN]])</f>
        <v/>
      </c>
      <c r="U266" s="64">
        <f>(Table_1[[#This Row],[PREÇO JUSTO BAZIN]]-Table_1[[#This Row],[PREÇO]])/Table_1[[#This Row],[PREÇO JUSTO BAZIN]]</f>
        <v/>
      </c>
      <c r="V266" s="129">
        <f>Table_1[[#This Row],[DPA]]/6%</f>
        <v/>
      </c>
      <c r="W266" s="129">
        <f>Table_1[[#This Row],[PREÇO JUSTO BAZIN]]/(1+Table_1[[#This Row],[MARGEM DE DESCONTO]])</f>
        <v/>
      </c>
      <c r="X266" s="64">
        <f>(Table_1[[#This Row],[PREÇO JUSTO GRAHAM]]-Table_1[[#This Row],[PREÇO]])/Table_1[[#This Row],[PREÇO JUSTO GRAHAM]]</f>
        <v/>
      </c>
      <c r="Y266" s="129">
        <f>(22.5*Table_1[[#This Row],[LPA]]*Table_1[[#This Row],[VPA]])^0.5</f>
        <v/>
      </c>
      <c r="Z266" s="129">
        <f>Table_1[[#This Row],[PREÇO JUSTO GRAHAM]]/(1+Table_1[[#This Row],[MARGEM DE DESCONTO]])</f>
        <v/>
      </c>
      <c r="AA266" s="64">
        <f>(Table_1[[#This Row],[PREÇO JUSTO GORDON]]-Table_1[[#This Row],[PREÇO]])/Table_1[[#This Row],[PREÇO JUSTO GORDON]]</f>
        <v/>
      </c>
      <c r="AB266" s="130">
        <f>Table_1[[#This Row],[DPA]]*(1+Table_1[[#This Row],[MÉDIA DE CRESCIMENTO]])</f>
        <v/>
      </c>
      <c r="AC266" s="130">
        <f>Table_1[[#This Row],[D1]]/(Table_1[[#This Row],[RISCO]]-Table_1[[#This Row],[MÉDIA DE CRESCIMENTO]])</f>
        <v/>
      </c>
      <c r="AD266" s="130">
        <f>Table_1[[#This Row],[PREÇO JUSTO GORDON]]/(1+Table_1[[#This Row],[MARGEM DE DESCONTO]])</f>
        <v/>
      </c>
      <c r="AE266" s="78">
        <f>Table_1[[#This Row],[P/L]]/Table_1[[#This Row],[MÉDIA DE CRESCIMENTO]]</f>
        <v/>
      </c>
    </row>
    <row r="267" ht="15.75" customHeight="1">
      <c r="B267" s="77">
        <f>'Dados Status Invest'!A253</f>
        <v/>
      </c>
      <c r="C267" s="60">
        <f>VLOOKUP(Table_1[[#This Row],[AÇÕES]],'Classificação B3'!A:B,2,0)</f>
        <v/>
      </c>
      <c r="D267" s="60">
        <f>VLOOKUP(Table_1[[#This Row],[AÇÕES]],'Classificação B3'!A:D,4,0)</f>
        <v/>
      </c>
      <c r="E267" s="60">
        <f>VLOOKUP(Table_1[[#This Row],[AÇÕES]],'Classificação B3'!A:F,6,0)</f>
        <v/>
      </c>
      <c r="F267" s="60">
        <f>VLOOKUP(Table_1[[#This Row],[AÇÕES]],'Classificação B3'!A:G,7,0)</f>
        <v/>
      </c>
      <c r="G267" s="61">
        <f>VLOOKUP(Table_1[[#This Row],[AÇÕES]],'Dados Status Invest'!A:B,2,0)</f>
        <v/>
      </c>
      <c r="H267" s="62">
        <f>VLOOKUP(Table_1[[#This Row],[AÇÕES]],'Dados Status Invest'!A:C,3,0)/100</f>
        <v/>
      </c>
      <c r="I267" s="62">
        <f>VLOOKUP(Table_1[[#This Row],[AÇÕES]],'Dados Status Invest'!A:D,4,0)/100</f>
        <v/>
      </c>
      <c r="J267" s="63">
        <f>VLOOKUP(Table_1[[#This Row],[AÇÕES]],'Dados Status Invest'!A:AB,28,0)</f>
        <v/>
      </c>
      <c r="K267" s="63">
        <f>VLOOKUP(Table_1[[#This Row],[AÇÕES]],'Dados Status Invest'!A:AA,27,0)</f>
        <v/>
      </c>
      <c r="L267" s="63">
        <f>Table_1[[#This Row],[PREÇO]]*Table_1[[#This Row],[DY]]</f>
        <v/>
      </c>
      <c r="M267" s="62">
        <f>$E$13</f>
        <v/>
      </c>
      <c r="N267" s="62" t="n">
        <v>0.3</v>
      </c>
      <c r="O267" s="62">
        <f>Table_1[[#This Row],[DPA]]/Table_1[[#This Row],[LPA]]</f>
        <v/>
      </c>
      <c r="P267" s="62">
        <f>IF(Table_1[[#This Row],[PAYOUT]]&lt;=40%,"CRESCIMENTO",IF(Table_1[[#This Row],[PAYOUT]]&lt;=60%,"INDEFINIDO","DIVIDENDOS"))</f>
        <v/>
      </c>
      <c r="Q267" s="62">
        <f>VLOOKUP(Table_1[[#This Row],[AÇÕES]],'Dados Status Invest'!A:R,18,0)/100</f>
        <v/>
      </c>
      <c r="R267" s="62">
        <f>VLOOKUP(Table_1[[#This Row],[AÇÕES]],'Dados Status Invest'!A:Y,25,0)/100</f>
        <v/>
      </c>
      <c r="S267" s="62">
        <f>(1-Table_1[[#This Row],[PAYOUT]])*Table_1[[#This Row],[ROE]]</f>
        <v/>
      </c>
      <c r="T267" s="98">
        <f>AVERAGE(Table_1[[#This Row],[CAGR LUCRO 5A]],Table_1[[#This Row],[CRESCIMENTO DAMODARAN]])</f>
        <v/>
      </c>
      <c r="U267" s="64">
        <f>(Table_1[[#This Row],[PREÇO JUSTO BAZIN]]-Table_1[[#This Row],[PREÇO]])/Table_1[[#This Row],[PREÇO JUSTO BAZIN]]</f>
        <v/>
      </c>
      <c r="V267" s="129">
        <f>Table_1[[#This Row],[DPA]]/6%</f>
        <v/>
      </c>
      <c r="W267" s="129">
        <f>Table_1[[#This Row],[PREÇO JUSTO BAZIN]]/(1+Table_1[[#This Row],[MARGEM DE DESCONTO]])</f>
        <v/>
      </c>
      <c r="X267" s="64">
        <f>(Table_1[[#This Row],[PREÇO JUSTO GRAHAM]]-Table_1[[#This Row],[PREÇO]])/Table_1[[#This Row],[PREÇO JUSTO GRAHAM]]</f>
        <v/>
      </c>
      <c r="Y267" s="129">
        <f>(22.5*Table_1[[#This Row],[LPA]]*Table_1[[#This Row],[VPA]])^0.5</f>
        <v/>
      </c>
      <c r="Z267" s="129">
        <f>Table_1[[#This Row],[PREÇO JUSTO GRAHAM]]/(1+Table_1[[#This Row],[MARGEM DE DESCONTO]])</f>
        <v/>
      </c>
      <c r="AA267" s="64">
        <f>(Table_1[[#This Row],[PREÇO JUSTO GORDON]]-Table_1[[#This Row],[PREÇO]])/Table_1[[#This Row],[PREÇO JUSTO GORDON]]</f>
        <v/>
      </c>
      <c r="AB267" s="130">
        <f>Table_1[[#This Row],[DPA]]*(1+Table_1[[#This Row],[MÉDIA DE CRESCIMENTO]])</f>
        <v/>
      </c>
      <c r="AC267" s="130">
        <f>Table_1[[#This Row],[D1]]/(Table_1[[#This Row],[RISCO]]-Table_1[[#This Row],[MÉDIA DE CRESCIMENTO]])</f>
        <v/>
      </c>
      <c r="AD267" s="130">
        <f>Table_1[[#This Row],[PREÇO JUSTO GORDON]]/(1+Table_1[[#This Row],[MARGEM DE DESCONTO]])</f>
        <v/>
      </c>
      <c r="AE267" s="78">
        <f>Table_1[[#This Row],[P/L]]/Table_1[[#This Row],[MÉDIA DE CRESCIMENTO]]</f>
        <v/>
      </c>
    </row>
    <row r="268" ht="15.75" customHeight="1">
      <c r="B268" s="77">
        <f>'Dados Status Invest'!A254</f>
        <v/>
      </c>
      <c r="C268" s="60">
        <f>VLOOKUP(Table_1[[#This Row],[AÇÕES]],'Classificação B3'!A:B,2,0)</f>
        <v/>
      </c>
      <c r="D268" s="60">
        <f>VLOOKUP(Table_1[[#This Row],[AÇÕES]],'Classificação B3'!A:D,4,0)</f>
        <v/>
      </c>
      <c r="E268" s="60">
        <f>VLOOKUP(Table_1[[#This Row],[AÇÕES]],'Classificação B3'!A:F,6,0)</f>
        <v/>
      </c>
      <c r="F268" s="60">
        <f>VLOOKUP(Table_1[[#This Row],[AÇÕES]],'Classificação B3'!A:G,7,0)</f>
        <v/>
      </c>
      <c r="G268" s="61">
        <f>VLOOKUP(Table_1[[#This Row],[AÇÕES]],'Dados Status Invest'!A:B,2,0)</f>
        <v/>
      </c>
      <c r="H268" s="62">
        <f>VLOOKUP(Table_1[[#This Row],[AÇÕES]],'Dados Status Invest'!A:C,3,0)/100</f>
        <v/>
      </c>
      <c r="I268" s="62">
        <f>VLOOKUP(Table_1[[#This Row],[AÇÕES]],'Dados Status Invest'!A:D,4,0)/100</f>
        <v/>
      </c>
      <c r="J268" s="63">
        <f>VLOOKUP(Table_1[[#This Row],[AÇÕES]],'Dados Status Invest'!A:AB,28,0)</f>
        <v/>
      </c>
      <c r="K268" s="63">
        <f>VLOOKUP(Table_1[[#This Row],[AÇÕES]],'Dados Status Invest'!A:AA,27,0)</f>
        <v/>
      </c>
      <c r="L268" s="63">
        <f>Table_1[[#This Row],[PREÇO]]*Table_1[[#This Row],[DY]]</f>
        <v/>
      </c>
      <c r="M268" s="62">
        <f>$E$13</f>
        <v/>
      </c>
      <c r="N268" s="62" t="n">
        <v>0.3</v>
      </c>
      <c r="O268" s="62">
        <f>Table_1[[#This Row],[DPA]]/Table_1[[#This Row],[LPA]]</f>
        <v/>
      </c>
      <c r="P268" s="62">
        <f>IF(Table_1[[#This Row],[PAYOUT]]&lt;=40%,"CRESCIMENTO",IF(Table_1[[#This Row],[PAYOUT]]&lt;=60%,"INDEFINIDO","DIVIDENDOS"))</f>
        <v/>
      </c>
      <c r="Q268" s="62">
        <f>VLOOKUP(Table_1[[#This Row],[AÇÕES]],'Dados Status Invest'!A:R,18,0)/100</f>
        <v/>
      </c>
      <c r="R268" s="62">
        <f>VLOOKUP(Table_1[[#This Row],[AÇÕES]],'Dados Status Invest'!A:Y,25,0)/100</f>
        <v/>
      </c>
      <c r="S268" s="62">
        <f>(1-Table_1[[#This Row],[PAYOUT]])*Table_1[[#This Row],[ROE]]</f>
        <v/>
      </c>
      <c r="T268" s="98">
        <f>AVERAGE(Table_1[[#This Row],[CAGR LUCRO 5A]],Table_1[[#This Row],[CRESCIMENTO DAMODARAN]])</f>
        <v/>
      </c>
      <c r="U268" s="64">
        <f>(Table_1[[#This Row],[PREÇO JUSTO BAZIN]]-Table_1[[#This Row],[PREÇO]])/Table_1[[#This Row],[PREÇO JUSTO BAZIN]]</f>
        <v/>
      </c>
      <c r="V268" s="129">
        <f>Table_1[[#This Row],[DPA]]/6%</f>
        <v/>
      </c>
      <c r="W268" s="129">
        <f>Table_1[[#This Row],[PREÇO JUSTO BAZIN]]/(1+Table_1[[#This Row],[MARGEM DE DESCONTO]])</f>
        <v/>
      </c>
      <c r="X268" s="64">
        <f>(Table_1[[#This Row],[PREÇO JUSTO GRAHAM]]-Table_1[[#This Row],[PREÇO]])/Table_1[[#This Row],[PREÇO JUSTO GRAHAM]]</f>
        <v/>
      </c>
      <c r="Y268" s="129">
        <f>(22.5*Table_1[[#This Row],[LPA]]*Table_1[[#This Row],[VPA]])^0.5</f>
        <v/>
      </c>
      <c r="Z268" s="129">
        <f>Table_1[[#This Row],[PREÇO JUSTO GRAHAM]]/(1+Table_1[[#This Row],[MARGEM DE DESCONTO]])</f>
        <v/>
      </c>
      <c r="AA268" s="64">
        <f>(Table_1[[#This Row],[PREÇO JUSTO GORDON]]-Table_1[[#This Row],[PREÇO]])/Table_1[[#This Row],[PREÇO JUSTO GORDON]]</f>
        <v/>
      </c>
      <c r="AB268" s="130">
        <f>Table_1[[#This Row],[DPA]]*(1+Table_1[[#This Row],[MÉDIA DE CRESCIMENTO]])</f>
        <v/>
      </c>
      <c r="AC268" s="130">
        <f>Table_1[[#This Row],[D1]]/(Table_1[[#This Row],[RISCO]]-Table_1[[#This Row],[MÉDIA DE CRESCIMENTO]])</f>
        <v/>
      </c>
      <c r="AD268" s="130">
        <f>Table_1[[#This Row],[PREÇO JUSTO GORDON]]/(1+Table_1[[#This Row],[MARGEM DE DESCONTO]])</f>
        <v/>
      </c>
      <c r="AE268" s="78">
        <f>Table_1[[#This Row],[P/L]]/Table_1[[#This Row],[MÉDIA DE CRESCIMENTO]]</f>
        <v/>
      </c>
    </row>
    <row r="269" ht="15.75" customHeight="1">
      <c r="B269" s="77">
        <f>'Dados Status Invest'!A255</f>
        <v/>
      </c>
      <c r="C269" s="60">
        <f>VLOOKUP(Table_1[[#This Row],[AÇÕES]],'Classificação B3'!A:B,2,0)</f>
        <v/>
      </c>
      <c r="D269" s="60">
        <f>VLOOKUP(Table_1[[#This Row],[AÇÕES]],'Classificação B3'!A:D,4,0)</f>
        <v/>
      </c>
      <c r="E269" s="60">
        <f>VLOOKUP(Table_1[[#This Row],[AÇÕES]],'Classificação B3'!A:F,6,0)</f>
        <v/>
      </c>
      <c r="F269" s="60">
        <f>VLOOKUP(Table_1[[#This Row],[AÇÕES]],'Classificação B3'!A:G,7,0)</f>
        <v/>
      </c>
      <c r="G269" s="61">
        <f>VLOOKUP(Table_1[[#This Row],[AÇÕES]],'Dados Status Invest'!A:B,2,0)</f>
        <v/>
      </c>
      <c r="H269" s="62">
        <f>VLOOKUP(Table_1[[#This Row],[AÇÕES]],'Dados Status Invest'!A:C,3,0)/100</f>
        <v/>
      </c>
      <c r="I269" s="62">
        <f>VLOOKUP(Table_1[[#This Row],[AÇÕES]],'Dados Status Invest'!A:D,4,0)/100</f>
        <v/>
      </c>
      <c r="J269" s="63">
        <f>VLOOKUP(Table_1[[#This Row],[AÇÕES]],'Dados Status Invest'!A:AB,28,0)</f>
        <v/>
      </c>
      <c r="K269" s="63">
        <f>VLOOKUP(Table_1[[#This Row],[AÇÕES]],'Dados Status Invest'!A:AA,27,0)</f>
        <v/>
      </c>
      <c r="L269" s="63">
        <f>Table_1[[#This Row],[PREÇO]]*Table_1[[#This Row],[DY]]</f>
        <v/>
      </c>
      <c r="M269" s="62">
        <f>$E$13</f>
        <v/>
      </c>
      <c r="N269" s="62" t="n">
        <v>0.3</v>
      </c>
      <c r="O269" s="62">
        <f>Table_1[[#This Row],[DPA]]/Table_1[[#This Row],[LPA]]</f>
        <v/>
      </c>
      <c r="P269" s="62">
        <f>IF(Table_1[[#This Row],[PAYOUT]]&lt;=40%,"CRESCIMENTO",IF(Table_1[[#This Row],[PAYOUT]]&lt;=60%,"INDEFINIDO","DIVIDENDOS"))</f>
        <v/>
      </c>
      <c r="Q269" s="62">
        <f>VLOOKUP(Table_1[[#This Row],[AÇÕES]],'Dados Status Invest'!A:R,18,0)/100</f>
        <v/>
      </c>
      <c r="R269" s="62">
        <f>VLOOKUP(Table_1[[#This Row],[AÇÕES]],'Dados Status Invest'!A:Y,25,0)/100</f>
        <v/>
      </c>
      <c r="S269" s="62">
        <f>(1-Table_1[[#This Row],[PAYOUT]])*Table_1[[#This Row],[ROE]]</f>
        <v/>
      </c>
      <c r="T269" s="98">
        <f>AVERAGE(Table_1[[#This Row],[CAGR LUCRO 5A]],Table_1[[#This Row],[CRESCIMENTO DAMODARAN]])</f>
        <v/>
      </c>
      <c r="U269" s="64">
        <f>(Table_1[[#This Row],[PREÇO JUSTO BAZIN]]-Table_1[[#This Row],[PREÇO]])/Table_1[[#This Row],[PREÇO JUSTO BAZIN]]</f>
        <v/>
      </c>
      <c r="V269" s="129">
        <f>Table_1[[#This Row],[DPA]]/6%</f>
        <v/>
      </c>
      <c r="W269" s="129">
        <f>Table_1[[#This Row],[PREÇO JUSTO BAZIN]]/(1+Table_1[[#This Row],[MARGEM DE DESCONTO]])</f>
        <v/>
      </c>
      <c r="X269" s="64">
        <f>(Table_1[[#This Row],[PREÇO JUSTO GRAHAM]]-Table_1[[#This Row],[PREÇO]])/Table_1[[#This Row],[PREÇO JUSTO GRAHAM]]</f>
        <v/>
      </c>
      <c r="Y269" s="129">
        <f>(22.5*Table_1[[#This Row],[LPA]]*Table_1[[#This Row],[VPA]])^0.5</f>
        <v/>
      </c>
      <c r="Z269" s="129">
        <f>Table_1[[#This Row],[PREÇO JUSTO GRAHAM]]/(1+Table_1[[#This Row],[MARGEM DE DESCONTO]])</f>
        <v/>
      </c>
      <c r="AA269" s="64">
        <f>(Table_1[[#This Row],[PREÇO JUSTO GORDON]]-Table_1[[#This Row],[PREÇO]])/Table_1[[#This Row],[PREÇO JUSTO GORDON]]</f>
        <v/>
      </c>
      <c r="AB269" s="130">
        <f>Table_1[[#This Row],[DPA]]*(1+Table_1[[#This Row],[MÉDIA DE CRESCIMENTO]])</f>
        <v/>
      </c>
      <c r="AC269" s="130">
        <f>Table_1[[#This Row],[D1]]/(Table_1[[#This Row],[RISCO]]-Table_1[[#This Row],[MÉDIA DE CRESCIMENTO]])</f>
        <v/>
      </c>
      <c r="AD269" s="130">
        <f>Table_1[[#This Row],[PREÇO JUSTO GORDON]]/(1+Table_1[[#This Row],[MARGEM DE DESCONTO]])</f>
        <v/>
      </c>
      <c r="AE269" s="78">
        <f>Table_1[[#This Row],[P/L]]/Table_1[[#This Row],[MÉDIA DE CRESCIMENTO]]</f>
        <v/>
      </c>
    </row>
    <row r="270" ht="15.75" customHeight="1">
      <c r="B270" s="77">
        <f>'Dados Status Invest'!A256</f>
        <v/>
      </c>
      <c r="C270" s="60">
        <f>VLOOKUP(Table_1[[#This Row],[AÇÕES]],'Classificação B3'!A:B,2,0)</f>
        <v/>
      </c>
      <c r="D270" s="60">
        <f>VLOOKUP(Table_1[[#This Row],[AÇÕES]],'Classificação B3'!A:D,4,0)</f>
        <v/>
      </c>
      <c r="E270" s="60">
        <f>VLOOKUP(Table_1[[#This Row],[AÇÕES]],'Classificação B3'!A:F,6,0)</f>
        <v/>
      </c>
      <c r="F270" s="60">
        <f>VLOOKUP(Table_1[[#This Row],[AÇÕES]],'Classificação B3'!A:G,7,0)</f>
        <v/>
      </c>
      <c r="G270" s="61">
        <f>VLOOKUP(Table_1[[#This Row],[AÇÕES]],'Dados Status Invest'!A:B,2,0)</f>
        <v/>
      </c>
      <c r="H270" s="62">
        <f>VLOOKUP(Table_1[[#This Row],[AÇÕES]],'Dados Status Invest'!A:C,3,0)/100</f>
        <v/>
      </c>
      <c r="I270" s="62">
        <f>VLOOKUP(Table_1[[#This Row],[AÇÕES]],'Dados Status Invest'!A:D,4,0)/100</f>
        <v/>
      </c>
      <c r="J270" s="63">
        <f>VLOOKUP(Table_1[[#This Row],[AÇÕES]],'Dados Status Invest'!A:AB,28,0)</f>
        <v/>
      </c>
      <c r="K270" s="63">
        <f>VLOOKUP(Table_1[[#This Row],[AÇÕES]],'Dados Status Invest'!A:AA,27,0)</f>
        <v/>
      </c>
      <c r="L270" s="63">
        <f>Table_1[[#This Row],[PREÇO]]*Table_1[[#This Row],[DY]]</f>
        <v/>
      </c>
      <c r="M270" s="62">
        <f>$E$13</f>
        <v/>
      </c>
      <c r="N270" s="62" t="n">
        <v>0.3</v>
      </c>
      <c r="O270" s="62">
        <f>Table_1[[#This Row],[DPA]]/Table_1[[#This Row],[LPA]]</f>
        <v/>
      </c>
      <c r="P270" s="62">
        <f>IF(Table_1[[#This Row],[PAYOUT]]&lt;=40%,"CRESCIMENTO",IF(Table_1[[#This Row],[PAYOUT]]&lt;=60%,"INDEFINIDO","DIVIDENDOS"))</f>
        <v/>
      </c>
      <c r="Q270" s="62">
        <f>VLOOKUP(Table_1[[#This Row],[AÇÕES]],'Dados Status Invest'!A:R,18,0)/100</f>
        <v/>
      </c>
      <c r="R270" s="62">
        <f>VLOOKUP(Table_1[[#This Row],[AÇÕES]],'Dados Status Invest'!A:Y,25,0)/100</f>
        <v/>
      </c>
      <c r="S270" s="62">
        <f>(1-Table_1[[#This Row],[PAYOUT]])*Table_1[[#This Row],[ROE]]</f>
        <v/>
      </c>
      <c r="T270" s="98">
        <f>AVERAGE(Table_1[[#This Row],[CAGR LUCRO 5A]],Table_1[[#This Row],[CRESCIMENTO DAMODARAN]])</f>
        <v/>
      </c>
      <c r="U270" s="64">
        <f>(Table_1[[#This Row],[PREÇO JUSTO BAZIN]]-Table_1[[#This Row],[PREÇO]])/Table_1[[#This Row],[PREÇO JUSTO BAZIN]]</f>
        <v/>
      </c>
      <c r="V270" s="129">
        <f>Table_1[[#This Row],[DPA]]/6%</f>
        <v/>
      </c>
      <c r="W270" s="129">
        <f>Table_1[[#This Row],[PREÇO JUSTO BAZIN]]/(1+Table_1[[#This Row],[MARGEM DE DESCONTO]])</f>
        <v/>
      </c>
      <c r="X270" s="64">
        <f>(Table_1[[#This Row],[PREÇO JUSTO GRAHAM]]-Table_1[[#This Row],[PREÇO]])/Table_1[[#This Row],[PREÇO JUSTO GRAHAM]]</f>
        <v/>
      </c>
      <c r="Y270" s="129">
        <f>(22.5*Table_1[[#This Row],[LPA]]*Table_1[[#This Row],[VPA]])^0.5</f>
        <v/>
      </c>
      <c r="Z270" s="129">
        <f>Table_1[[#This Row],[PREÇO JUSTO GRAHAM]]/(1+Table_1[[#This Row],[MARGEM DE DESCONTO]])</f>
        <v/>
      </c>
      <c r="AA270" s="64">
        <f>(Table_1[[#This Row],[PREÇO JUSTO GORDON]]-Table_1[[#This Row],[PREÇO]])/Table_1[[#This Row],[PREÇO JUSTO GORDON]]</f>
        <v/>
      </c>
      <c r="AB270" s="130">
        <f>Table_1[[#This Row],[DPA]]*(1+Table_1[[#This Row],[MÉDIA DE CRESCIMENTO]])</f>
        <v/>
      </c>
      <c r="AC270" s="130">
        <f>Table_1[[#This Row],[D1]]/(Table_1[[#This Row],[RISCO]]-Table_1[[#This Row],[MÉDIA DE CRESCIMENTO]])</f>
        <v/>
      </c>
      <c r="AD270" s="130">
        <f>Table_1[[#This Row],[PREÇO JUSTO GORDON]]/(1+Table_1[[#This Row],[MARGEM DE DESCONTO]])</f>
        <v/>
      </c>
      <c r="AE270" s="78">
        <f>Table_1[[#This Row],[P/L]]/Table_1[[#This Row],[MÉDIA DE CRESCIMENTO]]</f>
        <v/>
      </c>
    </row>
    <row r="271" ht="15.75" customHeight="1">
      <c r="B271" s="77">
        <f>'Dados Status Invest'!A257</f>
        <v/>
      </c>
      <c r="C271" s="60">
        <f>VLOOKUP(Table_1[[#This Row],[AÇÕES]],'Classificação B3'!A:B,2,0)</f>
        <v/>
      </c>
      <c r="D271" s="60">
        <f>VLOOKUP(Table_1[[#This Row],[AÇÕES]],'Classificação B3'!A:D,4,0)</f>
        <v/>
      </c>
      <c r="E271" s="60">
        <f>VLOOKUP(Table_1[[#This Row],[AÇÕES]],'Classificação B3'!A:F,6,0)</f>
        <v/>
      </c>
      <c r="F271" s="60">
        <f>VLOOKUP(Table_1[[#This Row],[AÇÕES]],'Classificação B3'!A:G,7,0)</f>
        <v/>
      </c>
      <c r="G271" s="61">
        <f>VLOOKUP(Table_1[[#This Row],[AÇÕES]],'Dados Status Invest'!A:B,2,0)</f>
        <v/>
      </c>
      <c r="H271" s="62">
        <f>VLOOKUP(Table_1[[#This Row],[AÇÕES]],'Dados Status Invest'!A:C,3,0)/100</f>
        <v/>
      </c>
      <c r="I271" s="62">
        <f>VLOOKUP(Table_1[[#This Row],[AÇÕES]],'Dados Status Invest'!A:D,4,0)/100</f>
        <v/>
      </c>
      <c r="J271" s="63">
        <f>VLOOKUP(Table_1[[#This Row],[AÇÕES]],'Dados Status Invest'!A:AB,28,0)</f>
        <v/>
      </c>
      <c r="K271" s="63">
        <f>VLOOKUP(Table_1[[#This Row],[AÇÕES]],'Dados Status Invest'!A:AA,27,0)</f>
        <v/>
      </c>
      <c r="L271" s="63">
        <f>Table_1[[#This Row],[PREÇO]]*Table_1[[#This Row],[DY]]</f>
        <v/>
      </c>
      <c r="M271" s="62">
        <f>$E$13</f>
        <v/>
      </c>
      <c r="N271" s="62" t="n">
        <v>0.3</v>
      </c>
      <c r="O271" s="62">
        <f>Table_1[[#This Row],[DPA]]/Table_1[[#This Row],[LPA]]</f>
        <v/>
      </c>
      <c r="P271" s="62">
        <f>IF(Table_1[[#This Row],[PAYOUT]]&lt;=40%,"CRESCIMENTO",IF(Table_1[[#This Row],[PAYOUT]]&lt;=60%,"INDEFINIDO","DIVIDENDOS"))</f>
        <v/>
      </c>
      <c r="Q271" s="62">
        <f>VLOOKUP(Table_1[[#This Row],[AÇÕES]],'Dados Status Invest'!A:R,18,0)/100</f>
        <v/>
      </c>
      <c r="R271" s="62">
        <f>VLOOKUP(Table_1[[#This Row],[AÇÕES]],'Dados Status Invest'!A:Y,25,0)/100</f>
        <v/>
      </c>
      <c r="S271" s="62">
        <f>(1-Table_1[[#This Row],[PAYOUT]])*Table_1[[#This Row],[ROE]]</f>
        <v/>
      </c>
      <c r="T271" s="98">
        <f>AVERAGE(Table_1[[#This Row],[CAGR LUCRO 5A]],Table_1[[#This Row],[CRESCIMENTO DAMODARAN]])</f>
        <v/>
      </c>
      <c r="U271" s="64">
        <f>(Table_1[[#This Row],[PREÇO JUSTO BAZIN]]-Table_1[[#This Row],[PREÇO]])/Table_1[[#This Row],[PREÇO JUSTO BAZIN]]</f>
        <v/>
      </c>
      <c r="V271" s="129">
        <f>Table_1[[#This Row],[DPA]]/6%</f>
        <v/>
      </c>
      <c r="W271" s="129">
        <f>Table_1[[#This Row],[PREÇO JUSTO BAZIN]]/(1+Table_1[[#This Row],[MARGEM DE DESCONTO]])</f>
        <v/>
      </c>
      <c r="X271" s="64">
        <f>(Table_1[[#This Row],[PREÇO JUSTO GRAHAM]]-Table_1[[#This Row],[PREÇO]])/Table_1[[#This Row],[PREÇO JUSTO GRAHAM]]</f>
        <v/>
      </c>
      <c r="Y271" s="129">
        <f>(22.5*Table_1[[#This Row],[LPA]]*Table_1[[#This Row],[VPA]])^0.5</f>
        <v/>
      </c>
      <c r="Z271" s="129">
        <f>Table_1[[#This Row],[PREÇO JUSTO GRAHAM]]/(1+Table_1[[#This Row],[MARGEM DE DESCONTO]])</f>
        <v/>
      </c>
      <c r="AA271" s="64">
        <f>(Table_1[[#This Row],[PREÇO JUSTO GORDON]]-Table_1[[#This Row],[PREÇO]])/Table_1[[#This Row],[PREÇO JUSTO GORDON]]</f>
        <v/>
      </c>
      <c r="AB271" s="130">
        <f>Table_1[[#This Row],[DPA]]*(1+Table_1[[#This Row],[MÉDIA DE CRESCIMENTO]])</f>
        <v/>
      </c>
      <c r="AC271" s="130">
        <f>Table_1[[#This Row],[D1]]/(Table_1[[#This Row],[RISCO]]-Table_1[[#This Row],[MÉDIA DE CRESCIMENTO]])</f>
        <v/>
      </c>
      <c r="AD271" s="130">
        <f>Table_1[[#This Row],[PREÇO JUSTO GORDON]]/(1+Table_1[[#This Row],[MARGEM DE DESCONTO]])</f>
        <v/>
      </c>
      <c r="AE271" s="78">
        <f>Table_1[[#This Row],[P/L]]/Table_1[[#This Row],[MÉDIA DE CRESCIMENTO]]</f>
        <v/>
      </c>
    </row>
    <row r="272" ht="15.75" customHeight="1">
      <c r="B272" s="77">
        <f>'Dados Status Invest'!A258</f>
        <v/>
      </c>
      <c r="C272" s="60">
        <f>VLOOKUP(Table_1[[#This Row],[AÇÕES]],'Classificação B3'!A:B,2,0)</f>
        <v/>
      </c>
      <c r="D272" s="60">
        <f>VLOOKUP(Table_1[[#This Row],[AÇÕES]],'Classificação B3'!A:D,4,0)</f>
        <v/>
      </c>
      <c r="E272" s="60">
        <f>VLOOKUP(Table_1[[#This Row],[AÇÕES]],'Classificação B3'!A:F,6,0)</f>
        <v/>
      </c>
      <c r="F272" s="60">
        <f>VLOOKUP(Table_1[[#This Row],[AÇÕES]],'Classificação B3'!A:G,7,0)</f>
        <v/>
      </c>
      <c r="G272" s="61">
        <f>VLOOKUP(Table_1[[#This Row],[AÇÕES]],'Dados Status Invest'!A:B,2,0)</f>
        <v/>
      </c>
      <c r="H272" s="62">
        <f>VLOOKUP(Table_1[[#This Row],[AÇÕES]],'Dados Status Invest'!A:C,3,0)/100</f>
        <v/>
      </c>
      <c r="I272" s="62">
        <f>VLOOKUP(Table_1[[#This Row],[AÇÕES]],'Dados Status Invest'!A:D,4,0)/100</f>
        <v/>
      </c>
      <c r="J272" s="63">
        <f>VLOOKUP(Table_1[[#This Row],[AÇÕES]],'Dados Status Invest'!A:AB,28,0)</f>
        <v/>
      </c>
      <c r="K272" s="63">
        <f>VLOOKUP(Table_1[[#This Row],[AÇÕES]],'Dados Status Invest'!A:AA,27,0)</f>
        <v/>
      </c>
      <c r="L272" s="63">
        <f>Table_1[[#This Row],[PREÇO]]*Table_1[[#This Row],[DY]]</f>
        <v/>
      </c>
      <c r="M272" s="62">
        <f>$E$13</f>
        <v/>
      </c>
      <c r="N272" s="62" t="n">
        <v>0.3</v>
      </c>
      <c r="O272" s="62">
        <f>Table_1[[#This Row],[DPA]]/Table_1[[#This Row],[LPA]]</f>
        <v/>
      </c>
      <c r="P272" s="62">
        <f>IF(Table_1[[#This Row],[PAYOUT]]&lt;=40%,"CRESCIMENTO",IF(Table_1[[#This Row],[PAYOUT]]&lt;=60%,"INDEFINIDO","DIVIDENDOS"))</f>
        <v/>
      </c>
      <c r="Q272" s="62">
        <f>VLOOKUP(Table_1[[#This Row],[AÇÕES]],'Dados Status Invest'!A:R,18,0)/100</f>
        <v/>
      </c>
      <c r="R272" s="62">
        <f>VLOOKUP(Table_1[[#This Row],[AÇÕES]],'Dados Status Invest'!A:Y,25,0)/100</f>
        <v/>
      </c>
      <c r="S272" s="62">
        <f>(1-Table_1[[#This Row],[PAYOUT]])*Table_1[[#This Row],[ROE]]</f>
        <v/>
      </c>
      <c r="T272" s="98">
        <f>AVERAGE(Table_1[[#This Row],[CAGR LUCRO 5A]],Table_1[[#This Row],[CRESCIMENTO DAMODARAN]])</f>
        <v/>
      </c>
      <c r="U272" s="64">
        <f>(Table_1[[#This Row],[PREÇO JUSTO BAZIN]]-Table_1[[#This Row],[PREÇO]])/Table_1[[#This Row],[PREÇO JUSTO BAZIN]]</f>
        <v/>
      </c>
      <c r="V272" s="129">
        <f>Table_1[[#This Row],[DPA]]/6%</f>
        <v/>
      </c>
      <c r="W272" s="129">
        <f>Table_1[[#This Row],[PREÇO JUSTO BAZIN]]/(1+Table_1[[#This Row],[MARGEM DE DESCONTO]])</f>
        <v/>
      </c>
      <c r="X272" s="64">
        <f>(Table_1[[#This Row],[PREÇO JUSTO GRAHAM]]-Table_1[[#This Row],[PREÇO]])/Table_1[[#This Row],[PREÇO JUSTO GRAHAM]]</f>
        <v/>
      </c>
      <c r="Y272" s="129">
        <f>(22.5*Table_1[[#This Row],[LPA]]*Table_1[[#This Row],[VPA]])^0.5</f>
        <v/>
      </c>
      <c r="Z272" s="129">
        <f>Table_1[[#This Row],[PREÇO JUSTO GRAHAM]]/(1+Table_1[[#This Row],[MARGEM DE DESCONTO]])</f>
        <v/>
      </c>
      <c r="AA272" s="64">
        <f>(Table_1[[#This Row],[PREÇO JUSTO GORDON]]-Table_1[[#This Row],[PREÇO]])/Table_1[[#This Row],[PREÇO JUSTO GORDON]]</f>
        <v/>
      </c>
      <c r="AB272" s="130">
        <f>Table_1[[#This Row],[DPA]]*(1+Table_1[[#This Row],[MÉDIA DE CRESCIMENTO]])</f>
        <v/>
      </c>
      <c r="AC272" s="130">
        <f>Table_1[[#This Row],[D1]]/(Table_1[[#This Row],[RISCO]]-Table_1[[#This Row],[MÉDIA DE CRESCIMENTO]])</f>
        <v/>
      </c>
      <c r="AD272" s="130">
        <f>Table_1[[#This Row],[PREÇO JUSTO GORDON]]/(1+Table_1[[#This Row],[MARGEM DE DESCONTO]])</f>
        <v/>
      </c>
      <c r="AE272" s="78">
        <f>Table_1[[#This Row],[P/L]]/Table_1[[#This Row],[MÉDIA DE CRESCIMENTO]]</f>
        <v/>
      </c>
    </row>
    <row r="273" ht="15.75" customHeight="1">
      <c r="B273" s="77">
        <f>'Dados Status Invest'!A259</f>
        <v/>
      </c>
      <c r="C273" s="60">
        <f>VLOOKUP(Table_1[[#This Row],[AÇÕES]],'Classificação B3'!A:B,2,0)</f>
        <v/>
      </c>
      <c r="D273" s="60">
        <f>VLOOKUP(Table_1[[#This Row],[AÇÕES]],'Classificação B3'!A:D,4,0)</f>
        <v/>
      </c>
      <c r="E273" s="60">
        <f>VLOOKUP(Table_1[[#This Row],[AÇÕES]],'Classificação B3'!A:F,6,0)</f>
        <v/>
      </c>
      <c r="F273" s="60">
        <f>VLOOKUP(Table_1[[#This Row],[AÇÕES]],'Classificação B3'!A:G,7,0)</f>
        <v/>
      </c>
      <c r="G273" s="61">
        <f>VLOOKUP(Table_1[[#This Row],[AÇÕES]],'Dados Status Invest'!A:B,2,0)</f>
        <v/>
      </c>
      <c r="H273" s="62">
        <f>VLOOKUP(Table_1[[#This Row],[AÇÕES]],'Dados Status Invest'!A:C,3,0)/100</f>
        <v/>
      </c>
      <c r="I273" s="62">
        <f>VLOOKUP(Table_1[[#This Row],[AÇÕES]],'Dados Status Invest'!A:D,4,0)/100</f>
        <v/>
      </c>
      <c r="J273" s="63">
        <f>VLOOKUP(Table_1[[#This Row],[AÇÕES]],'Dados Status Invest'!A:AB,28,0)</f>
        <v/>
      </c>
      <c r="K273" s="63">
        <f>VLOOKUP(Table_1[[#This Row],[AÇÕES]],'Dados Status Invest'!A:AA,27,0)</f>
        <v/>
      </c>
      <c r="L273" s="63">
        <f>Table_1[[#This Row],[PREÇO]]*Table_1[[#This Row],[DY]]</f>
        <v/>
      </c>
      <c r="M273" s="62">
        <f>$E$13</f>
        <v/>
      </c>
      <c r="N273" s="62" t="n">
        <v>0.3</v>
      </c>
      <c r="O273" s="62">
        <f>Table_1[[#This Row],[DPA]]/Table_1[[#This Row],[LPA]]</f>
        <v/>
      </c>
      <c r="P273" s="62">
        <f>IF(Table_1[[#This Row],[PAYOUT]]&lt;=40%,"CRESCIMENTO",IF(Table_1[[#This Row],[PAYOUT]]&lt;=60%,"INDEFINIDO","DIVIDENDOS"))</f>
        <v/>
      </c>
      <c r="Q273" s="62">
        <f>VLOOKUP(Table_1[[#This Row],[AÇÕES]],'Dados Status Invest'!A:R,18,0)/100</f>
        <v/>
      </c>
      <c r="R273" s="62">
        <f>VLOOKUP(Table_1[[#This Row],[AÇÕES]],'Dados Status Invest'!A:Y,25,0)/100</f>
        <v/>
      </c>
      <c r="S273" s="62">
        <f>(1-Table_1[[#This Row],[PAYOUT]])*Table_1[[#This Row],[ROE]]</f>
        <v/>
      </c>
      <c r="T273" s="98">
        <f>AVERAGE(Table_1[[#This Row],[CAGR LUCRO 5A]],Table_1[[#This Row],[CRESCIMENTO DAMODARAN]])</f>
        <v/>
      </c>
      <c r="U273" s="64">
        <f>(Table_1[[#This Row],[PREÇO JUSTO BAZIN]]-Table_1[[#This Row],[PREÇO]])/Table_1[[#This Row],[PREÇO JUSTO BAZIN]]</f>
        <v/>
      </c>
      <c r="V273" s="129">
        <f>Table_1[[#This Row],[DPA]]/6%</f>
        <v/>
      </c>
      <c r="W273" s="129">
        <f>Table_1[[#This Row],[PREÇO JUSTO BAZIN]]/(1+Table_1[[#This Row],[MARGEM DE DESCONTO]])</f>
        <v/>
      </c>
      <c r="X273" s="64">
        <f>(Table_1[[#This Row],[PREÇO JUSTO GRAHAM]]-Table_1[[#This Row],[PREÇO]])/Table_1[[#This Row],[PREÇO JUSTO GRAHAM]]</f>
        <v/>
      </c>
      <c r="Y273" s="129">
        <f>(22.5*Table_1[[#This Row],[LPA]]*Table_1[[#This Row],[VPA]])^0.5</f>
        <v/>
      </c>
      <c r="Z273" s="129">
        <f>Table_1[[#This Row],[PREÇO JUSTO GRAHAM]]/(1+Table_1[[#This Row],[MARGEM DE DESCONTO]])</f>
        <v/>
      </c>
      <c r="AA273" s="64">
        <f>(Table_1[[#This Row],[PREÇO JUSTO GORDON]]-Table_1[[#This Row],[PREÇO]])/Table_1[[#This Row],[PREÇO JUSTO GORDON]]</f>
        <v/>
      </c>
      <c r="AB273" s="130">
        <f>Table_1[[#This Row],[DPA]]*(1+Table_1[[#This Row],[MÉDIA DE CRESCIMENTO]])</f>
        <v/>
      </c>
      <c r="AC273" s="130">
        <f>Table_1[[#This Row],[D1]]/(Table_1[[#This Row],[RISCO]]-Table_1[[#This Row],[MÉDIA DE CRESCIMENTO]])</f>
        <v/>
      </c>
      <c r="AD273" s="130">
        <f>Table_1[[#This Row],[PREÇO JUSTO GORDON]]/(1+Table_1[[#This Row],[MARGEM DE DESCONTO]])</f>
        <v/>
      </c>
      <c r="AE273" s="78">
        <f>Table_1[[#This Row],[P/L]]/Table_1[[#This Row],[MÉDIA DE CRESCIMENTO]]</f>
        <v/>
      </c>
    </row>
    <row r="274" ht="15.75" customHeight="1">
      <c r="B274" s="77">
        <f>'Dados Status Invest'!A260</f>
        <v/>
      </c>
      <c r="C274" s="60">
        <f>VLOOKUP(Table_1[[#This Row],[AÇÕES]],'Classificação B3'!A:B,2,0)</f>
        <v/>
      </c>
      <c r="D274" s="60">
        <f>VLOOKUP(Table_1[[#This Row],[AÇÕES]],'Classificação B3'!A:D,4,0)</f>
        <v/>
      </c>
      <c r="E274" s="60">
        <f>VLOOKUP(Table_1[[#This Row],[AÇÕES]],'Classificação B3'!A:F,6,0)</f>
        <v/>
      </c>
      <c r="F274" s="60">
        <f>VLOOKUP(Table_1[[#This Row],[AÇÕES]],'Classificação B3'!A:G,7,0)</f>
        <v/>
      </c>
      <c r="G274" s="61">
        <f>VLOOKUP(Table_1[[#This Row],[AÇÕES]],'Dados Status Invest'!A:B,2,0)</f>
        <v/>
      </c>
      <c r="H274" s="62">
        <f>VLOOKUP(Table_1[[#This Row],[AÇÕES]],'Dados Status Invest'!A:C,3,0)/100</f>
        <v/>
      </c>
      <c r="I274" s="62">
        <f>VLOOKUP(Table_1[[#This Row],[AÇÕES]],'Dados Status Invest'!A:D,4,0)/100</f>
        <v/>
      </c>
      <c r="J274" s="63">
        <f>VLOOKUP(Table_1[[#This Row],[AÇÕES]],'Dados Status Invest'!A:AB,28,0)</f>
        <v/>
      </c>
      <c r="K274" s="63">
        <f>VLOOKUP(Table_1[[#This Row],[AÇÕES]],'Dados Status Invest'!A:AA,27,0)</f>
        <v/>
      </c>
      <c r="L274" s="63">
        <f>Table_1[[#This Row],[PREÇO]]*Table_1[[#This Row],[DY]]</f>
        <v/>
      </c>
      <c r="M274" s="62">
        <f>$E$13</f>
        <v/>
      </c>
      <c r="N274" s="62" t="n">
        <v>0.3</v>
      </c>
      <c r="O274" s="62">
        <f>Table_1[[#This Row],[DPA]]/Table_1[[#This Row],[LPA]]</f>
        <v/>
      </c>
      <c r="P274" s="62">
        <f>IF(Table_1[[#This Row],[PAYOUT]]&lt;=40%,"CRESCIMENTO",IF(Table_1[[#This Row],[PAYOUT]]&lt;=60%,"INDEFINIDO","DIVIDENDOS"))</f>
        <v/>
      </c>
      <c r="Q274" s="62">
        <f>VLOOKUP(Table_1[[#This Row],[AÇÕES]],'Dados Status Invest'!A:R,18,0)/100</f>
        <v/>
      </c>
      <c r="R274" s="62">
        <f>VLOOKUP(Table_1[[#This Row],[AÇÕES]],'Dados Status Invest'!A:Y,25,0)/100</f>
        <v/>
      </c>
      <c r="S274" s="62">
        <f>(1-Table_1[[#This Row],[PAYOUT]])*Table_1[[#This Row],[ROE]]</f>
        <v/>
      </c>
      <c r="T274" s="98">
        <f>AVERAGE(Table_1[[#This Row],[CAGR LUCRO 5A]],Table_1[[#This Row],[CRESCIMENTO DAMODARAN]])</f>
        <v/>
      </c>
      <c r="U274" s="64">
        <f>(Table_1[[#This Row],[PREÇO JUSTO BAZIN]]-Table_1[[#This Row],[PREÇO]])/Table_1[[#This Row],[PREÇO JUSTO BAZIN]]</f>
        <v/>
      </c>
      <c r="V274" s="129">
        <f>Table_1[[#This Row],[DPA]]/6%</f>
        <v/>
      </c>
      <c r="W274" s="129">
        <f>Table_1[[#This Row],[PREÇO JUSTO BAZIN]]/(1+Table_1[[#This Row],[MARGEM DE DESCONTO]])</f>
        <v/>
      </c>
      <c r="X274" s="64">
        <f>(Table_1[[#This Row],[PREÇO JUSTO GRAHAM]]-Table_1[[#This Row],[PREÇO]])/Table_1[[#This Row],[PREÇO JUSTO GRAHAM]]</f>
        <v/>
      </c>
      <c r="Y274" s="129">
        <f>(22.5*Table_1[[#This Row],[LPA]]*Table_1[[#This Row],[VPA]])^0.5</f>
        <v/>
      </c>
      <c r="Z274" s="129">
        <f>Table_1[[#This Row],[PREÇO JUSTO GRAHAM]]/(1+Table_1[[#This Row],[MARGEM DE DESCONTO]])</f>
        <v/>
      </c>
      <c r="AA274" s="64">
        <f>(Table_1[[#This Row],[PREÇO JUSTO GORDON]]-Table_1[[#This Row],[PREÇO]])/Table_1[[#This Row],[PREÇO JUSTO GORDON]]</f>
        <v/>
      </c>
      <c r="AB274" s="130">
        <f>Table_1[[#This Row],[DPA]]*(1+Table_1[[#This Row],[MÉDIA DE CRESCIMENTO]])</f>
        <v/>
      </c>
      <c r="AC274" s="130">
        <f>Table_1[[#This Row],[D1]]/(Table_1[[#This Row],[RISCO]]-Table_1[[#This Row],[MÉDIA DE CRESCIMENTO]])</f>
        <v/>
      </c>
      <c r="AD274" s="130">
        <f>Table_1[[#This Row],[PREÇO JUSTO GORDON]]/(1+Table_1[[#This Row],[MARGEM DE DESCONTO]])</f>
        <v/>
      </c>
      <c r="AE274" s="78">
        <f>Table_1[[#This Row],[P/L]]/Table_1[[#This Row],[MÉDIA DE CRESCIMENTO]]</f>
        <v/>
      </c>
    </row>
    <row r="275" ht="15.75" customHeight="1">
      <c r="B275" s="77">
        <f>'Dados Status Invest'!A261</f>
        <v/>
      </c>
      <c r="C275" s="60">
        <f>VLOOKUP(Table_1[[#This Row],[AÇÕES]],'Classificação B3'!A:B,2,0)</f>
        <v/>
      </c>
      <c r="D275" s="60">
        <f>VLOOKUP(Table_1[[#This Row],[AÇÕES]],'Classificação B3'!A:D,4,0)</f>
        <v/>
      </c>
      <c r="E275" s="60">
        <f>VLOOKUP(Table_1[[#This Row],[AÇÕES]],'Classificação B3'!A:F,6,0)</f>
        <v/>
      </c>
      <c r="F275" s="60">
        <f>VLOOKUP(Table_1[[#This Row],[AÇÕES]],'Classificação B3'!A:G,7,0)</f>
        <v/>
      </c>
      <c r="G275" s="61">
        <f>VLOOKUP(Table_1[[#This Row],[AÇÕES]],'Dados Status Invest'!A:B,2,0)</f>
        <v/>
      </c>
      <c r="H275" s="62">
        <f>VLOOKUP(Table_1[[#This Row],[AÇÕES]],'Dados Status Invest'!A:C,3,0)/100</f>
        <v/>
      </c>
      <c r="I275" s="62">
        <f>VLOOKUP(Table_1[[#This Row],[AÇÕES]],'Dados Status Invest'!A:D,4,0)/100</f>
        <v/>
      </c>
      <c r="J275" s="63">
        <f>VLOOKUP(Table_1[[#This Row],[AÇÕES]],'Dados Status Invest'!A:AB,28,0)</f>
        <v/>
      </c>
      <c r="K275" s="63">
        <f>VLOOKUP(Table_1[[#This Row],[AÇÕES]],'Dados Status Invest'!A:AA,27,0)</f>
        <v/>
      </c>
      <c r="L275" s="63">
        <f>Table_1[[#This Row],[PREÇO]]*Table_1[[#This Row],[DY]]</f>
        <v/>
      </c>
      <c r="M275" s="62">
        <f>$E$13</f>
        <v/>
      </c>
      <c r="N275" s="62" t="n">
        <v>0.3</v>
      </c>
      <c r="O275" s="62">
        <f>Table_1[[#This Row],[DPA]]/Table_1[[#This Row],[LPA]]</f>
        <v/>
      </c>
      <c r="P275" s="62">
        <f>IF(Table_1[[#This Row],[PAYOUT]]&lt;=40%,"CRESCIMENTO",IF(Table_1[[#This Row],[PAYOUT]]&lt;=60%,"INDEFINIDO","DIVIDENDOS"))</f>
        <v/>
      </c>
      <c r="Q275" s="62">
        <f>VLOOKUP(Table_1[[#This Row],[AÇÕES]],'Dados Status Invest'!A:R,18,0)/100</f>
        <v/>
      </c>
      <c r="R275" s="62">
        <f>VLOOKUP(Table_1[[#This Row],[AÇÕES]],'Dados Status Invest'!A:Y,25,0)/100</f>
        <v/>
      </c>
      <c r="S275" s="62">
        <f>(1-Table_1[[#This Row],[PAYOUT]])*Table_1[[#This Row],[ROE]]</f>
        <v/>
      </c>
      <c r="T275" s="98">
        <f>AVERAGE(Table_1[[#This Row],[CAGR LUCRO 5A]],Table_1[[#This Row],[CRESCIMENTO DAMODARAN]])</f>
        <v/>
      </c>
      <c r="U275" s="64">
        <f>(Table_1[[#This Row],[PREÇO JUSTO BAZIN]]-Table_1[[#This Row],[PREÇO]])/Table_1[[#This Row],[PREÇO JUSTO BAZIN]]</f>
        <v/>
      </c>
      <c r="V275" s="129">
        <f>Table_1[[#This Row],[DPA]]/6%</f>
        <v/>
      </c>
      <c r="W275" s="129">
        <f>Table_1[[#This Row],[PREÇO JUSTO BAZIN]]/(1+Table_1[[#This Row],[MARGEM DE DESCONTO]])</f>
        <v/>
      </c>
      <c r="X275" s="64">
        <f>(Table_1[[#This Row],[PREÇO JUSTO GRAHAM]]-Table_1[[#This Row],[PREÇO]])/Table_1[[#This Row],[PREÇO JUSTO GRAHAM]]</f>
        <v/>
      </c>
      <c r="Y275" s="129">
        <f>(22.5*Table_1[[#This Row],[LPA]]*Table_1[[#This Row],[VPA]])^0.5</f>
        <v/>
      </c>
      <c r="Z275" s="129">
        <f>Table_1[[#This Row],[PREÇO JUSTO GRAHAM]]/(1+Table_1[[#This Row],[MARGEM DE DESCONTO]])</f>
        <v/>
      </c>
      <c r="AA275" s="64">
        <f>(Table_1[[#This Row],[PREÇO JUSTO GORDON]]-Table_1[[#This Row],[PREÇO]])/Table_1[[#This Row],[PREÇO JUSTO GORDON]]</f>
        <v/>
      </c>
      <c r="AB275" s="130">
        <f>Table_1[[#This Row],[DPA]]*(1+Table_1[[#This Row],[MÉDIA DE CRESCIMENTO]])</f>
        <v/>
      </c>
      <c r="AC275" s="130">
        <f>Table_1[[#This Row],[D1]]/(Table_1[[#This Row],[RISCO]]-Table_1[[#This Row],[MÉDIA DE CRESCIMENTO]])</f>
        <v/>
      </c>
      <c r="AD275" s="130">
        <f>Table_1[[#This Row],[PREÇO JUSTO GORDON]]/(1+Table_1[[#This Row],[MARGEM DE DESCONTO]])</f>
        <v/>
      </c>
      <c r="AE275" s="78">
        <f>Table_1[[#This Row],[P/L]]/Table_1[[#This Row],[MÉDIA DE CRESCIMENTO]]</f>
        <v/>
      </c>
    </row>
    <row r="276" ht="15.75" customHeight="1">
      <c r="B276" s="77">
        <f>'Dados Status Invest'!A262</f>
        <v/>
      </c>
      <c r="C276" s="60">
        <f>VLOOKUP(Table_1[[#This Row],[AÇÕES]],'Classificação B3'!A:B,2,0)</f>
        <v/>
      </c>
      <c r="D276" s="60">
        <f>VLOOKUP(Table_1[[#This Row],[AÇÕES]],'Classificação B3'!A:D,4,0)</f>
        <v/>
      </c>
      <c r="E276" s="60">
        <f>VLOOKUP(Table_1[[#This Row],[AÇÕES]],'Classificação B3'!A:F,6,0)</f>
        <v/>
      </c>
      <c r="F276" s="60">
        <f>VLOOKUP(Table_1[[#This Row],[AÇÕES]],'Classificação B3'!A:G,7,0)</f>
        <v/>
      </c>
      <c r="G276" s="61">
        <f>VLOOKUP(Table_1[[#This Row],[AÇÕES]],'Dados Status Invest'!A:B,2,0)</f>
        <v/>
      </c>
      <c r="H276" s="62">
        <f>VLOOKUP(Table_1[[#This Row],[AÇÕES]],'Dados Status Invest'!A:C,3,0)/100</f>
        <v/>
      </c>
      <c r="I276" s="62">
        <f>VLOOKUP(Table_1[[#This Row],[AÇÕES]],'Dados Status Invest'!A:D,4,0)/100</f>
        <v/>
      </c>
      <c r="J276" s="63">
        <f>VLOOKUP(Table_1[[#This Row],[AÇÕES]],'Dados Status Invest'!A:AB,28,0)</f>
        <v/>
      </c>
      <c r="K276" s="63">
        <f>VLOOKUP(Table_1[[#This Row],[AÇÕES]],'Dados Status Invest'!A:AA,27,0)</f>
        <v/>
      </c>
      <c r="L276" s="63">
        <f>Table_1[[#This Row],[PREÇO]]*Table_1[[#This Row],[DY]]</f>
        <v/>
      </c>
      <c r="M276" s="62">
        <f>$E$13</f>
        <v/>
      </c>
      <c r="N276" s="62" t="n">
        <v>0.3</v>
      </c>
      <c r="O276" s="62">
        <f>Table_1[[#This Row],[DPA]]/Table_1[[#This Row],[LPA]]</f>
        <v/>
      </c>
      <c r="P276" s="62">
        <f>IF(Table_1[[#This Row],[PAYOUT]]&lt;=40%,"CRESCIMENTO",IF(Table_1[[#This Row],[PAYOUT]]&lt;=60%,"INDEFINIDO","DIVIDENDOS"))</f>
        <v/>
      </c>
      <c r="Q276" s="62">
        <f>VLOOKUP(Table_1[[#This Row],[AÇÕES]],'Dados Status Invest'!A:R,18,0)/100</f>
        <v/>
      </c>
      <c r="R276" s="62">
        <f>VLOOKUP(Table_1[[#This Row],[AÇÕES]],'Dados Status Invest'!A:Y,25,0)/100</f>
        <v/>
      </c>
      <c r="S276" s="62">
        <f>(1-Table_1[[#This Row],[PAYOUT]])*Table_1[[#This Row],[ROE]]</f>
        <v/>
      </c>
      <c r="T276" s="98">
        <f>AVERAGE(Table_1[[#This Row],[CAGR LUCRO 5A]],Table_1[[#This Row],[CRESCIMENTO DAMODARAN]])</f>
        <v/>
      </c>
      <c r="U276" s="64">
        <f>(Table_1[[#This Row],[PREÇO JUSTO BAZIN]]-Table_1[[#This Row],[PREÇO]])/Table_1[[#This Row],[PREÇO JUSTO BAZIN]]</f>
        <v/>
      </c>
      <c r="V276" s="129">
        <f>Table_1[[#This Row],[DPA]]/6%</f>
        <v/>
      </c>
      <c r="W276" s="129">
        <f>Table_1[[#This Row],[PREÇO JUSTO BAZIN]]/(1+Table_1[[#This Row],[MARGEM DE DESCONTO]])</f>
        <v/>
      </c>
      <c r="X276" s="64">
        <f>(Table_1[[#This Row],[PREÇO JUSTO GRAHAM]]-Table_1[[#This Row],[PREÇO]])/Table_1[[#This Row],[PREÇO JUSTO GRAHAM]]</f>
        <v/>
      </c>
      <c r="Y276" s="129">
        <f>(22.5*Table_1[[#This Row],[LPA]]*Table_1[[#This Row],[VPA]])^0.5</f>
        <v/>
      </c>
      <c r="Z276" s="129">
        <f>Table_1[[#This Row],[PREÇO JUSTO GRAHAM]]/(1+Table_1[[#This Row],[MARGEM DE DESCONTO]])</f>
        <v/>
      </c>
      <c r="AA276" s="64">
        <f>(Table_1[[#This Row],[PREÇO JUSTO GORDON]]-Table_1[[#This Row],[PREÇO]])/Table_1[[#This Row],[PREÇO JUSTO GORDON]]</f>
        <v/>
      </c>
      <c r="AB276" s="130">
        <f>Table_1[[#This Row],[DPA]]*(1+Table_1[[#This Row],[MÉDIA DE CRESCIMENTO]])</f>
        <v/>
      </c>
      <c r="AC276" s="130">
        <f>Table_1[[#This Row],[D1]]/(Table_1[[#This Row],[RISCO]]-Table_1[[#This Row],[MÉDIA DE CRESCIMENTO]])</f>
        <v/>
      </c>
      <c r="AD276" s="130">
        <f>Table_1[[#This Row],[PREÇO JUSTO GORDON]]/(1+Table_1[[#This Row],[MARGEM DE DESCONTO]])</f>
        <v/>
      </c>
      <c r="AE276" s="78">
        <f>Table_1[[#This Row],[P/L]]/Table_1[[#This Row],[MÉDIA DE CRESCIMENTO]]</f>
        <v/>
      </c>
    </row>
    <row r="277" ht="15.75" customHeight="1">
      <c r="B277" s="77">
        <f>'Dados Status Invest'!A263</f>
        <v/>
      </c>
      <c r="C277" s="60">
        <f>VLOOKUP(Table_1[[#This Row],[AÇÕES]],'Classificação B3'!A:B,2,0)</f>
        <v/>
      </c>
      <c r="D277" s="60">
        <f>VLOOKUP(Table_1[[#This Row],[AÇÕES]],'Classificação B3'!A:D,4,0)</f>
        <v/>
      </c>
      <c r="E277" s="60">
        <f>VLOOKUP(Table_1[[#This Row],[AÇÕES]],'Classificação B3'!A:F,6,0)</f>
        <v/>
      </c>
      <c r="F277" s="60">
        <f>VLOOKUP(Table_1[[#This Row],[AÇÕES]],'Classificação B3'!A:G,7,0)</f>
        <v/>
      </c>
      <c r="G277" s="61">
        <f>VLOOKUP(Table_1[[#This Row],[AÇÕES]],'Dados Status Invest'!A:B,2,0)</f>
        <v/>
      </c>
      <c r="H277" s="62">
        <f>VLOOKUP(Table_1[[#This Row],[AÇÕES]],'Dados Status Invest'!A:C,3,0)/100</f>
        <v/>
      </c>
      <c r="I277" s="62">
        <f>VLOOKUP(Table_1[[#This Row],[AÇÕES]],'Dados Status Invest'!A:D,4,0)/100</f>
        <v/>
      </c>
      <c r="J277" s="63">
        <f>VLOOKUP(Table_1[[#This Row],[AÇÕES]],'Dados Status Invest'!A:AB,28,0)</f>
        <v/>
      </c>
      <c r="K277" s="63">
        <f>VLOOKUP(Table_1[[#This Row],[AÇÕES]],'Dados Status Invest'!A:AA,27,0)</f>
        <v/>
      </c>
      <c r="L277" s="63">
        <f>Table_1[[#This Row],[PREÇO]]*Table_1[[#This Row],[DY]]</f>
        <v/>
      </c>
      <c r="M277" s="62">
        <f>$E$13</f>
        <v/>
      </c>
      <c r="N277" s="62" t="n">
        <v>0.3</v>
      </c>
      <c r="O277" s="62">
        <f>Table_1[[#This Row],[DPA]]/Table_1[[#This Row],[LPA]]</f>
        <v/>
      </c>
      <c r="P277" s="62">
        <f>IF(Table_1[[#This Row],[PAYOUT]]&lt;=40%,"CRESCIMENTO",IF(Table_1[[#This Row],[PAYOUT]]&lt;=60%,"INDEFINIDO","DIVIDENDOS"))</f>
        <v/>
      </c>
      <c r="Q277" s="62">
        <f>VLOOKUP(Table_1[[#This Row],[AÇÕES]],'Dados Status Invest'!A:R,18,0)/100</f>
        <v/>
      </c>
      <c r="R277" s="62">
        <f>VLOOKUP(Table_1[[#This Row],[AÇÕES]],'Dados Status Invest'!A:Y,25,0)/100</f>
        <v/>
      </c>
      <c r="S277" s="62">
        <f>(1-Table_1[[#This Row],[PAYOUT]])*Table_1[[#This Row],[ROE]]</f>
        <v/>
      </c>
      <c r="T277" s="98">
        <f>AVERAGE(Table_1[[#This Row],[CAGR LUCRO 5A]],Table_1[[#This Row],[CRESCIMENTO DAMODARAN]])</f>
        <v/>
      </c>
      <c r="U277" s="64">
        <f>(Table_1[[#This Row],[PREÇO JUSTO BAZIN]]-Table_1[[#This Row],[PREÇO]])/Table_1[[#This Row],[PREÇO JUSTO BAZIN]]</f>
        <v/>
      </c>
      <c r="V277" s="129">
        <f>Table_1[[#This Row],[DPA]]/6%</f>
        <v/>
      </c>
      <c r="W277" s="129">
        <f>Table_1[[#This Row],[PREÇO JUSTO BAZIN]]/(1+Table_1[[#This Row],[MARGEM DE DESCONTO]])</f>
        <v/>
      </c>
      <c r="X277" s="64">
        <f>(Table_1[[#This Row],[PREÇO JUSTO GRAHAM]]-Table_1[[#This Row],[PREÇO]])/Table_1[[#This Row],[PREÇO JUSTO GRAHAM]]</f>
        <v/>
      </c>
      <c r="Y277" s="129">
        <f>(22.5*Table_1[[#This Row],[LPA]]*Table_1[[#This Row],[VPA]])^0.5</f>
        <v/>
      </c>
      <c r="Z277" s="129">
        <f>Table_1[[#This Row],[PREÇO JUSTO GRAHAM]]/(1+Table_1[[#This Row],[MARGEM DE DESCONTO]])</f>
        <v/>
      </c>
      <c r="AA277" s="64">
        <f>(Table_1[[#This Row],[PREÇO JUSTO GORDON]]-Table_1[[#This Row],[PREÇO]])/Table_1[[#This Row],[PREÇO JUSTO GORDON]]</f>
        <v/>
      </c>
      <c r="AB277" s="130">
        <f>Table_1[[#This Row],[DPA]]*(1+Table_1[[#This Row],[MÉDIA DE CRESCIMENTO]])</f>
        <v/>
      </c>
      <c r="AC277" s="130">
        <f>Table_1[[#This Row],[D1]]/(Table_1[[#This Row],[RISCO]]-Table_1[[#This Row],[MÉDIA DE CRESCIMENTO]])</f>
        <v/>
      </c>
      <c r="AD277" s="130">
        <f>Table_1[[#This Row],[PREÇO JUSTO GORDON]]/(1+Table_1[[#This Row],[MARGEM DE DESCONTO]])</f>
        <v/>
      </c>
      <c r="AE277" s="78">
        <f>Table_1[[#This Row],[P/L]]/Table_1[[#This Row],[MÉDIA DE CRESCIMENTO]]</f>
        <v/>
      </c>
    </row>
    <row r="278" ht="15.75" customHeight="1">
      <c r="B278" s="77">
        <f>'Dados Status Invest'!A264</f>
        <v/>
      </c>
      <c r="C278" s="60">
        <f>VLOOKUP(Table_1[[#This Row],[AÇÕES]],'Classificação B3'!A:B,2,0)</f>
        <v/>
      </c>
      <c r="D278" s="60">
        <f>VLOOKUP(Table_1[[#This Row],[AÇÕES]],'Classificação B3'!A:D,4,0)</f>
        <v/>
      </c>
      <c r="E278" s="60">
        <f>VLOOKUP(Table_1[[#This Row],[AÇÕES]],'Classificação B3'!A:F,6,0)</f>
        <v/>
      </c>
      <c r="F278" s="60">
        <f>VLOOKUP(Table_1[[#This Row],[AÇÕES]],'Classificação B3'!A:G,7,0)</f>
        <v/>
      </c>
      <c r="G278" s="61">
        <f>VLOOKUP(Table_1[[#This Row],[AÇÕES]],'Dados Status Invest'!A:B,2,0)</f>
        <v/>
      </c>
      <c r="H278" s="62">
        <f>VLOOKUP(Table_1[[#This Row],[AÇÕES]],'Dados Status Invest'!A:C,3,0)/100</f>
        <v/>
      </c>
      <c r="I278" s="62">
        <f>VLOOKUP(Table_1[[#This Row],[AÇÕES]],'Dados Status Invest'!A:D,4,0)/100</f>
        <v/>
      </c>
      <c r="J278" s="63">
        <f>VLOOKUP(Table_1[[#This Row],[AÇÕES]],'Dados Status Invest'!A:AB,28,0)</f>
        <v/>
      </c>
      <c r="K278" s="63">
        <f>VLOOKUP(Table_1[[#This Row],[AÇÕES]],'Dados Status Invest'!A:AA,27,0)</f>
        <v/>
      </c>
      <c r="L278" s="63">
        <f>Table_1[[#This Row],[PREÇO]]*Table_1[[#This Row],[DY]]</f>
        <v/>
      </c>
      <c r="M278" s="62">
        <f>$E$13</f>
        <v/>
      </c>
      <c r="N278" s="62" t="n">
        <v>0.3</v>
      </c>
      <c r="O278" s="62">
        <f>Table_1[[#This Row],[DPA]]/Table_1[[#This Row],[LPA]]</f>
        <v/>
      </c>
      <c r="P278" s="62">
        <f>IF(Table_1[[#This Row],[PAYOUT]]&lt;=40%,"CRESCIMENTO",IF(Table_1[[#This Row],[PAYOUT]]&lt;=60%,"INDEFINIDO","DIVIDENDOS"))</f>
        <v/>
      </c>
      <c r="Q278" s="62">
        <f>VLOOKUP(Table_1[[#This Row],[AÇÕES]],'Dados Status Invest'!A:R,18,0)/100</f>
        <v/>
      </c>
      <c r="R278" s="62">
        <f>VLOOKUP(Table_1[[#This Row],[AÇÕES]],'Dados Status Invest'!A:Y,25,0)/100</f>
        <v/>
      </c>
      <c r="S278" s="62">
        <f>(1-Table_1[[#This Row],[PAYOUT]])*Table_1[[#This Row],[ROE]]</f>
        <v/>
      </c>
      <c r="T278" s="98">
        <f>AVERAGE(Table_1[[#This Row],[CAGR LUCRO 5A]],Table_1[[#This Row],[CRESCIMENTO DAMODARAN]])</f>
        <v/>
      </c>
      <c r="U278" s="64">
        <f>(Table_1[[#This Row],[PREÇO JUSTO BAZIN]]-Table_1[[#This Row],[PREÇO]])/Table_1[[#This Row],[PREÇO JUSTO BAZIN]]</f>
        <v/>
      </c>
      <c r="V278" s="129">
        <f>Table_1[[#This Row],[DPA]]/6%</f>
        <v/>
      </c>
      <c r="W278" s="129">
        <f>Table_1[[#This Row],[PREÇO JUSTO BAZIN]]/(1+Table_1[[#This Row],[MARGEM DE DESCONTO]])</f>
        <v/>
      </c>
      <c r="X278" s="64">
        <f>(Table_1[[#This Row],[PREÇO JUSTO GRAHAM]]-Table_1[[#This Row],[PREÇO]])/Table_1[[#This Row],[PREÇO JUSTO GRAHAM]]</f>
        <v/>
      </c>
      <c r="Y278" s="129">
        <f>(22.5*Table_1[[#This Row],[LPA]]*Table_1[[#This Row],[VPA]])^0.5</f>
        <v/>
      </c>
      <c r="Z278" s="129">
        <f>Table_1[[#This Row],[PREÇO JUSTO GRAHAM]]/(1+Table_1[[#This Row],[MARGEM DE DESCONTO]])</f>
        <v/>
      </c>
      <c r="AA278" s="64">
        <f>(Table_1[[#This Row],[PREÇO JUSTO GORDON]]-Table_1[[#This Row],[PREÇO]])/Table_1[[#This Row],[PREÇO JUSTO GORDON]]</f>
        <v/>
      </c>
      <c r="AB278" s="130">
        <f>Table_1[[#This Row],[DPA]]*(1+Table_1[[#This Row],[MÉDIA DE CRESCIMENTO]])</f>
        <v/>
      </c>
      <c r="AC278" s="130">
        <f>Table_1[[#This Row],[D1]]/(Table_1[[#This Row],[RISCO]]-Table_1[[#This Row],[MÉDIA DE CRESCIMENTO]])</f>
        <v/>
      </c>
      <c r="AD278" s="130">
        <f>Table_1[[#This Row],[PREÇO JUSTO GORDON]]/(1+Table_1[[#This Row],[MARGEM DE DESCONTO]])</f>
        <v/>
      </c>
      <c r="AE278" s="78">
        <f>Table_1[[#This Row],[P/L]]/Table_1[[#This Row],[MÉDIA DE CRESCIMENTO]]</f>
        <v/>
      </c>
    </row>
    <row r="279" ht="15.75" customHeight="1">
      <c r="B279" s="77">
        <f>'Dados Status Invest'!A265</f>
        <v/>
      </c>
      <c r="C279" s="60">
        <f>VLOOKUP(Table_1[[#This Row],[AÇÕES]],'Classificação B3'!A:B,2,0)</f>
        <v/>
      </c>
      <c r="D279" s="60">
        <f>VLOOKUP(Table_1[[#This Row],[AÇÕES]],'Classificação B3'!A:D,4,0)</f>
        <v/>
      </c>
      <c r="E279" s="60">
        <f>VLOOKUP(Table_1[[#This Row],[AÇÕES]],'Classificação B3'!A:F,6,0)</f>
        <v/>
      </c>
      <c r="F279" s="60">
        <f>VLOOKUP(Table_1[[#This Row],[AÇÕES]],'Classificação B3'!A:G,7,0)</f>
        <v/>
      </c>
      <c r="G279" s="61">
        <f>VLOOKUP(Table_1[[#This Row],[AÇÕES]],'Dados Status Invest'!A:B,2,0)</f>
        <v/>
      </c>
      <c r="H279" s="62">
        <f>VLOOKUP(Table_1[[#This Row],[AÇÕES]],'Dados Status Invest'!A:C,3,0)/100</f>
        <v/>
      </c>
      <c r="I279" s="62">
        <f>VLOOKUP(Table_1[[#This Row],[AÇÕES]],'Dados Status Invest'!A:D,4,0)/100</f>
        <v/>
      </c>
      <c r="J279" s="63">
        <f>VLOOKUP(Table_1[[#This Row],[AÇÕES]],'Dados Status Invest'!A:AB,28,0)</f>
        <v/>
      </c>
      <c r="K279" s="63">
        <f>VLOOKUP(Table_1[[#This Row],[AÇÕES]],'Dados Status Invest'!A:AA,27,0)</f>
        <v/>
      </c>
      <c r="L279" s="63">
        <f>Table_1[[#This Row],[PREÇO]]*Table_1[[#This Row],[DY]]</f>
        <v/>
      </c>
      <c r="M279" s="62">
        <f>$E$13</f>
        <v/>
      </c>
      <c r="N279" s="62" t="n">
        <v>0.3</v>
      </c>
      <c r="O279" s="62">
        <f>Table_1[[#This Row],[DPA]]/Table_1[[#This Row],[LPA]]</f>
        <v/>
      </c>
      <c r="P279" s="62">
        <f>IF(Table_1[[#This Row],[PAYOUT]]&lt;=40%,"CRESCIMENTO",IF(Table_1[[#This Row],[PAYOUT]]&lt;=60%,"INDEFINIDO","DIVIDENDOS"))</f>
        <v/>
      </c>
      <c r="Q279" s="62">
        <f>VLOOKUP(Table_1[[#This Row],[AÇÕES]],'Dados Status Invest'!A:R,18,0)/100</f>
        <v/>
      </c>
      <c r="R279" s="62">
        <f>VLOOKUP(Table_1[[#This Row],[AÇÕES]],'Dados Status Invest'!A:Y,25,0)/100</f>
        <v/>
      </c>
      <c r="S279" s="62">
        <f>(1-Table_1[[#This Row],[PAYOUT]])*Table_1[[#This Row],[ROE]]</f>
        <v/>
      </c>
      <c r="T279" s="98">
        <f>AVERAGE(Table_1[[#This Row],[CAGR LUCRO 5A]],Table_1[[#This Row],[CRESCIMENTO DAMODARAN]])</f>
        <v/>
      </c>
      <c r="U279" s="64">
        <f>(Table_1[[#This Row],[PREÇO JUSTO BAZIN]]-Table_1[[#This Row],[PREÇO]])/Table_1[[#This Row],[PREÇO JUSTO BAZIN]]</f>
        <v/>
      </c>
      <c r="V279" s="129">
        <f>Table_1[[#This Row],[DPA]]/6%</f>
        <v/>
      </c>
      <c r="W279" s="129">
        <f>Table_1[[#This Row],[PREÇO JUSTO BAZIN]]/(1+Table_1[[#This Row],[MARGEM DE DESCONTO]])</f>
        <v/>
      </c>
      <c r="X279" s="64">
        <f>(Table_1[[#This Row],[PREÇO JUSTO GRAHAM]]-Table_1[[#This Row],[PREÇO]])/Table_1[[#This Row],[PREÇO JUSTO GRAHAM]]</f>
        <v/>
      </c>
      <c r="Y279" s="129">
        <f>(22.5*Table_1[[#This Row],[LPA]]*Table_1[[#This Row],[VPA]])^0.5</f>
        <v/>
      </c>
      <c r="Z279" s="129">
        <f>Table_1[[#This Row],[PREÇO JUSTO GRAHAM]]/(1+Table_1[[#This Row],[MARGEM DE DESCONTO]])</f>
        <v/>
      </c>
      <c r="AA279" s="64">
        <f>(Table_1[[#This Row],[PREÇO JUSTO GORDON]]-Table_1[[#This Row],[PREÇO]])/Table_1[[#This Row],[PREÇO JUSTO GORDON]]</f>
        <v/>
      </c>
      <c r="AB279" s="130">
        <f>Table_1[[#This Row],[DPA]]*(1+Table_1[[#This Row],[MÉDIA DE CRESCIMENTO]])</f>
        <v/>
      </c>
      <c r="AC279" s="130">
        <f>Table_1[[#This Row],[D1]]/(Table_1[[#This Row],[RISCO]]-Table_1[[#This Row],[MÉDIA DE CRESCIMENTO]])</f>
        <v/>
      </c>
      <c r="AD279" s="130">
        <f>Table_1[[#This Row],[PREÇO JUSTO GORDON]]/(1+Table_1[[#This Row],[MARGEM DE DESCONTO]])</f>
        <v/>
      </c>
      <c r="AE279" s="78">
        <f>Table_1[[#This Row],[P/L]]/Table_1[[#This Row],[MÉDIA DE CRESCIMENTO]]</f>
        <v/>
      </c>
    </row>
    <row r="280" ht="15.75" customHeight="1">
      <c r="B280" s="77">
        <f>'Dados Status Invest'!A266</f>
        <v/>
      </c>
      <c r="C280" s="60">
        <f>VLOOKUP(Table_1[[#This Row],[AÇÕES]],'Classificação B3'!A:B,2,0)</f>
        <v/>
      </c>
      <c r="D280" s="60">
        <f>VLOOKUP(Table_1[[#This Row],[AÇÕES]],'Classificação B3'!A:D,4,0)</f>
        <v/>
      </c>
      <c r="E280" s="60">
        <f>VLOOKUP(Table_1[[#This Row],[AÇÕES]],'Classificação B3'!A:F,6,0)</f>
        <v/>
      </c>
      <c r="F280" s="60">
        <f>VLOOKUP(Table_1[[#This Row],[AÇÕES]],'Classificação B3'!A:G,7,0)</f>
        <v/>
      </c>
      <c r="G280" s="61">
        <f>VLOOKUP(Table_1[[#This Row],[AÇÕES]],'Dados Status Invest'!A:B,2,0)</f>
        <v/>
      </c>
      <c r="H280" s="62">
        <f>VLOOKUP(Table_1[[#This Row],[AÇÕES]],'Dados Status Invest'!A:C,3,0)/100</f>
        <v/>
      </c>
      <c r="I280" s="62">
        <f>VLOOKUP(Table_1[[#This Row],[AÇÕES]],'Dados Status Invest'!A:D,4,0)/100</f>
        <v/>
      </c>
      <c r="J280" s="63">
        <f>VLOOKUP(Table_1[[#This Row],[AÇÕES]],'Dados Status Invest'!A:AB,28,0)</f>
        <v/>
      </c>
      <c r="K280" s="63">
        <f>VLOOKUP(Table_1[[#This Row],[AÇÕES]],'Dados Status Invest'!A:AA,27,0)</f>
        <v/>
      </c>
      <c r="L280" s="63">
        <f>Table_1[[#This Row],[PREÇO]]*Table_1[[#This Row],[DY]]</f>
        <v/>
      </c>
      <c r="M280" s="62">
        <f>$E$13</f>
        <v/>
      </c>
      <c r="N280" s="62" t="n">
        <v>0.3</v>
      </c>
      <c r="O280" s="62">
        <f>Table_1[[#This Row],[DPA]]/Table_1[[#This Row],[LPA]]</f>
        <v/>
      </c>
      <c r="P280" s="62">
        <f>IF(Table_1[[#This Row],[PAYOUT]]&lt;=40%,"CRESCIMENTO",IF(Table_1[[#This Row],[PAYOUT]]&lt;=60%,"INDEFINIDO","DIVIDENDOS"))</f>
        <v/>
      </c>
      <c r="Q280" s="62">
        <f>VLOOKUP(Table_1[[#This Row],[AÇÕES]],'Dados Status Invest'!A:R,18,0)/100</f>
        <v/>
      </c>
      <c r="R280" s="62">
        <f>VLOOKUP(Table_1[[#This Row],[AÇÕES]],'Dados Status Invest'!A:Y,25,0)/100</f>
        <v/>
      </c>
      <c r="S280" s="62">
        <f>(1-Table_1[[#This Row],[PAYOUT]])*Table_1[[#This Row],[ROE]]</f>
        <v/>
      </c>
      <c r="T280" s="98">
        <f>AVERAGE(Table_1[[#This Row],[CAGR LUCRO 5A]],Table_1[[#This Row],[CRESCIMENTO DAMODARAN]])</f>
        <v/>
      </c>
      <c r="U280" s="64">
        <f>(Table_1[[#This Row],[PREÇO JUSTO BAZIN]]-Table_1[[#This Row],[PREÇO]])/Table_1[[#This Row],[PREÇO JUSTO BAZIN]]</f>
        <v/>
      </c>
      <c r="V280" s="129">
        <f>Table_1[[#This Row],[DPA]]/6%</f>
        <v/>
      </c>
      <c r="W280" s="129">
        <f>Table_1[[#This Row],[PREÇO JUSTO BAZIN]]/(1+Table_1[[#This Row],[MARGEM DE DESCONTO]])</f>
        <v/>
      </c>
      <c r="X280" s="64">
        <f>(Table_1[[#This Row],[PREÇO JUSTO GRAHAM]]-Table_1[[#This Row],[PREÇO]])/Table_1[[#This Row],[PREÇO JUSTO GRAHAM]]</f>
        <v/>
      </c>
      <c r="Y280" s="129">
        <f>(22.5*Table_1[[#This Row],[LPA]]*Table_1[[#This Row],[VPA]])^0.5</f>
        <v/>
      </c>
      <c r="Z280" s="129">
        <f>Table_1[[#This Row],[PREÇO JUSTO GRAHAM]]/(1+Table_1[[#This Row],[MARGEM DE DESCONTO]])</f>
        <v/>
      </c>
      <c r="AA280" s="64">
        <f>(Table_1[[#This Row],[PREÇO JUSTO GORDON]]-Table_1[[#This Row],[PREÇO]])/Table_1[[#This Row],[PREÇO JUSTO GORDON]]</f>
        <v/>
      </c>
      <c r="AB280" s="130">
        <f>Table_1[[#This Row],[DPA]]*(1+Table_1[[#This Row],[MÉDIA DE CRESCIMENTO]])</f>
        <v/>
      </c>
      <c r="AC280" s="130">
        <f>Table_1[[#This Row],[D1]]/(Table_1[[#This Row],[RISCO]]-Table_1[[#This Row],[MÉDIA DE CRESCIMENTO]])</f>
        <v/>
      </c>
      <c r="AD280" s="130">
        <f>Table_1[[#This Row],[PREÇO JUSTO GORDON]]/(1+Table_1[[#This Row],[MARGEM DE DESCONTO]])</f>
        <v/>
      </c>
      <c r="AE280" s="78">
        <f>Table_1[[#This Row],[P/L]]/Table_1[[#This Row],[MÉDIA DE CRESCIMENTO]]</f>
        <v/>
      </c>
    </row>
    <row r="281" ht="15.75" customHeight="1">
      <c r="B281" s="77">
        <f>'Dados Status Invest'!A267</f>
        <v/>
      </c>
      <c r="C281" s="60">
        <f>VLOOKUP(Table_1[[#This Row],[AÇÕES]],'Classificação B3'!A:B,2,0)</f>
        <v/>
      </c>
      <c r="D281" s="60">
        <f>VLOOKUP(Table_1[[#This Row],[AÇÕES]],'Classificação B3'!A:D,4,0)</f>
        <v/>
      </c>
      <c r="E281" s="60">
        <f>VLOOKUP(Table_1[[#This Row],[AÇÕES]],'Classificação B3'!A:F,6,0)</f>
        <v/>
      </c>
      <c r="F281" s="60">
        <f>VLOOKUP(Table_1[[#This Row],[AÇÕES]],'Classificação B3'!A:G,7,0)</f>
        <v/>
      </c>
      <c r="G281" s="61">
        <f>VLOOKUP(Table_1[[#This Row],[AÇÕES]],'Dados Status Invest'!A:B,2,0)</f>
        <v/>
      </c>
      <c r="H281" s="62">
        <f>VLOOKUP(Table_1[[#This Row],[AÇÕES]],'Dados Status Invest'!A:C,3,0)/100</f>
        <v/>
      </c>
      <c r="I281" s="62">
        <f>VLOOKUP(Table_1[[#This Row],[AÇÕES]],'Dados Status Invest'!A:D,4,0)/100</f>
        <v/>
      </c>
      <c r="J281" s="63">
        <f>VLOOKUP(Table_1[[#This Row],[AÇÕES]],'Dados Status Invest'!A:AB,28,0)</f>
        <v/>
      </c>
      <c r="K281" s="63">
        <f>VLOOKUP(Table_1[[#This Row],[AÇÕES]],'Dados Status Invest'!A:AA,27,0)</f>
        <v/>
      </c>
      <c r="L281" s="63">
        <f>Table_1[[#This Row],[PREÇO]]*Table_1[[#This Row],[DY]]</f>
        <v/>
      </c>
      <c r="M281" s="62">
        <f>$E$13</f>
        <v/>
      </c>
      <c r="N281" s="62" t="n">
        <v>0.3</v>
      </c>
      <c r="O281" s="62">
        <f>Table_1[[#This Row],[DPA]]/Table_1[[#This Row],[LPA]]</f>
        <v/>
      </c>
      <c r="P281" s="62">
        <f>IF(Table_1[[#This Row],[PAYOUT]]&lt;=40%,"CRESCIMENTO",IF(Table_1[[#This Row],[PAYOUT]]&lt;=60%,"INDEFINIDO","DIVIDENDOS"))</f>
        <v/>
      </c>
      <c r="Q281" s="62">
        <f>VLOOKUP(Table_1[[#This Row],[AÇÕES]],'Dados Status Invest'!A:R,18,0)/100</f>
        <v/>
      </c>
      <c r="R281" s="62">
        <f>VLOOKUP(Table_1[[#This Row],[AÇÕES]],'Dados Status Invest'!A:Y,25,0)/100</f>
        <v/>
      </c>
      <c r="S281" s="62">
        <f>(1-Table_1[[#This Row],[PAYOUT]])*Table_1[[#This Row],[ROE]]</f>
        <v/>
      </c>
      <c r="T281" s="98">
        <f>AVERAGE(Table_1[[#This Row],[CAGR LUCRO 5A]],Table_1[[#This Row],[CRESCIMENTO DAMODARAN]])</f>
        <v/>
      </c>
      <c r="U281" s="64">
        <f>(Table_1[[#This Row],[PREÇO JUSTO BAZIN]]-Table_1[[#This Row],[PREÇO]])/Table_1[[#This Row],[PREÇO JUSTO BAZIN]]</f>
        <v/>
      </c>
      <c r="V281" s="129">
        <f>Table_1[[#This Row],[DPA]]/6%</f>
        <v/>
      </c>
      <c r="W281" s="129">
        <f>Table_1[[#This Row],[PREÇO JUSTO BAZIN]]/(1+Table_1[[#This Row],[MARGEM DE DESCONTO]])</f>
        <v/>
      </c>
      <c r="X281" s="64">
        <f>(Table_1[[#This Row],[PREÇO JUSTO GRAHAM]]-Table_1[[#This Row],[PREÇO]])/Table_1[[#This Row],[PREÇO JUSTO GRAHAM]]</f>
        <v/>
      </c>
      <c r="Y281" s="129">
        <f>(22.5*Table_1[[#This Row],[LPA]]*Table_1[[#This Row],[VPA]])^0.5</f>
        <v/>
      </c>
      <c r="Z281" s="129">
        <f>Table_1[[#This Row],[PREÇO JUSTO GRAHAM]]/(1+Table_1[[#This Row],[MARGEM DE DESCONTO]])</f>
        <v/>
      </c>
      <c r="AA281" s="64">
        <f>(Table_1[[#This Row],[PREÇO JUSTO GORDON]]-Table_1[[#This Row],[PREÇO]])/Table_1[[#This Row],[PREÇO JUSTO GORDON]]</f>
        <v/>
      </c>
      <c r="AB281" s="130">
        <f>Table_1[[#This Row],[DPA]]*(1+Table_1[[#This Row],[MÉDIA DE CRESCIMENTO]])</f>
        <v/>
      </c>
      <c r="AC281" s="130">
        <f>Table_1[[#This Row],[D1]]/(Table_1[[#This Row],[RISCO]]-Table_1[[#This Row],[MÉDIA DE CRESCIMENTO]])</f>
        <v/>
      </c>
      <c r="AD281" s="130">
        <f>Table_1[[#This Row],[PREÇO JUSTO GORDON]]/(1+Table_1[[#This Row],[MARGEM DE DESCONTO]])</f>
        <v/>
      </c>
      <c r="AE281" s="78">
        <f>Table_1[[#This Row],[P/L]]/Table_1[[#This Row],[MÉDIA DE CRESCIMENTO]]</f>
        <v/>
      </c>
    </row>
    <row r="282" ht="15.75" customHeight="1">
      <c r="B282" s="77">
        <f>'Dados Status Invest'!A268</f>
        <v/>
      </c>
      <c r="C282" s="60">
        <f>VLOOKUP(Table_1[[#This Row],[AÇÕES]],'Classificação B3'!A:B,2,0)</f>
        <v/>
      </c>
      <c r="D282" s="60">
        <f>VLOOKUP(Table_1[[#This Row],[AÇÕES]],'Classificação B3'!A:D,4,0)</f>
        <v/>
      </c>
      <c r="E282" s="60">
        <f>VLOOKUP(Table_1[[#This Row],[AÇÕES]],'Classificação B3'!A:F,6,0)</f>
        <v/>
      </c>
      <c r="F282" s="60">
        <f>VLOOKUP(Table_1[[#This Row],[AÇÕES]],'Classificação B3'!A:G,7,0)</f>
        <v/>
      </c>
      <c r="G282" s="61">
        <f>VLOOKUP(Table_1[[#This Row],[AÇÕES]],'Dados Status Invest'!A:B,2,0)</f>
        <v/>
      </c>
      <c r="H282" s="62">
        <f>VLOOKUP(Table_1[[#This Row],[AÇÕES]],'Dados Status Invest'!A:C,3,0)/100</f>
        <v/>
      </c>
      <c r="I282" s="62">
        <f>VLOOKUP(Table_1[[#This Row],[AÇÕES]],'Dados Status Invest'!A:D,4,0)/100</f>
        <v/>
      </c>
      <c r="J282" s="63">
        <f>VLOOKUP(Table_1[[#This Row],[AÇÕES]],'Dados Status Invest'!A:AB,28,0)</f>
        <v/>
      </c>
      <c r="K282" s="63">
        <f>VLOOKUP(Table_1[[#This Row],[AÇÕES]],'Dados Status Invest'!A:AA,27,0)</f>
        <v/>
      </c>
      <c r="L282" s="63">
        <f>Table_1[[#This Row],[PREÇO]]*Table_1[[#This Row],[DY]]</f>
        <v/>
      </c>
      <c r="M282" s="62">
        <f>$E$13</f>
        <v/>
      </c>
      <c r="N282" s="62" t="n">
        <v>0.3</v>
      </c>
      <c r="O282" s="62">
        <f>Table_1[[#This Row],[DPA]]/Table_1[[#This Row],[LPA]]</f>
        <v/>
      </c>
      <c r="P282" s="62">
        <f>IF(Table_1[[#This Row],[PAYOUT]]&lt;=40%,"CRESCIMENTO",IF(Table_1[[#This Row],[PAYOUT]]&lt;=60%,"INDEFINIDO","DIVIDENDOS"))</f>
        <v/>
      </c>
      <c r="Q282" s="62">
        <f>VLOOKUP(Table_1[[#This Row],[AÇÕES]],'Dados Status Invest'!A:R,18,0)/100</f>
        <v/>
      </c>
      <c r="R282" s="62">
        <f>VLOOKUP(Table_1[[#This Row],[AÇÕES]],'Dados Status Invest'!A:Y,25,0)/100</f>
        <v/>
      </c>
      <c r="S282" s="62">
        <f>(1-Table_1[[#This Row],[PAYOUT]])*Table_1[[#This Row],[ROE]]</f>
        <v/>
      </c>
      <c r="T282" s="98">
        <f>AVERAGE(Table_1[[#This Row],[CAGR LUCRO 5A]],Table_1[[#This Row],[CRESCIMENTO DAMODARAN]])</f>
        <v/>
      </c>
      <c r="U282" s="64">
        <f>(Table_1[[#This Row],[PREÇO JUSTO BAZIN]]-Table_1[[#This Row],[PREÇO]])/Table_1[[#This Row],[PREÇO JUSTO BAZIN]]</f>
        <v/>
      </c>
      <c r="V282" s="129">
        <f>Table_1[[#This Row],[DPA]]/6%</f>
        <v/>
      </c>
      <c r="W282" s="129">
        <f>Table_1[[#This Row],[PREÇO JUSTO BAZIN]]/(1+Table_1[[#This Row],[MARGEM DE DESCONTO]])</f>
        <v/>
      </c>
      <c r="X282" s="64">
        <f>(Table_1[[#This Row],[PREÇO JUSTO GRAHAM]]-Table_1[[#This Row],[PREÇO]])/Table_1[[#This Row],[PREÇO JUSTO GRAHAM]]</f>
        <v/>
      </c>
      <c r="Y282" s="129">
        <f>(22.5*Table_1[[#This Row],[LPA]]*Table_1[[#This Row],[VPA]])^0.5</f>
        <v/>
      </c>
      <c r="Z282" s="129">
        <f>Table_1[[#This Row],[PREÇO JUSTO GRAHAM]]/(1+Table_1[[#This Row],[MARGEM DE DESCONTO]])</f>
        <v/>
      </c>
      <c r="AA282" s="64">
        <f>(Table_1[[#This Row],[PREÇO JUSTO GORDON]]-Table_1[[#This Row],[PREÇO]])/Table_1[[#This Row],[PREÇO JUSTO GORDON]]</f>
        <v/>
      </c>
      <c r="AB282" s="130">
        <f>Table_1[[#This Row],[DPA]]*(1+Table_1[[#This Row],[MÉDIA DE CRESCIMENTO]])</f>
        <v/>
      </c>
      <c r="AC282" s="130">
        <f>Table_1[[#This Row],[D1]]/(Table_1[[#This Row],[RISCO]]-Table_1[[#This Row],[MÉDIA DE CRESCIMENTO]])</f>
        <v/>
      </c>
      <c r="AD282" s="130">
        <f>Table_1[[#This Row],[PREÇO JUSTO GORDON]]/(1+Table_1[[#This Row],[MARGEM DE DESCONTO]])</f>
        <v/>
      </c>
      <c r="AE282" s="78">
        <f>Table_1[[#This Row],[P/L]]/Table_1[[#This Row],[MÉDIA DE CRESCIMENTO]]</f>
        <v/>
      </c>
    </row>
    <row r="283" ht="15.75" customHeight="1">
      <c r="B283" s="77">
        <f>'Dados Status Invest'!A269</f>
        <v/>
      </c>
      <c r="C283" s="60">
        <f>VLOOKUP(Table_1[[#This Row],[AÇÕES]],'Classificação B3'!A:B,2,0)</f>
        <v/>
      </c>
      <c r="D283" s="60">
        <f>VLOOKUP(Table_1[[#This Row],[AÇÕES]],'Classificação B3'!A:D,4,0)</f>
        <v/>
      </c>
      <c r="E283" s="60">
        <f>VLOOKUP(Table_1[[#This Row],[AÇÕES]],'Classificação B3'!A:F,6,0)</f>
        <v/>
      </c>
      <c r="F283" s="60">
        <f>VLOOKUP(Table_1[[#This Row],[AÇÕES]],'Classificação B3'!A:G,7,0)</f>
        <v/>
      </c>
      <c r="G283" s="61">
        <f>VLOOKUP(Table_1[[#This Row],[AÇÕES]],'Dados Status Invest'!A:B,2,0)</f>
        <v/>
      </c>
      <c r="H283" s="62">
        <f>VLOOKUP(Table_1[[#This Row],[AÇÕES]],'Dados Status Invest'!A:C,3,0)/100</f>
        <v/>
      </c>
      <c r="I283" s="62">
        <f>VLOOKUP(Table_1[[#This Row],[AÇÕES]],'Dados Status Invest'!A:D,4,0)/100</f>
        <v/>
      </c>
      <c r="J283" s="63">
        <f>VLOOKUP(Table_1[[#This Row],[AÇÕES]],'Dados Status Invest'!A:AB,28,0)</f>
        <v/>
      </c>
      <c r="K283" s="63">
        <f>VLOOKUP(Table_1[[#This Row],[AÇÕES]],'Dados Status Invest'!A:AA,27,0)</f>
        <v/>
      </c>
      <c r="L283" s="63">
        <f>Table_1[[#This Row],[PREÇO]]*Table_1[[#This Row],[DY]]</f>
        <v/>
      </c>
      <c r="M283" s="62">
        <f>$E$13</f>
        <v/>
      </c>
      <c r="N283" s="62" t="n">
        <v>0.3</v>
      </c>
      <c r="O283" s="62">
        <f>Table_1[[#This Row],[DPA]]/Table_1[[#This Row],[LPA]]</f>
        <v/>
      </c>
      <c r="P283" s="62">
        <f>IF(Table_1[[#This Row],[PAYOUT]]&lt;=40%,"CRESCIMENTO",IF(Table_1[[#This Row],[PAYOUT]]&lt;=60%,"INDEFINIDO","DIVIDENDOS"))</f>
        <v/>
      </c>
      <c r="Q283" s="62">
        <f>VLOOKUP(Table_1[[#This Row],[AÇÕES]],'Dados Status Invest'!A:R,18,0)/100</f>
        <v/>
      </c>
      <c r="R283" s="62">
        <f>VLOOKUP(Table_1[[#This Row],[AÇÕES]],'Dados Status Invest'!A:Y,25,0)/100</f>
        <v/>
      </c>
      <c r="S283" s="62">
        <f>(1-Table_1[[#This Row],[PAYOUT]])*Table_1[[#This Row],[ROE]]</f>
        <v/>
      </c>
      <c r="T283" s="98">
        <f>AVERAGE(Table_1[[#This Row],[CAGR LUCRO 5A]],Table_1[[#This Row],[CRESCIMENTO DAMODARAN]])</f>
        <v/>
      </c>
      <c r="U283" s="64">
        <f>(Table_1[[#This Row],[PREÇO JUSTO BAZIN]]-Table_1[[#This Row],[PREÇO]])/Table_1[[#This Row],[PREÇO JUSTO BAZIN]]</f>
        <v/>
      </c>
      <c r="V283" s="129">
        <f>Table_1[[#This Row],[DPA]]/6%</f>
        <v/>
      </c>
      <c r="W283" s="129">
        <f>Table_1[[#This Row],[PREÇO JUSTO BAZIN]]/(1+Table_1[[#This Row],[MARGEM DE DESCONTO]])</f>
        <v/>
      </c>
      <c r="X283" s="64">
        <f>(Table_1[[#This Row],[PREÇO JUSTO GRAHAM]]-Table_1[[#This Row],[PREÇO]])/Table_1[[#This Row],[PREÇO JUSTO GRAHAM]]</f>
        <v/>
      </c>
      <c r="Y283" s="129">
        <f>(22.5*Table_1[[#This Row],[LPA]]*Table_1[[#This Row],[VPA]])^0.5</f>
        <v/>
      </c>
      <c r="Z283" s="129">
        <f>Table_1[[#This Row],[PREÇO JUSTO GRAHAM]]/(1+Table_1[[#This Row],[MARGEM DE DESCONTO]])</f>
        <v/>
      </c>
      <c r="AA283" s="64">
        <f>(Table_1[[#This Row],[PREÇO JUSTO GORDON]]-Table_1[[#This Row],[PREÇO]])/Table_1[[#This Row],[PREÇO JUSTO GORDON]]</f>
        <v/>
      </c>
      <c r="AB283" s="130">
        <f>Table_1[[#This Row],[DPA]]*(1+Table_1[[#This Row],[MÉDIA DE CRESCIMENTO]])</f>
        <v/>
      </c>
      <c r="AC283" s="130">
        <f>Table_1[[#This Row],[D1]]/(Table_1[[#This Row],[RISCO]]-Table_1[[#This Row],[MÉDIA DE CRESCIMENTO]])</f>
        <v/>
      </c>
      <c r="AD283" s="130">
        <f>Table_1[[#This Row],[PREÇO JUSTO GORDON]]/(1+Table_1[[#This Row],[MARGEM DE DESCONTO]])</f>
        <v/>
      </c>
      <c r="AE283" s="78">
        <f>Table_1[[#This Row],[P/L]]/Table_1[[#This Row],[MÉDIA DE CRESCIMENTO]]</f>
        <v/>
      </c>
    </row>
    <row r="284" ht="15.75" customHeight="1">
      <c r="B284" s="77">
        <f>'Dados Status Invest'!A270</f>
        <v/>
      </c>
      <c r="C284" s="60">
        <f>VLOOKUP(Table_1[[#This Row],[AÇÕES]],'Classificação B3'!A:B,2,0)</f>
        <v/>
      </c>
      <c r="D284" s="60">
        <f>VLOOKUP(Table_1[[#This Row],[AÇÕES]],'Classificação B3'!A:D,4,0)</f>
        <v/>
      </c>
      <c r="E284" s="60">
        <f>VLOOKUP(Table_1[[#This Row],[AÇÕES]],'Classificação B3'!A:F,6,0)</f>
        <v/>
      </c>
      <c r="F284" s="60">
        <f>VLOOKUP(Table_1[[#This Row],[AÇÕES]],'Classificação B3'!A:G,7,0)</f>
        <v/>
      </c>
      <c r="G284" s="61">
        <f>VLOOKUP(Table_1[[#This Row],[AÇÕES]],'Dados Status Invest'!A:B,2,0)</f>
        <v/>
      </c>
      <c r="H284" s="62">
        <f>VLOOKUP(Table_1[[#This Row],[AÇÕES]],'Dados Status Invest'!A:C,3,0)/100</f>
        <v/>
      </c>
      <c r="I284" s="62">
        <f>VLOOKUP(Table_1[[#This Row],[AÇÕES]],'Dados Status Invest'!A:D,4,0)/100</f>
        <v/>
      </c>
      <c r="J284" s="63">
        <f>VLOOKUP(Table_1[[#This Row],[AÇÕES]],'Dados Status Invest'!A:AB,28,0)</f>
        <v/>
      </c>
      <c r="K284" s="63">
        <f>VLOOKUP(Table_1[[#This Row],[AÇÕES]],'Dados Status Invest'!A:AA,27,0)</f>
        <v/>
      </c>
      <c r="L284" s="63">
        <f>Table_1[[#This Row],[PREÇO]]*Table_1[[#This Row],[DY]]</f>
        <v/>
      </c>
      <c r="M284" s="62">
        <f>$E$13</f>
        <v/>
      </c>
      <c r="N284" s="62" t="n">
        <v>0.3</v>
      </c>
      <c r="O284" s="62">
        <f>Table_1[[#This Row],[DPA]]/Table_1[[#This Row],[LPA]]</f>
        <v/>
      </c>
      <c r="P284" s="62">
        <f>IF(Table_1[[#This Row],[PAYOUT]]&lt;=40%,"CRESCIMENTO",IF(Table_1[[#This Row],[PAYOUT]]&lt;=60%,"INDEFINIDO","DIVIDENDOS"))</f>
        <v/>
      </c>
      <c r="Q284" s="62">
        <f>VLOOKUP(Table_1[[#This Row],[AÇÕES]],'Dados Status Invest'!A:R,18,0)/100</f>
        <v/>
      </c>
      <c r="R284" s="62">
        <f>VLOOKUP(Table_1[[#This Row],[AÇÕES]],'Dados Status Invest'!A:Y,25,0)/100</f>
        <v/>
      </c>
      <c r="S284" s="62">
        <f>(1-Table_1[[#This Row],[PAYOUT]])*Table_1[[#This Row],[ROE]]</f>
        <v/>
      </c>
      <c r="T284" s="98">
        <f>AVERAGE(Table_1[[#This Row],[CAGR LUCRO 5A]],Table_1[[#This Row],[CRESCIMENTO DAMODARAN]])</f>
        <v/>
      </c>
      <c r="U284" s="64">
        <f>(Table_1[[#This Row],[PREÇO JUSTO BAZIN]]-Table_1[[#This Row],[PREÇO]])/Table_1[[#This Row],[PREÇO JUSTO BAZIN]]</f>
        <v/>
      </c>
      <c r="V284" s="129">
        <f>Table_1[[#This Row],[DPA]]/6%</f>
        <v/>
      </c>
      <c r="W284" s="129">
        <f>Table_1[[#This Row],[PREÇO JUSTO BAZIN]]/(1+Table_1[[#This Row],[MARGEM DE DESCONTO]])</f>
        <v/>
      </c>
      <c r="X284" s="64">
        <f>(Table_1[[#This Row],[PREÇO JUSTO GRAHAM]]-Table_1[[#This Row],[PREÇO]])/Table_1[[#This Row],[PREÇO JUSTO GRAHAM]]</f>
        <v/>
      </c>
      <c r="Y284" s="129">
        <f>(22.5*Table_1[[#This Row],[LPA]]*Table_1[[#This Row],[VPA]])^0.5</f>
        <v/>
      </c>
      <c r="Z284" s="129">
        <f>Table_1[[#This Row],[PREÇO JUSTO GRAHAM]]/(1+Table_1[[#This Row],[MARGEM DE DESCONTO]])</f>
        <v/>
      </c>
      <c r="AA284" s="64">
        <f>(Table_1[[#This Row],[PREÇO JUSTO GORDON]]-Table_1[[#This Row],[PREÇO]])/Table_1[[#This Row],[PREÇO JUSTO GORDON]]</f>
        <v/>
      </c>
      <c r="AB284" s="130">
        <f>Table_1[[#This Row],[DPA]]*(1+Table_1[[#This Row],[MÉDIA DE CRESCIMENTO]])</f>
        <v/>
      </c>
      <c r="AC284" s="130">
        <f>Table_1[[#This Row],[D1]]/(Table_1[[#This Row],[RISCO]]-Table_1[[#This Row],[MÉDIA DE CRESCIMENTO]])</f>
        <v/>
      </c>
      <c r="AD284" s="130">
        <f>Table_1[[#This Row],[PREÇO JUSTO GORDON]]/(1+Table_1[[#This Row],[MARGEM DE DESCONTO]])</f>
        <v/>
      </c>
      <c r="AE284" s="78">
        <f>Table_1[[#This Row],[P/L]]/Table_1[[#This Row],[MÉDIA DE CRESCIMENTO]]</f>
        <v/>
      </c>
    </row>
    <row r="285" ht="15.75" customHeight="1">
      <c r="B285" s="77">
        <f>'Dados Status Invest'!A271</f>
        <v/>
      </c>
      <c r="C285" s="60">
        <f>VLOOKUP(Table_1[[#This Row],[AÇÕES]],'Classificação B3'!A:B,2,0)</f>
        <v/>
      </c>
      <c r="D285" s="60">
        <f>VLOOKUP(Table_1[[#This Row],[AÇÕES]],'Classificação B3'!A:D,4,0)</f>
        <v/>
      </c>
      <c r="E285" s="60">
        <f>VLOOKUP(Table_1[[#This Row],[AÇÕES]],'Classificação B3'!A:F,6,0)</f>
        <v/>
      </c>
      <c r="F285" s="60">
        <f>VLOOKUP(Table_1[[#This Row],[AÇÕES]],'Classificação B3'!A:G,7,0)</f>
        <v/>
      </c>
      <c r="G285" s="61">
        <f>VLOOKUP(Table_1[[#This Row],[AÇÕES]],'Dados Status Invest'!A:B,2,0)</f>
        <v/>
      </c>
      <c r="H285" s="62">
        <f>VLOOKUP(Table_1[[#This Row],[AÇÕES]],'Dados Status Invest'!A:C,3,0)/100</f>
        <v/>
      </c>
      <c r="I285" s="62">
        <f>VLOOKUP(Table_1[[#This Row],[AÇÕES]],'Dados Status Invest'!A:D,4,0)/100</f>
        <v/>
      </c>
      <c r="J285" s="63">
        <f>VLOOKUP(Table_1[[#This Row],[AÇÕES]],'Dados Status Invest'!A:AB,28,0)</f>
        <v/>
      </c>
      <c r="K285" s="63">
        <f>VLOOKUP(Table_1[[#This Row],[AÇÕES]],'Dados Status Invest'!A:AA,27,0)</f>
        <v/>
      </c>
      <c r="L285" s="63">
        <f>Table_1[[#This Row],[PREÇO]]*Table_1[[#This Row],[DY]]</f>
        <v/>
      </c>
      <c r="M285" s="62">
        <f>$E$13</f>
        <v/>
      </c>
      <c r="N285" s="62" t="n">
        <v>0.3</v>
      </c>
      <c r="O285" s="62">
        <f>Table_1[[#This Row],[DPA]]/Table_1[[#This Row],[LPA]]</f>
        <v/>
      </c>
      <c r="P285" s="62">
        <f>IF(Table_1[[#This Row],[PAYOUT]]&lt;=40%,"CRESCIMENTO",IF(Table_1[[#This Row],[PAYOUT]]&lt;=60%,"INDEFINIDO","DIVIDENDOS"))</f>
        <v/>
      </c>
      <c r="Q285" s="62">
        <f>VLOOKUP(Table_1[[#This Row],[AÇÕES]],'Dados Status Invest'!A:R,18,0)/100</f>
        <v/>
      </c>
      <c r="R285" s="62">
        <f>VLOOKUP(Table_1[[#This Row],[AÇÕES]],'Dados Status Invest'!A:Y,25,0)/100</f>
        <v/>
      </c>
      <c r="S285" s="62">
        <f>(1-Table_1[[#This Row],[PAYOUT]])*Table_1[[#This Row],[ROE]]</f>
        <v/>
      </c>
      <c r="T285" s="98">
        <f>AVERAGE(Table_1[[#This Row],[CAGR LUCRO 5A]],Table_1[[#This Row],[CRESCIMENTO DAMODARAN]])</f>
        <v/>
      </c>
      <c r="U285" s="64">
        <f>(Table_1[[#This Row],[PREÇO JUSTO BAZIN]]-Table_1[[#This Row],[PREÇO]])/Table_1[[#This Row],[PREÇO JUSTO BAZIN]]</f>
        <v/>
      </c>
      <c r="V285" s="129">
        <f>Table_1[[#This Row],[DPA]]/6%</f>
        <v/>
      </c>
      <c r="W285" s="129">
        <f>Table_1[[#This Row],[PREÇO JUSTO BAZIN]]/(1+Table_1[[#This Row],[MARGEM DE DESCONTO]])</f>
        <v/>
      </c>
      <c r="X285" s="64">
        <f>(Table_1[[#This Row],[PREÇO JUSTO GRAHAM]]-Table_1[[#This Row],[PREÇO]])/Table_1[[#This Row],[PREÇO JUSTO GRAHAM]]</f>
        <v/>
      </c>
      <c r="Y285" s="129">
        <f>(22.5*Table_1[[#This Row],[LPA]]*Table_1[[#This Row],[VPA]])^0.5</f>
        <v/>
      </c>
      <c r="Z285" s="129">
        <f>Table_1[[#This Row],[PREÇO JUSTO GRAHAM]]/(1+Table_1[[#This Row],[MARGEM DE DESCONTO]])</f>
        <v/>
      </c>
      <c r="AA285" s="64">
        <f>(Table_1[[#This Row],[PREÇO JUSTO GORDON]]-Table_1[[#This Row],[PREÇO]])/Table_1[[#This Row],[PREÇO JUSTO GORDON]]</f>
        <v/>
      </c>
      <c r="AB285" s="130">
        <f>Table_1[[#This Row],[DPA]]*(1+Table_1[[#This Row],[MÉDIA DE CRESCIMENTO]])</f>
        <v/>
      </c>
      <c r="AC285" s="130">
        <f>Table_1[[#This Row],[D1]]/(Table_1[[#This Row],[RISCO]]-Table_1[[#This Row],[MÉDIA DE CRESCIMENTO]])</f>
        <v/>
      </c>
      <c r="AD285" s="130">
        <f>Table_1[[#This Row],[PREÇO JUSTO GORDON]]/(1+Table_1[[#This Row],[MARGEM DE DESCONTO]])</f>
        <v/>
      </c>
      <c r="AE285" s="78">
        <f>Table_1[[#This Row],[P/L]]/Table_1[[#This Row],[MÉDIA DE CRESCIMENTO]]</f>
        <v/>
      </c>
    </row>
    <row r="286" ht="15.75" customHeight="1">
      <c r="B286" s="77">
        <f>'Dados Status Invest'!A272</f>
        <v/>
      </c>
      <c r="C286" s="60">
        <f>VLOOKUP(Table_1[[#This Row],[AÇÕES]],'Classificação B3'!A:B,2,0)</f>
        <v/>
      </c>
      <c r="D286" s="60">
        <f>VLOOKUP(Table_1[[#This Row],[AÇÕES]],'Classificação B3'!A:D,4,0)</f>
        <v/>
      </c>
      <c r="E286" s="60">
        <f>VLOOKUP(Table_1[[#This Row],[AÇÕES]],'Classificação B3'!A:F,6,0)</f>
        <v/>
      </c>
      <c r="F286" s="60">
        <f>VLOOKUP(Table_1[[#This Row],[AÇÕES]],'Classificação B3'!A:G,7,0)</f>
        <v/>
      </c>
      <c r="G286" s="61">
        <f>VLOOKUP(Table_1[[#This Row],[AÇÕES]],'Dados Status Invest'!A:B,2,0)</f>
        <v/>
      </c>
      <c r="H286" s="62">
        <f>VLOOKUP(Table_1[[#This Row],[AÇÕES]],'Dados Status Invest'!A:C,3,0)/100</f>
        <v/>
      </c>
      <c r="I286" s="62">
        <f>VLOOKUP(Table_1[[#This Row],[AÇÕES]],'Dados Status Invest'!A:D,4,0)/100</f>
        <v/>
      </c>
      <c r="J286" s="63">
        <f>VLOOKUP(Table_1[[#This Row],[AÇÕES]],'Dados Status Invest'!A:AB,28,0)</f>
        <v/>
      </c>
      <c r="K286" s="63">
        <f>VLOOKUP(Table_1[[#This Row],[AÇÕES]],'Dados Status Invest'!A:AA,27,0)</f>
        <v/>
      </c>
      <c r="L286" s="63">
        <f>Table_1[[#This Row],[PREÇO]]*Table_1[[#This Row],[DY]]</f>
        <v/>
      </c>
      <c r="M286" s="62">
        <f>$E$13</f>
        <v/>
      </c>
      <c r="N286" s="62" t="n">
        <v>0.3</v>
      </c>
      <c r="O286" s="62">
        <f>Table_1[[#This Row],[DPA]]/Table_1[[#This Row],[LPA]]</f>
        <v/>
      </c>
      <c r="P286" s="62">
        <f>IF(Table_1[[#This Row],[PAYOUT]]&lt;=40%,"CRESCIMENTO",IF(Table_1[[#This Row],[PAYOUT]]&lt;=60%,"INDEFINIDO","DIVIDENDOS"))</f>
        <v/>
      </c>
      <c r="Q286" s="62">
        <f>VLOOKUP(Table_1[[#This Row],[AÇÕES]],'Dados Status Invest'!A:R,18,0)/100</f>
        <v/>
      </c>
      <c r="R286" s="62">
        <f>VLOOKUP(Table_1[[#This Row],[AÇÕES]],'Dados Status Invest'!A:Y,25,0)/100</f>
        <v/>
      </c>
      <c r="S286" s="62">
        <f>(1-Table_1[[#This Row],[PAYOUT]])*Table_1[[#This Row],[ROE]]</f>
        <v/>
      </c>
      <c r="T286" s="98">
        <f>AVERAGE(Table_1[[#This Row],[CAGR LUCRO 5A]],Table_1[[#This Row],[CRESCIMENTO DAMODARAN]])</f>
        <v/>
      </c>
      <c r="U286" s="64">
        <f>(Table_1[[#This Row],[PREÇO JUSTO BAZIN]]-Table_1[[#This Row],[PREÇO]])/Table_1[[#This Row],[PREÇO JUSTO BAZIN]]</f>
        <v/>
      </c>
      <c r="V286" s="129">
        <f>Table_1[[#This Row],[DPA]]/6%</f>
        <v/>
      </c>
      <c r="W286" s="129">
        <f>Table_1[[#This Row],[PREÇO JUSTO BAZIN]]/(1+Table_1[[#This Row],[MARGEM DE DESCONTO]])</f>
        <v/>
      </c>
      <c r="X286" s="64">
        <f>(Table_1[[#This Row],[PREÇO JUSTO GRAHAM]]-Table_1[[#This Row],[PREÇO]])/Table_1[[#This Row],[PREÇO JUSTO GRAHAM]]</f>
        <v/>
      </c>
      <c r="Y286" s="129">
        <f>(22.5*Table_1[[#This Row],[LPA]]*Table_1[[#This Row],[VPA]])^0.5</f>
        <v/>
      </c>
      <c r="Z286" s="129">
        <f>Table_1[[#This Row],[PREÇO JUSTO GRAHAM]]/(1+Table_1[[#This Row],[MARGEM DE DESCONTO]])</f>
        <v/>
      </c>
      <c r="AA286" s="64">
        <f>(Table_1[[#This Row],[PREÇO JUSTO GORDON]]-Table_1[[#This Row],[PREÇO]])/Table_1[[#This Row],[PREÇO JUSTO GORDON]]</f>
        <v/>
      </c>
      <c r="AB286" s="130">
        <f>Table_1[[#This Row],[DPA]]*(1+Table_1[[#This Row],[MÉDIA DE CRESCIMENTO]])</f>
        <v/>
      </c>
      <c r="AC286" s="130">
        <f>Table_1[[#This Row],[D1]]/(Table_1[[#This Row],[RISCO]]-Table_1[[#This Row],[MÉDIA DE CRESCIMENTO]])</f>
        <v/>
      </c>
      <c r="AD286" s="130">
        <f>Table_1[[#This Row],[PREÇO JUSTO GORDON]]/(1+Table_1[[#This Row],[MARGEM DE DESCONTO]])</f>
        <v/>
      </c>
      <c r="AE286" s="78">
        <f>Table_1[[#This Row],[P/L]]/Table_1[[#This Row],[MÉDIA DE CRESCIMENTO]]</f>
        <v/>
      </c>
    </row>
    <row r="287" ht="15.75" customHeight="1">
      <c r="B287" s="77">
        <f>'Dados Status Invest'!A273</f>
        <v/>
      </c>
      <c r="C287" s="60">
        <f>VLOOKUP(Table_1[[#This Row],[AÇÕES]],'Classificação B3'!A:B,2,0)</f>
        <v/>
      </c>
      <c r="D287" s="60">
        <f>VLOOKUP(Table_1[[#This Row],[AÇÕES]],'Classificação B3'!A:D,4,0)</f>
        <v/>
      </c>
      <c r="E287" s="60">
        <f>VLOOKUP(Table_1[[#This Row],[AÇÕES]],'Classificação B3'!A:F,6,0)</f>
        <v/>
      </c>
      <c r="F287" s="60">
        <f>VLOOKUP(Table_1[[#This Row],[AÇÕES]],'Classificação B3'!A:G,7,0)</f>
        <v/>
      </c>
      <c r="G287" s="61">
        <f>VLOOKUP(Table_1[[#This Row],[AÇÕES]],'Dados Status Invest'!A:B,2,0)</f>
        <v/>
      </c>
      <c r="H287" s="62">
        <f>VLOOKUP(Table_1[[#This Row],[AÇÕES]],'Dados Status Invest'!A:C,3,0)/100</f>
        <v/>
      </c>
      <c r="I287" s="62">
        <f>VLOOKUP(Table_1[[#This Row],[AÇÕES]],'Dados Status Invest'!A:D,4,0)/100</f>
        <v/>
      </c>
      <c r="J287" s="63">
        <f>VLOOKUP(Table_1[[#This Row],[AÇÕES]],'Dados Status Invest'!A:AB,28,0)</f>
        <v/>
      </c>
      <c r="K287" s="63">
        <f>VLOOKUP(Table_1[[#This Row],[AÇÕES]],'Dados Status Invest'!A:AA,27,0)</f>
        <v/>
      </c>
      <c r="L287" s="63">
        <f>Table_1[[#This Row],[PREÇO]]*Table_1[[#This Row],[DY]]</f>
        <v/>
      </c>
      <c r="M287" s="62">
        <f>$E$13</f>
        <v/>
      </c>
      <c r="N287" s="62" t="n">
        <v>0.3</v>
      </c>
      <c r="O287" s="62">
        <f>Table_1[[#This Row],[DPA]]/Table_1[[#This Row],[LPA]]</f>
        <v/>
      </c>
      <c r="P287" s="62">
        <f>IF(Table_1[[#This Row],[PAYOUT]]&lt;=40%,"CRESCIMENTO",IF(Table_1[[#This Row],[PAYOUT]]&lt;=60%,"INDEFINIDO","DIVIDENDOS"))</f>
        <v/>
      </c>
      <c r="Q287" s="62">
        <f>VLOOKUP(Table_1[[#This Row],[AÇÕES]],'Dados Status Invest'!A:R,18,0)/100</f>
        <v/>
      </c>
      <c r="R287" s="62">
        <f>VLOOKUP(Table_1[[#This Row],[AÇÕES]],'Dados Status Invest'!A:Y,25,0)/100</f>
        <v/>
      </c>
      <c r="S287" s="62">
        <f>(1-Table_1[[#This Row],[PAYOUT]])*Table_1[[#This Row],[ROE]]</f>
        <v/>
      </c>
      <c r="T287" s="98">
        <f>AVERAGE(Table_1[[#This Row],[CAGR LUCRO 5A]],Table_1[[#This Row],[CRESCIMENTO DAMODARAN]])</f>
        <v/>
      </c>
      <c r="U287" s="64">
        <f>(Table_1[[#This Row],[PREÇO JUSTO BAZIN]]-Table_1[[#This Row],[PREÇO]])/Table_1[[#This Row],[PREÇO JUSTO BAZIN]]</f>
        <v/>
      </c>
      <c r="V287" s="129">
        <f>Table_1[[#This Row],[DPA]]/6%</f>
        <v/>
      </c>
      <c r="W287" s="129">
        <f>Table_1[[#This Row],[PREÇO JUSTO BAZIN]]/(1+Table_1[[#This Row],[MARGEM DE DESCONTO]])</f>
        <v/>
      </c>
      <c r="X287" s="64">
        <f>(Table_1[[#This Row],[PREÇO JUSTO GRAHAM]]-Table_1[[#This Row],[PREÇO]])/Table_1[[#This Row],[PREÇO JUSTO GRAHAM]]</f>
        <v/>
      </c>
      <c r="Y287" s="129">
        <f>(22.5*Table_1[[#This Row],[LPA]]*Table_1[[#This Row],[VPA]])^0.5</f>
        <v/>
      </c>
      <c r="Z287" s="129">
        <f>Table_1[[#This Row],[PREÇO JUSTO GRAHAM]]/(1+Table_1[[#This Row],[MARGEM DE DESCONTO]])</f>
        <v/>
      </c>
      <c r="AA287" s="64">
        <f>(Table_1[[#This Row],[PREÇO JUSTO GORDON]]-Table_1[[#This Row],[PREÇO]])/Table_1[[#This Row],[PREÇO JUSTO GORDON]]</f>
        <v/>
      </c>
      <c r="AB287" s="130">
        <f>Table_1[[#This Row],[DPA]]*(1+Table_1[[#This Row],[MÉDIA DE CRESCIMENTO]])</f>
        <v/>
      </c>
      <c r="AC287" s="130">
        <f>Table_1[[#This Row],[D1]]/(Table_1[[#This Row],[RISCO]]-Table_1[[#This Row],[MÉDIA DE CRESCIMENTO]])</f>
        <v/>
      </c>
      <c r="AD287" s="130">
        <f>Table_1[[#This Row],[PREÇO JUSTO GORDON]]/(1+Table_1[[#This Row],[MARGEM DE DESCONTO]])</f>
        <v/>
      </c>
      <c r="AE287" s="78">
        <f>Table_1[[#This Row],[P/L]]/Table_1[[#This Row],[MÉDIA DE CRESCIMENTO]]</f>
        <v/>
      </c>
    </row>
    <row r="288" ht="15.75" customHeight="1">
      <c r="B288" s="77">
        <f>'Dados Status Invest'!A274</f>
        <v/>
      </c>
      <c r="C288" s="60">
        <f>VLOOKUP(Table_1[[#This Row],[AÇÕES]],'Classificação B3'!A:B,2,0)</f>
        <v/>
      </c>
      <c r="D288" s="60">
        <f>VLOOKUP(Table_1[[#This Row],[AÇÕES]],'Classificação B3'!A:D,4,0)</f>
        <v/>
      </c>
      <c r="E288" s="60">
        <f>VLOOKUP(Table_1[[#This Row],[AÇÕES]],'Classificação B3'!A:F,6,0)</f>
        <v/>
      </c>
      <c r="F288" s="60">
        <f>VLOOKUP(Table_1[[#This Row],[AÇÕES]],'Classificação B3'!A:G,7,0)</f>
        <v/>
      </c>
      <c r="G288" s="61">
        <f>VLOOKUP(Table_1[[#This Row],[AÇÕES]],'Dados Status Invest'!A:B,2,0)</f>
        <v/>
      </c>
      <c r="H288" s="62">
        <f>VLOOKUP(Table_1[[#This Row],[AÇÕES]],'Dados Status Invest'!A:C,3,0)/100</f>
        <v/>
      </c>
      <c r="I288" s="62">
        <f>VLOOKUP(Table_1[[#This Row],[AÇÕES]],'Dados Status Invest'!A:D,4,0)/100</f>
        <v/>
      </c>
      <c r="J288" s="63">
        <f>VLOOKUP(Table_1[[#This Row],[AÇÕES]],'Dados Status Invest'!A:AB,28,0)</f>
        <v/>
      </c>
      <c r="K288" s="63">
        <f>VLOOKUP(Table_1[[#This Row],[AÇÕES]],'Dados Status Invest'!A:AA,27,0)</f>
        <v/>
      </c>
      <c r="L288" s="63">
        <f>Table_1[[#This Row],[PREÇO]]*Table_1[[#This Row],[DY]]</f>
        <v/>
      </c>
      <c r="M288" s="62">
        <f>$E$13</f>
        <v/>
      </c>
      <c r="N288" s="62" t="n">
        <v>0.3</v>
      </c>
      <c r="O288" s="62">
        <f>Table_1[[#This Row],[DPA]]/Table_1[[#This Row],[LPA]]</f>
        <v/>
      </c>
      <c r="P288" s="62">
        <f>IF(Table_1[[#This Row],[PAYOUT]]&lt;=40%,"CRESCIMENTO",IF(Table_1[[#This Row],[PAYOUT]]&lt;=60%,"INDEFINIDO","DIVIDENDOS"))</f>
        <v/>
      </c>
      <c r="Q288" s="62">
        <f>VLOOKUP(Table_1[[#This Row],[AÇÕES]],'Dados Status Invest'!A:R,18,0)/100</f>
        <v/>
      </c>
      <c r="R288" s="62">
        <f>VLOOKUP(Table_1[[#This Row],[AÇÕES]],'Dados Status Invest'!A:Y,25,0)/100</f>
        <v/>
      </c>
      <c r="S288" s="62">
        <f>(1-Table_1[[#This Row],[PAYOUT]])*Table_1[[#This Row],[ROE]]</f>
        <v/>
      </c>
      <c r="T288" s="98">
        <f>AVERAGE(Table_1[[#This Row],[CAGR LUCRO 5A]],Table_1[[#This Row],[CRESCIMENTO DAMODARAN]])</f>
        <v/>
      </c>
      <c r="U288" s="64">
        <f>(Table_1[[#This Row],[PREÇO JUSTO BAZIN]]-Table_1[[#This Row],[PREÇO]])/Table_1[[#This Row],[PREÇO JUSTO BAZIN]]</f>
        <v/>
      </c>
      <c r="V288" s="129">
        <f>Table_1[[#This Row],[DPA]]/6%</f>
        <v/>
      </c>
      <c r="W288" s="129">
        <f>Table_1[[#This Row],[PREÇO JUSTO BAZIN]]/(1+Table_1[[#This Row],[MARGEM DE DESCONTO]])</f>
        <v/>
      </c>
      <c r="X288" s="64">
        <f>(Table_1[[#This Row],[PREÇO JUSTO GRAHAM]]-Table_1[[#This Row],[PREÇO]])/Table_1[[#This Row],[PREÇO JUSTO GRAHAM]]</f>
        <v/>
      </c>
      <c r="Y288" s="129">
        <f>(22.5*Table_1[[#This Row],[LPA]]*Table_1[[#This Row],[VPA]])^0.5</f>
        <v/>
      </c>
      <c r="Z288" s="129">
        <f>Table_1[[#This Row],[PREÇO JUSTO GRAHAM]]/(1+Table_1[[#This Row],[MARGEM DE DESCONTO]])</f>
        <v/>
      </c>
      <c r="AA288" s="64">
        <f>(Table_1[[#This Row],[PREÇO JUSTO GORDON]]-Table_1[[#This Row],[PREÇO]])/Table_1[[#This Row],[PREÇO JUSTO GORDON]]</f>
        <v/>
      </c>
      <c r="AB288" s="130">
        <f>Table_1[[#This Row],[DPA]]*(1+Table_1[[#This Row],[MÉDIA DE CRESCIMENTO]])</f>
        <v/>
      </c>
      <c r="AC288" s="130">
        <f>Table_1[[#This Row],[D1]]/(Table_1[[#This Row],[RISCO]]-Table_1[[#This Row],[MÉDIA DE CRESCIMENTO]])</f>
        <v/>
      </c>
      <c r="AD288" s="130">
        <f>Table_1[[#This Row],[PREÇO JUSTO GORDON]]/(1+Table_1[[#This Row],[MARGEM DE DESCONTO]])</f>
        <v/>
      </c>
      <c r="AE288" s="78">
        <f>Table_1[[#This Row],[P/L]]/Table_1[[#This Row],[MÉDIA DE CRESCIMENTO]]</f>
        <v/>
      </c>
    </row>
    <row r="289" ht="15.75" customHeight="1">
      <c r="B289" s="77">
        <f>'Dados Status Invest'!A275</f>
        <v/>
      </c>
      <c r="C289" s="60">
        <f>VLOOKUP(Table_1[[#This Row],[AÇÕES]],'Classificação B3'!A:B,2,0)</f>
        <v/>
      </c>
      <c r="D289" s="60">
        <f>VLOOKUP(Table_1[[#This Row],[AÇÕES]],'Classificação B3'!A:D,4,0)</f>
        <v/>
      </c>
      <c r="E289" s="60">
        <f>VLOOKUP(Table_1[[#This Row],[AÇÕES]],'Classificação B3'!A:F,6,0)</f>
        <v/>
      </c>
      <c r="F289" s="60">
        <f>VLOOKUP(Table_1[[#This Row],[AÇÕES]],'Classificação B3'!A:G,7,0)</f>
        <v/>
      </c>
      <c r="G289" s="61">
        <f>VLOOKUP(Table_1[[#This Row],[AÇÕES]],'Dados Status Invest'!A:B,2,0)</f>
        <v/>
      </c>
      <c r="H289" s="62">
        <f>VLOOKUP(Table_1[[#This Row],[AÇÕES]],'Dados Status Invest'!A:C,3,0)/100</f>
        <v/>
      </c>
      <c r="I289" s="62">
        <f>VLOOKUP(Table_1[[#This Row],[AÇÕES]],'Dados Status Invest'!A:D,4,0)/100</f>
        <v/>
      </c>
      <c r="J289" s="63">
        <f>VLOOKUP(Table_1[[#This Row],[AÇÕES]],'Dados Status Invest'!A:AB,28,0)</f>
        <v/>
      </c>
      <c r="K289" s="63">
        <f>VLOOKUP(Table_1[[#This Row],[AÇÕES]],'Dados Status Invest'!A:AA,27,0)</f>
        <v/>
      </c>
      <c r="L289" s="63">
        <f>Table_1[[#This Row],[PREÇO]]*Table_1[[#This Row],[DY]]</f>
        <v/>
      </c>
      <c r="M289" s="62">
        <f>$E$13</f>
        <v/>
      </c>
      <c r="N289" s="62" t="n">
        <v>0.3</v>
      </c>
      <c r="O289" s="62">
        <f>Table_1[[#This Row],[DPA]]/Table_1[[#This Row],[LPA]]</f>
        <v/>
      </c>
      <c r="P289" s="62">
        <f>IF(Table_1[[#This Row],[PAYOUT]]&lt;=40%,"CRESCIMENTO",IF(Table_1[[#This Row],[PAYOUT]]&lt;=60%,"INDEFINIDO","DIVIDENDOS"))</f>
        <v/>
      </c>
      <c r="Q289" s="62">
        <f>VLOOKUP(Table_1[[#This Row],[AÇÕES]],'Dados Status Invest'!A:R,18,0)/100</f>
        <v/>
      </c>
      <c r="R289" s="62">
        <f>VLOOKUP(Table_1[[#This Row],[AÇÕES]],'Dados Status Invest'!A:Y,25,0)/100</f>
        <v/>
      </c>
      <c r="S289" s="62">
        <f>(1-Table_1[[#This Row],[PAYOUT]])*Table_1[[#This Row],[ROE]]</f>
        <v/>
      </c>
      <c r="T289" s="98">
        <f>AVERAGE(Table_1[[#This Row],[CAGR LUCRO 5A]],Table_1[[#This Row],[CRESCIMENTO DAMODARAN]])</f>
        <v/>
      </c>
      <c r="U289" s="64">
        <f>(Table_1[[#This Row],[PREÇO JUSTO BAZIN]]-Table_1[[#This Row],[PREÇO]])/Table_1[[#This Row],[PREÇO JUSTO BAZIN]]</f>
        <v/>
      </c>
      <c r="V289" s="129">
        <f>Table_1[[#This Row],[DPA]]/6%</f>
        <v/>
      </c>
      <c r="W289" s="129">
        <f>Table_1[[#This Row],[PREÇO JUSTO BAZIN]]/(1+Table_1[[#This Row],[MARGEM DE DESCONTO]])</f>
        <v/>
      </c>
      <c r="X289" s="64">
        <f>(Table_1[[#This Row],[PREÇO JUSTO GRAHAM]]-Table_1[[#This Row],[PREÇO]])/Table_1[[#This Row],[PREÇO JUSTO GRAHAM]]</f>
        <v/>
      </c>
      <c r="Y289" s="129">
        <f>(22.5*Table_1[[#This Row],[LPA]]*Table_1[[#This Row],[VPA]])^0.5</f>
        <v/>
      </c>
      <c r="Z289" s="129">
        <f>Table_1[[#This Row],[PREÇO JUSTO GRAHAM]]/(1+Table_1[[#This Row],[MARGEM DE DESCONTO]])</f>
        <v/>
      </c>
      <c r="AA289" s="64">
        <f>(Table_1[[#This Row],[PREÇO JUSTO GORDON]]-Table_1[[#This Row],[PREÇO]])/Table_1[[#This Row],[PREÇO JUSTO GORDON]]</f>
        <v/>
      </c>
      <c r="AB289" s="130">
        <f>Table_1[[#This Row],[DPA]]*(1+Table_1[[#This Row],[MÉDIA DE CRESCIMENTO]])</f>
        <v/>
      </c>
      <c r="AC289" s="130">
        <f>Table_1[[#This Row],[D1]]/(Table_1[[#This Row],[RISCO]]-Table_1[[#This Row],[MÉDIA DE CRESCIMENTO]])</f>
        <v/>
      </c>
      <c r="AD289" s="130">
        <f>Table_1[[#This Row],[PREÇO JUSTO GORDON]]/(1+Table_1[[#This Row],[MARGEM DE DESCONTO]])</f>
        <v/>
      </c>
      <c r="AE289" s="78">
        <f>Table_1[[#This Row],[P/L]]/Table_1[[#This Row],[MÉDIA DE CRESCIMENTO]]</f>
        <v/>
      </c>
    </row>
    <row r="290" ht="15.75" customHeight="1">
      <c r="B290" s="77">
        <f>'Dados Status Invest'!A276</f>
        <v/>
      </c>
      <c r="C290" s="60">
        <f>VLOOKUP(Table_1[[#This Row],[AÇÕES]],'Classificação B3'!A:B,2,0)</f>
        <v/>
      </c>
      <c r="D290" s="60">
        <f>VLOOKUP(Table_1[[#This Row],[AÇÕES]],'Classificação B3'!A:D,4,0)</f>
        <v/>
      </c>
      <c r="E290" s="60">
        <f>VLOOKUP(Table_1[[#This Row],[AÇÕES]],'Classificação B3'!A:F,6,0)</f>
        <v/>
      </c>
      <c r="F290" s="60">
        <f>VLOOKUP(Table_1[[#This Row],[AÇÕES]],'Classificação B3'!A:G,7,0)</f>
        <v/>
      </c>
      <c r="G290" s="61">
        <f>VLOOKUP(Table_1[[#This Row],[AÇÕES]],'Dados Status Invest'!A:B,2,0)</f>
        <v/>
      </c>
      <c r="H290" s="62">
        <f>VLOOKUP(Table_1[[#This Row],[AÇÕES]],'Dados Status Invest'!A:C,3,0)/100</f>
        <v/>
      </c>
      <c r="I290" s="62">
        <f>VLOOKUP(Table_1[[#This Row],[AÇÕES]],'Dados Status Invest'!A:D,4,0)/100</f>
        <v/>
      </c>
      <c r="J290" s="63">
        <f>VLOOKUP(Table_1[[#This Row],[AÇÕES]],'Dados Status Invest'!A:AB,28,0)</f>
        <v/>
      </c>
      <c r="K290" s="63">
        <f>VLOOKUP(Table_1[[#This Row],[AÇÕES]],'Dados Status Invest'!A:AA,27,0)</f>
        <v/>
      </c>
      <c r="L290" s="63">
        <f>Table_1[[#This Row],[PREÇO]]*Table_1[[#This Row],[DY]]</f>
        <v/>
      </c>
      <c r="M290" s="62">
        <f>$E$13</f>
        <v/>
      </c>
      <c r="N290" s="62" t="n">
        <v>0.3</v>
      </c>
      <c r="O290" s="62">
        <f>Table_1[[#This Row],[DPA]]/Table_1[[#This Row],[LPA]]</f>
        <v/>
      </c>
      <c r="P290" s="62">
        <f>IF(Table_1[[#This Row],[PAYOUT]]&lt;=40%,"CRESCIMENTO",IF(Table_1[[#This Row],[PAYOUT]]&lt;=60%,"INDEFINIDO","DIVIDENDOS"))</f>
        <v/>
      </c>
      <c r="Q290" s="62">
        <f>VLOOKUP(Table_1[[#This Row],[AÇÕES]],'Dados Status Invest'!A:R,18,0)/100</f>
        <v/>
      </c>
      <c r="R290" s="62">
        <f>VLOOKUP(Table_1[[#This Row],[AÇÕES]],'Dados Status Invest'!A:Y,25,0)/100</f>
        <v/>
      </c>
      <c r="S290" s="62">
        <f>(1-Table_1[[#This Row],[PAYOUT]])*Table_1[[#This Row],[ROE]]</f>
        <v/>
      </c>
      <c r="T290" s="98">
        <f>AVERAGE(Table_1[[#This Row],[CAGR LUCRO 5A]],Table_1[[#This Row],[CRESCIMENTO DAMODARAN]])</f>
        <v/>
      </c>
      <c r="U290" s="64">
        <f>(Table_1[[#This Row],[PREÇO JUSTO BAZIN]]-Table_1[[#This Row],[PREÇO]])/Table_1[[#This Row],[PREÇO JUSTO BAZIN]]</f>
        <v/>
      </c>
      <c r="V290" s="129">
        <f>Table_1[[#This Row],[DPA]]/6%</f>
        <v/>
      </c>
      <c r="W290" s="129">
        <f>Table_1[[#This Row],[PREÇO JUSTO BAZIN]]/(1+Table_1[[#This Row],[MARGEM DE DESCONTO]])</f>
        <v/>
      </c>
      <c r="X290" s="64">
        <f>(Table_1[[#This Row],[PREÇO JUSTO GRAHAM]]-Table_1[[#This Row],[PREÇO]])/Table_1[[#This Row],[PREÇO JUSTO GRAHAM]]</f>
        <v/>
      </c>
      <c r="Y290" s="129">
        <f>(22.5*Table_1[[#This Row],[LPA]]*Table_1[[#This Row],[VPA]])^0.5</f>
        <v/>
      </c>
      <c r="Z290" s="129">
        <f>Table_1[[#This Row],[PREÇO JUSTO GRAHAM]]/(1+Table_1[[#This Row],[MARGEM DE DESCONTO]])</f>
        <v/>
      </c>
      <c r="AA290" s="64">
        <f>(Table_1[[#This Row],[PREÇO JUSTO GORDON]]-Table_1[[#This Row],[PREÇO]])/Table_1[[#This Row],[PREÇO JUSTO GORDON]]</f>
        <v/>
      </c>
      <c r="AB290" s="130">
        <f>Table_1[[#This Row],[DPA]]*(1+Table_1[[#This Row],[MÉDIA DE CRESCIMENTO]])</f>
        <v/>
      </c>
      <c r="AC290" s="130">
        <f>Table_1[[#This Row],[D1]]/(Table_1[[#This Row],[RISCO]]-Table_1[[#This Row],[MÉDIA DE CRESCIMENTO]])</f>
        <v/>
      </c>
      <c r="AD290" s="130">
        <f>Table_1[[#This Row],[PREÇO JUSTO GORDON]]/(1+Table_1[[#This Row],[MARGEM DE DESCONTO]])</f>
        <v/>
      </c>
      <c r="AE290" s="78">
        <f>Table_1[[#This Row],[P/L]]/Table_1[[#This Row],[MÉDIA DE CRESCIMENTO]]</f>
        <v/>
      </c>
    </row>
    <row r="291" ht="15.75" customHeight="1">
      <c r="B291" s="77">
        <f>'Dados Status Invest'!A277</f>
        <v/>
      </c>
      <c r="C291" s="60">
        <f>VLOOKUP(Table_1[[#This Row],[AÇÕES]],'Classificação B3'!A:B,2,0)</f>
        <v/>
      </c>
      <c r="D291" s="60">
        <f>VLOOKUP(Table_1[[#This Row],[AÇÕES]],'Classificação B3'!A:D,4,0)</f>
        <v/>
      </c>
      <c r="E291" s="60">
        <f>VLOOKUP(Table_1[[#This Row],[AÇÕES]],'Classificação B3'!A:F,6,0)</f>
        <v/>
      </c>
      <c r="F291" s="60">
        <f>VLOOKUP(Table_1[[#This Row],[AÇÕES]],'Classificação B3'!A:G,7,0)</f>
        <v/>
      </c>
      <c r="G291" s="61">
        <f>VLOOKUP(Table_1[[#This Row],[AÇÕES]],'Dados Status Invest'!A:B,2,0)</f>
        <v/>
      </c>
      <c r="H291" s="62">
        <f>VLOOKUP(Table_1[[#This Row],[AÇÕES]],'Dados Status Invest'!A:C,3,0)/100</f>
        <v/>
      </c>
      <c r="I291" s="62">
        <f>VLOOKUP(Table_1[[#This Row],[AÇÕES]],'Dados Status Invest'!A:D,4,0)/100</f>
        <v/>
      </c>
      <c r="J291" s="63">
        <f>VLOOKUP(Table_1[[#This Row],[AÇÕES]],'Dados Status Invest'!A:AB,28,0)</f>
        <v/>
      </c>
      <c r="K291" s="63">
        <f>VLOOKUP(Table_1[[#This Row],[AÇÕES]],'Dados Status Invest'!A:AA,27,0)</f>
        <v/>
      </c>
      <c r="L291" s="63">
        <f>Table_1[[#This Row],[PREÇO]]*Table_1[[#This Row],[DY]]</f>
        <v/>
      </c>
      <c r="M291" s="62">
        <f>$E$13</f>
        <v/>
      </c>
      <c r="N291" s="62" t="n">
        <v>0.3</v>
      </c>
      <c r="O291" s="62">
        <f>Table_1[[#This Row],[DPA]]/Table_1[[#This Row],[LPA]]</f>
        <v/>
      </c>
      <c r="P291" s="62">
        <f>IF(Table_1[[#This Row],[PAYOUT]]&lt;=40%,"CRESCIMENTO",IF(Table_1[[#This Row],[PAYOUT]]&lt;=60%,"INDEFINIDO","DIVIDENDOS"))</f>
        <v/>
      </c>
      <c r="Q291" s="62">
        <f>VLOOKUP(Table_1[[#This Row],[AÇÕES]],'Dados Status Invest'!A:R,18,0)/100</f>
        <v/>
      </c>
      <c r="R291" s="62">
        <f>VLOOKUP(Table_1[[#This Row],[AÇÕES]],'Dados Status Invest'!A:Y,25,0)/100</f>
        <v/>
      </c>
      <c r="S291" s="62">
        <f>(1-Table_1[[#This Row],[PAYOUT]])*Table_1[[#This Row],[ROE]]</f>
        <v/>
      </c>
      <c r="T291" s="98">
        <f>AVERAGE(Table_1[[#This Row],[CAGR LUCRO 5A]],Table_1[[#This Row],[CRESCIMENTO DAMODARAN]])</f>
        <v/>
      </c>
      <c r="U291" s="64">
        <f>(Table_1[[#This Row],[PREÇO JUSTO BAZIN]]-Table_1[[#This Row],[PREÇO]])/Table_1[[#This Row],[PREÇO JUSTO BAZIN]]</f>
        <v/>
      </c>
      <c r="V291" s="129">
        <f>Table_1[[#This Row],[DPA]]/6%</f>
        <v/>
      </c>
      <c r="W291" s="129">
        <f>Table_1[[#This Row],[PREÇO JUSTO BAZIN]]/(1+Table_1[[#This Row],[MARGEM DE DESCONTO]])</f>
        <v/>
      </c>
      <c r="X291" s="64">
        <f>(Table_1[[#This Row],[PREÇO JUSTO GRAHAM]]-Table_1[[#This Row],[PREÇO]])/Table_1[[#This Row],[PREÇO JUSTO GRAHAM]]</f>
        <v/>
      </c>
      <c r="Y291" s="129">
        <f>(22.5*Table_1[[#This Row],[LPA]]*Table_1[[#This Row],[VPA]])^0.5</f>
        <v/>
      </c>
      <c r="Z291" s="129">
        <f>Table_1[[#This Row],[PREÇO JUSTO GRAHAM]]/(1+Table_1[[#This Row],[MARGEM DE DESCONTO]])</f>
        <v/>
      </c>
      <c r="AA291" s="64">
        <f>(Table_1[[#This Row],[PREÇO JUSTO GORDON]]-Table_1[[#This Row],[PREÇO]])/Table_1[[#This Row],[PREÇO JUSTO GORDON]]</f>
        <v/>
      </c>
      <c r="AB291" s="130">
        <f>Table_1[[#This Row],[DPA]]*(1+Table_1[[#This Row],[MÉDIA DE CRESCIMENTO]])</f>
        <v/>
      </c>
      <c r="AC291" s="130">
        <f>Table_1[[#This Row],[D1]]/(Table_1[[#This Row],[RISCO]]-Table_1[[#This Row],[MÉDIA DE CRESCIMENTO]])</f>
        <v/>
      </c>
      <c r="AD291" s="130">
        <f>Table_1[[#This Row],[PREÇO JUSTO GORDON]]/(1+Table_1[[#This Row],[MARGEM DE DESCONTO]])</f>
        <v/>
      </c>
      <c r="AE291" s="78">
        <f>Table_1[[#This Row],[P/L]]/Table_1[[#This Row],[MÉDIA DE CRESCIMENTO]]</f>
        <v/>
      </c>
    </row>
    <row r="292" ht="15.75" customHeight="1">
      <c r="B292" s="77">
        <f>'Dados Status Invest'!A278</f>
        <v/>
      </c>
      <c r="C292" s="60">
        <f>VLOOKUP(Table_1[[#This Row],[AÇÕES]],'Classificação B3'!A:B,2,0)</f>
        <v/>
      </c>
      <c r="D292" s="60">
        <f>VLOOKUP(Table_1[[#This Row],[AÇÕES]],'Classificação B3'!A:D,4,0)</f>
        <v/>
      </c>
      <c r="E292" s="60">
        <f>VLOOKUP(Table_1[[#This Row],[AÇÕES]],'Classificação B3'!A:F,6,0)</f>
        <v/>
      </c>
      <c r="F292" s="60">
        <f>VLOOKUP(Table_1[[#This Row],[AÇÕES]],'Classificação B3'!A:G,7,0)</f>
        <v/>
      </c>
      <c r="G292" s="61">
        <f>VLOOKUP(Table_1[[#This Row],[AÇÕES]],'Dados Status Invest'!A:B,2,0)</f>
        <v/>
      </c>
      <c r="H292" s="62">
        <f>VLOOKUP(Table_1[[#This Row],[AÇÕES]],'Dados Status Invest'!A:C,3,0)/100</f>
        <v/>
      </c>
      <c r="I292" s="62">
        <f>VLOOKUP(Table_1[[#This Row],[AÇÕES]],'Dados Status Invest'!A:D,4,0)/100</f>
        <v/>
      </c>
      <c r="J292" s="63">
        <f>VLOOKUP(Table_1[[#This Row],[AÇÕES]],'Dados Status Invest'!A:AB,28,0)</f>
        <v/>
      </c>
      <c r="K292" s="63">
        <f>VLOOKUP(Table_1[[#This Row],[AÇÕES]],'Dados Status Invest'!A:AA,27,0)</f>
        <v/>
      </c>
      <c r="L292" s="63">
        <f>Table_1[[#This Row],[PREÇO]]*Table_1[[#This Row],[DY]]</f>
        <v/>
      </c>
      <c r="M292" s="62">
        <f>$E$13</f>
        <v/>
      </c>
      <c r="N292" s="62" t="n">
        <v>0.3</v>
      </c>
      <c r="O292" s="62">
        <f>Table_1[[#This Row],[DPA]]/Table_1[[#This Row],[LPA]]</f>
        <v/>
      </c>
      <c r="P292" s="62">
        <f>IF(Table_1[[#This Row],[PAYOUT]]&lt;=40%,"CRESCIMENTO",IF(Table_1[[#This Row],[PAYOUT]]&lt;=60%,"INDEFINIDO","DIVIDENDOS"))</f>
        <v/>
      </c>
      <c r="Q292" s="62">
        <f>VLOOKUP(Table_1[[#This Row],[AÇÕES]],'Dados Status Invest'!A:R,18,0)/100</f>
        <v/>
      </c>
      <c r="R292" s="62">
        <f>VLOOKUP(Table_1[[#This Row],[AÇÕES]],'Dados Status Invest'!A:Y,25,0)/100</f>
        <v/>
      </c>
      <c r="S292" s="62">
        <f>(1-Table_1[[#This Row],[PAYOUT]])*Table_1[[#This Row],[ROE]]</f>
        <v/>
      </c>
      <c r="T292" s="98">
        <f>AVERAGE(Table_1[[#This Row],[CAGR LUCRO 5A]],Table_1[[#This Row],[CRESCIMENTO DAMODARAN]])</f>
        <v/>
      </c>
      <c r="U292" s="64">
        <f>(Table_1[[#This Row],[PREÇO JUSTO BAZIN]]-Table_1[[#This Row],[PREÇO]])/Table_1[[#This Row],[PREÇO JUSTO BAZIN]]</f>
        <v/>
      </c>
      <c r="V292" s="129">
        <f>Table_1[[#This Row],[DPA]]/6%</f>
        <v/>
      </c>
      <c r="W292" s="129">
        <f>Table_1[[#This Row],[PREÇO JUSTO BAZIN]]/(1+Table_1[[#This Row],[MARGEM DE DESCONTO]])</f>
        <v/>
      </c>
      <c r="X292" s="64">
        <f>(Table_1[[#This Row],[PREÇO JUSTO GRAHAM]]-Table_1[[#This Row],[PREÇO]])/Table_1[[#This Row],[PREÇO JUSTO GRAHAM]]</f>
        <v/>
      </c>
      <c r="Y292" s="129">
        <f>(22.5*Table_1[[#This Row],[LPA]]*Table_1[[#This Row],[VPA]])^0.5</f>
        <v/>
      </c>
      <c r="Z292" s="129">
        <f>Table_1[[#This Row],[PREÇO JUSTO GRAHAM]]/(1+Table_1[[#This Row],[MARGEM DE DESCONTO]])</f>
        <v/>
      </c>
      <c r="AA292" s="64">
        <f>(Table_1[[#This Row],[PREÇO JUSTO GORDON]]-Table_1[[#This Row],[PREÇO]])/Table_1[[#This Row],[PREÇO JUSTO GORDON]]</f>
        <v/>
      </c>
      <c r="AB292" s="130">
        <f>Table_1[[#This Row],[DPA]]*(1+Table_1[[#This Row],[MÉDIA DE CRESCIMENTO]])</f>
        <v/>
      </c>
      <c r="AC292" s="130">
        <f>Table_1[[#This Row],[D1]]/(Table_1[[#This Row],[RISCO]]-Table_1[[#This Row],[MÉDIA DE CRESCIMENTO]])</f>
        <v/>
      </c>
      <c r="AD292" s="130">
        <f>Table_1[[#This Row],[PREÇO JUSTO GORDON]]/(1+Table_1[[#This Row],[MARGEM DE DESCONTO]])</f>
        <v/>
      </c>
      <c r="AE292" s="78">
        <f>Table_1[[#This Row],[P/L]]/Table_1[[#This Row],[MÉDIA DE CRESCIMENTO]]</f>
        <v/>
      </c>
    </row>
    <row r="293" ht="15.75" customHeight="1">
      <c r="B293" s="77">
        <f>'Dados Status Invest'!A279</f>
        <v/>
      </c>
      <c r="C293" s="60">
        <f>VLOOKUP(Table_1[[#This Row],[AÇÕES]],'Classificação B3'!A:B,2,0)</f>
        <v/>
      </c>
      <c r="D293" s="60">
        <f>VLOOKUP(Table_1[[#This Row],[AÇÕES]],'Classificação B3'!A:D,4,0)</f>
        <v/>
      </c>
      <c r="E293" s="60">
        <f>VLOOKUP(Table_1[[#This Row],[AÇÕES]],'Classificação B3'!A:F,6,0)</f>
        <v/>
      </c>
      <c r="F293" s="60">
        <f>VLOOKUP(Table_1[[#This Row],[AÇÕES]],'Classificação B3'!A:G,7,0)</f>
        <v/>
      </c>
      <c r="G293" s="61">
        <f>VLOOKUP(Table_1[[#This Row],[AÇÕES]],'Dados Status Invest'!A:B,2,0)</f>
        <v/>
      </c>
      <c r="H293" s="62">
        <f>VLOOKUP(Table_1[[#This Row],[AÇÕES]],'Dados Status Invest'!A:C,3,0)/100</f>
        <v/>
      </c>
      <c r="I293" s="62">
        <f>VLOOKUP(Table_1[[#This Row],[AÇÕES]],'Dados Status Invest'!A:D,4,0)/100</f>
        <v/>
      </c>
      <c r="J293" s="63">
        <f>VLOOKUP(Table_1[[#This Row],[AÇÕES]],'Dados Status Invest'!A:AB,28,0)</f>
        <v/>
      </c>
      <c r="K293" s="63">
        <f>VLOOKUP(Table_1[[#This Row],[AÇÕES]],'Dados Status Invest'!A:AA,27,0)</f>
        <v/>
      </c>
      <c r="L293" s="63">
        <f>Table_1[[#This Row],[PREÇO]]*Table_1[[#This Row],[DY]]</f>
        <v/>
      </c>
      <c r="M293" s="62">
        <f>$E$13</f>
        <v/>
      </c>
      <c r="N293" s="62" t="n">
        <v>0.3</v>
      </c>
      <c r="O293" s="62">
        <f>Table_1[[#This Row],[DPA]]/Table_1[[#This Row],[LPA]]</f>
        <v/>
      </c>
      <c r="P293" s="62">
        <f>IF(Table_1[[#This Row],[PAYOUT]]&lt;=40%,"CRESCIMENTO",IF(Table_1[[#This Row],[PAYOUT]]&lt;=60%,"INDEFINIDO","DIVIDENDOS"))</f>
        <v/>
      </c>
      <c r="Q293" s="62">
        <f>VLOOKUP(Table_1[[#This Row],[AÇÕES]],'Dados Status Invest'!A:R,18,0)/100</f>
        <v/>
      </c>
      <c r="R293" s="62">
        <f>VLOOKUP(Table_1[[#This Row],[AÇÕES]],'Dados Status Invest'!A:Y,25,0)/100</f>
        <v/>
      </c>
      <c r="S293" s="62">
        <f>(1-Table_1[[#This Row],[PAYOUT]])*Table_1[[#This Row],[ROE]]</f>
        <v/>
      </c>
      <c r="T293" s="98">
        <f>AVERAGE(Table_1[[#This Row],[CAGR LUCRO 5A]],Table_1[[#This Row],[CRESCIMENTO DAMODARAN]])</f>
        <v/>
      </c>
      <c r="U293" s="64">
        <f>(Table_1[[#This Row],[PREÇO JUSTO BAZIN]]-Table_1[[#This Row],[PREÇO]])/Table_1[[#This Row],[PREÇO JUSTO BAZIN]]</f>
        <v/>
      </c>
      <c r="V293" s="129">
        <f>Table_1[[#This Row],[DPA]]/6%</f>
        <v/>
      </c>
      <c r="W293" s="129">
        <f>Table_1[[#This Row],[PREÇO JUSTO BAZIN]]/(1+Table_1[[#This Row],[MARGEM DE DESCONTO]])</f>
        <v/>
      </c>
      <c r="X293" s="64">
        <f>(Table_1[[#This Row],[PREÇO JUSTO GRAHAM]]-Table_1[[#This Row],[PREÇO]])/Table_1[[#This Row],[PREÇO JUSTO GRAHAM]]</f>
        <v/>
      </c>
      <c r="Y293" s="129">
        <f>(22.5*Table_1[[#This Row],[LPA]]*Table_1[[#This Row],[VPA]])^0.5</f>
        <v/>
      </c>
      <c r="Z293" s="129">
        <f>Table_1[[#This Row],[PREÇO JUSTO GRAHAM]]/(1+Table_1[[#This Row],[MARGEM DE DESCONTO]])</f>
        <v/>
      </c>
      <c r="AA293" s="64">
        <f>(Table_1[[#This Row],[PREÇO JUSTO GORDON]]-Table_1[[#This Row],[PREÇO]])/Table_1[[#This Row],[PREÇO JUSTO GORDON]]</f>
        <v/>
      </c>
      <c r="AB293" s="130">
        <f>Table_1[[#This Row],[DPA]]*(1+Table_1[[#This Row],[MÉDIA DE CRESCIMENTO]])</f>
        <v/>
      </c>
      <c r="AC293" s="130">
        <f>Table_1[[#This Row],[D1]]/(Table_1[[#This Row],[RISCO]]-Table_1[[#This Row],[MÉDIA DE CRESCIMENTO]])</f>
        <v/>
      </c>
      <c r="AD293" s="130">
        <f>Table_1[[#This Row],[PREÇO JUSTO GORDON]]/(1+Table_1[[#This Row],[MARGEM DE DESCONTO]])</f>
        <v/>
      </c>
      <c r="AE293" s="78">
        <f>Table_1[[#This Row],[P/L]]/Table_1[[#This Row],[MÉDIA DE CRESCIMENTO]]</f>
        <v/>
      </c>
    </row>
    <row r="294" ht="15.75" customHeight="1">
      <c r="B294" s="77">
        <f>'Dados Status Invest'!A280</f>
        <v/>
      </c>
      <c r="C294" s="60">
        <f>VLOOKUP(Table_1[[#This Row],[AÇÕES]],'Classificação B3'!A:B,2,0)</f>
        <v/>
      </c>
      <c r="D294" s="60">
        <f>VLOOKUP(Table_1[[#This Row],[AÇÕES]],'Classificação B3'!A:D,4,0)</f>
        <v/>
      </c>
      <c r="E294" s="60">
        <f>VLOOKUP(Table_1[[#This Row],[AÇÕES]],'Classificação B3'!A:F,6,0)</f>
        <v/>
      </c>
      <c r="F294" s="60">
        <f>VLOOKUP(Table_1[[#This Row],[AÇÕES]],'Classificação B3'!A:G,7,0)</f>
        <v/>
      </c>
      <c r="G294" s="61">
        <f>VLOOKUP(Table_1[[#This Row],[AÇÕES]],'Dados Status Invest'!A:B,2,0)</f>
        <v/>
      </c>
      <c r="H294" s="62">
        <f>VLOOKUP(Table_1[[#This Row],[AÇÕES]],'Dados Status Invest'!A:C,3,0)/100</f>
        <v/>
      </c>
      <c r="I294" s="62">
        <f>VLOOKUP(Table_1[[#This Row],[AÇÕES]],'Dados Status Invest'!A:D,4,0)/100</f>
        <v/>
      </c>
      <c r="J294" s="63">
        <f>VLOOKUP(Table_1[[#This Row],[AÇÕES]],'Dados Status Invest'!A:AB,28,0)</f>
        <v/>
      </c>
      <c r="K294" s="63">
        <f>VLOOKUP(Table_1[[#This Row],[AÇÕES]],'Dados Status Invest'!A:AA,27,0)</f>
        <v/>
      </c>
      <c r="L294" s="63">
        <f>Table_1[[#This Row],[PREÇO]]*Table_1[[#This Row],[DY]]</f>
        <v/>
      </c>
      <c r="M294" s="62">
        <f>$E$13</f>
        <v/>
      </c>
      <c r="N294" s="62" t="n">
        <v>0.3</v>
      </c>
      <c r="O294" s="62">
        <f>Table_1[[#This Row],[DPA]]/Table_1[[#This Row],[LPA]]</f>
        <v/>
      </c>
      <c r="P294" s="62">
        <f>IF(Table_1[[#This Row],[PAYOUT]]&lt;=40%,"CRESCIMENTO",IF(Table_1[[#This Row],[PAYOUT]]&lt;=60%,"INDEFINIDO","DIVIDENDOS"))</f>
        <v/>
      </c>
      <c r="Q294" s="62">
        <f>VLOOKUP(Table_1[[#This Row],[AÇÕES]],'Dados Status Invest'!A:R,18,0)/100</f>
        <v/>
      </c>
      <c r="R294" s="62">
        <f>VLOOKUP(Table_1[[#This Row],[AÇÕES]],'Dados Status Invest'!A:Y,25,0)/100</f>
        <v/>
      </c>
      <c r="S294" s="62">
        <f>(1-Table_1[[#This Row],[PAYOUT]])*Table_1[[#This Row],[ROE]]</f>
        <v/>
      </c>
      <c r="T294" s="98">
        <f>AVERAGE(Table_1[[#This Row],[CAGR LUCRO 5A]],Table_1[[#This Row],[CRESCIMENTO DAMODARAN]])</f>
        <v/>
      </c>
      <c r="U294" s="64">
        <f>(Table_1[[#This Row],[PREÇO JUSTO BAZIN]]-Table_1[[#This Row],[PREÇO]])/Table_1[[#This Row],[PREÇO JUSTO BAZIN]]</f>
        <v/>
      </c>
      <c r="V294" s="129">
        <f>Table_1[[#This Row],[DPA]]/6%</f>
        <v/>
      </c>
      <c r="W294" s="129">
        <f>Table_1[[#This Row],[PREÇO JUSTO BAZIN]]/(1+Table_1[[#This Row],[MARGEM DE DESCONTO]])</f>
        <v/>
      </c>
      <c r="X294" s="64">
        <f>(Table_1[[#This Row],[PREÇO JUSTO GRAHAM]]-Table_1[[#This Row],[PREÇO]])/Table_1[[#This Row],[PREÇO JUSTO GRAHAM]]</f>
        <v/>
      </c>
      <c r="Y294" s="129">
        <f>(22.5*Table_1[[#This Row],[LPA]]*Table_1[[#This Row],[VPA]])^0.5</f>
        <v/>
      </c>
      <c r="Z294" s="129">
        <f>Table_1[[#This Row],[PREÇO JUSTO GRAHAM]]/(1+Table_1[[#This Row],[MARGEM DE DESCONTO]])</f>
        <v/>
      </c>
      <c r="AA294" s="64">
        <f>(Table_1[[#This Row],[PREÇO JUSTO GORDON]]-Table_1[[#This Row],[PREÇO]])/Table_1[[#This Row],[PREÇO JUSTO GORDON]]</f>
        <v/>
      </c>
      <c r="AB294" s="130">
        <f>Table_1[[#This Row],[DPA]]*(1+Table_1[[#This Row],[MÉDIA DE CRESCIMENTO]])</f>
        <v/>
      </c>
      <c r="AC294" s="130">
        <f>Table_1[[#This Row],[D1]]/(Table_1[[#This Row],[RISCO]]-Table_1[[#This Row],[MÉDIA DE CRESCIMENTO]])</f>
        <v/>
      </c>
      <c r="AD294" s="130">
        <f>Table_1[[#This Row],[PREÇO JUSTO GORDON]]/(1+Table_1[[#This Row],[MARGEM DE DESCONTO]])</f>
        <v/>
      </c>
      <c r="AE294" s="78">
        <f>Table_1[[#This Row],[P/L]]/Table_1[[#This Row],[MÉDIA DE CRESCIMENTO]]</f>
        <v/>
      </c>
    </row>
    <row r="295" ht="15.75" customHeight="1">
      <c r="B295" s="77">
        <f>'Dados Status Invest'!A281</f>
        <v/>
      </c>
      <c r="C295" s="60">
        <f>VLOOKUP(Table_1[[#This Row],[AÇÕES]],'Classificação B3'!A:B,2,0)</f>
        <v/>
      </c>
      <c r="D295" s="60">
        <f>VLOOKUP(Table_1[[#This Row],[AÇÕES]],'Classificação B3'!A:D,4,0)</f>
        <v/>
      </c>
      <c r="E295" s="60">
        <f>VLOOKUP(Table_1[[#This Row],[AÇÕES]],'Classificação B3'!A:F,6,0)</f>
        <v/>
      </c>
      <c r="F295" s="60">
        <f>VLOOKUP(Table_1[[#This Row],[AÇÕES]],'Classificação B3'!A:G,7,0)</f>
        <v/>
      </c>
      <c r="G295" s="61">
        <f>VLOOKUP(Table_1[[#This Row],[AÇÕES]],'Dados Status Invest'!A:B,2,0)</f>
        <v/>
      </c>
      <c r="H295" s="62">
        <f>VLOOKUP(Table_1[[#This Row],[AÇÕES]],'Dados Status Invest'!A:C,3,0)/100</f>
        <v/>
      </c>
      <c r="I295" s="62">
        <f>VLOOKUP(Table_1[[#This Row],[AÇÕES]],'Dados Status Invest'!A:D,4,0)/100</f>
        <v/>
      </c>
      <c r="J295" s="63">
        <f>VLOOKUP(Table_1[[#This Row],[AÇÕES]],'Dados Status Invest'!A:AB,28,0)</f>
        <v/>
      </c>
      <c r="K295" s="63">
        <f>VLOOKUP(Table_1[[#This Row],[AÇÕES]],'Dados Status Invest'!A:AA,27,0)</f>
        <v/>
      </c>
      <c r="L295" s="63">
        <f>Table_1[[#This Row],[PREÇO]]*Table_1[[#This Row],[DY]]</f>
        <v/>
      </c>
      <c r="M295" s="62">
        <f>$E$13</f>
        <v/>
      </c>
      <c r="N295" s="62" t="n">
        <v>0.3</v>
      </c>
      <c r="O295" s="62">
        <f>Table_1[[#This Row],[DPA]]/Table_1[[#This Row],[LPA]]</f>
        <v/>
      </c>
      <c r="P295" s="62">
        <f>IF(Table_1[[#This Row],[PAYOUT]]&lt;=40%,"CRESCIMENTO",IF(Table_1[[#This Row],[PAYOUT]]&lt;=60%,"INDEFINIDO","DIVIDENDOS"))</f>
        <v/>
      </c>
      <c r="Q295" s="62">
        <f>VLOOKUP(Table_1[[#This Row],[AÇÕES]],'Dados Status Invest'!A:R,18,0)/100</f>
        <v/>
      </c>
      <c r="R295" s="62">
        <f>VLOOKUP(Table_1[[#This Row],[AÇÕES]],'Dados Status Invest'!A:Y,25,0)/100</f>
        <v/>
      </c>
      <c r="S295" s="62">
        <f>(1-Table_1[[#This Row],[PAYOUT]])*Table_1[[#This Row],[ROE]]</f>
        <v/>
      </c>
      <c r="T295" s="98">
        <f>AVERAGE(Table_1[[#This Row],[CAGR LUCRO 5A]],Table_1[[#This Row],[CRESCIMENTO DAMODARAN]])</f>
        <v/>
      </c>
      <c r="U295" s="64">
        <f>(Table_1[[#This Row],[PREÇO JUSTO BAZIN]]-Table_1[[#This Row],[PREÇO]])/Table_1[[#This Row],[PREÇO JUSTO BAZIN]]</f>
        <v/>
      </c>
      <c r="V295" s="129">
        <f>Table_1[[#This Row],[DPA]]/6%</f>
        <v/>
      </c>
      <c r="W295" s="129">
        <f>Table_1[[#This Row],[PREÇO JUSTO BAZIN]]/(1+Table_1[[#This Row],[MARGEM DE DESCONTO]])</f>
        <v/>
      </c>
      <c r="X295" s="64">
        <f>(Table_1[[#This Row],[PREÇO JUSTO GRAHAM]]-Table_1[[#This Row],[PREÇO]])/Table_1[[#This Row],[PREÇO JUSTO GRAHAM]]</f>
        <v/>
      </c>
      <c r="Y295" s="129">
        <f>(22.5*Table_1[[#This Row],[LPA]]*Table_1[[#This Row],[VPA]])^0.5</f>
        <v/>
      </c>
      <c r="Z295" s="129">
        <f>Table_1[[#This Row],[PREÇO JUSTO GRAHAM]]/(1+Table_1[[#This Row],[MARGEM DE DESCONTO]])</f>
        <v/>
      </c>
      <c r="AA295" s="64">
        <f>(Table_1[[#This Row],[PREÇO JUSTO GORDON]]-Table_1[[#This Row],[PREÇO]])/Table_1[[#This Row],[PREÇO JUSTO GORDON]]</f>
        <v/>
      </c>
      <c r="AB295" s="130">
        <f>Table_1[[#This Row],[DPA]]*(1+Table_1[[#This Row],[MÉDIA DE CRESCIMENTO]])</f>
        <v/>
      </c>
      <c r="AC295" s="130">
        <f>Table_1[[#This Row],[D1]]/(Table_1[[#This Row],[RISCO]]-Table_1[[#This Row],[MÉDIA DE CRESCIMENTO]])</f>
        <v/>
      </c>
      <c r="AD295" s="130">
        <f>Table_1[[#This Row],[PREÇO JUSTO GORDON]]/(1+Table_1[[#This Row],[MARGEM DE DESCONTO]])</f>
        <v/>
      </c>
      <c r="AE295" s="78">
        <f>Table_1[[#This Row],[P/L]]/Table_1[[#This Row],[MÉDIA DE CRESCIMENTO]]</f>
        <v/>
      </c>
    </row>
    <row r="296" ht="15.75" customHeight="1">
      <c r="B296" s="77">
        <f>'Dados Status Invest'!A282</f>
        <v/>
      </c>
      <c r="C296" s="60">
        <f>VLOOKUP(Table_1[[#This Row],[AÇÕES]],'Classificação B3'!A:B,2,0)</f>
        <v/>
      </c>
      <c r="D296" s="60">
        <f>VLOOKUP(Table_1[[#This Row],[AÇÕES]],'Classificação B3'!A:D,4,0)</f>
        <v/>
      </c>
      <c r="E296" s="60">
        <f>VLOOKUP(Table_1[[#This Row],[AÇÕES]],'Classificação B3'!A:F,6,0)</f>
        <v/>
      </c>
      <c r="F296" s="60">
        <f>VLOOKUP(Table_1[[#This Row],[AÇÕES]],'Classificação B3'!A:G,7,0)</f>
        <v/>
      </c>
      <c r="G296" s="61">
        <f>VLOOKUP(Table_1[[#This Row],[AÇÕES]],'Dados Status Invest'!A:B,2,0)</f>
        <v/>
      </c>
      <c r="H296" s="62">
        <f>VLOOKUP(Table_1[[#This Row],[AÇÕES]],'Dados Status Invest'!A:C,3,0)/100</f>
        <v/>
      </c>
      <c r="I296" s="62">
        <f>VLOOKUP(Table_1[[#This Row],[AÇÕES]],'Dados Status Invest'!A:D,4,0)/100</f>
        <v/>
      </c>
      <c r="J296" s="63">
        <f>VLOOKUP(Table_1[[#This Row],[AÇÕES]],'Dados Status Invest'!A:AB,28,0)</f>
        <v/>
      </c>
      <c r="K296" s="63">
        <f>VLOOKUP(Table_1[[#This Row],[AÇÕES]],'Dados Status Invest'!A:AA,27,0)</f>
        <v/>
      </c>
      <c r="L296" s="63">
        <f>Table_1[[#This Row],[PREÇO]]*Table_1[[#This Row],[DY]]</f>
        <v/>
      </c>
      <c r="M296" s="62">
        <f>$E$13</f>
        <v/>
      </c>
      <c r="N296" s="62" t="n">
        <v>0.3</v>
      </c>
      <c r="O296" s="62">
        <f>Table_1[[#This Row],[DPA]]/Table_1[[#This Row],[LPA]]</f>
        <v/>
      </c>
      <c r="P296" s="62">
        <f>IF(Table_1[[#This Row],[PAYOUT]]&lt;=40%,"CRESCIMENTO",IF(Table_1[[#This Row],[PAYOUT]]&lt;=60%,"INDEFINIDO","DIVIDENDOS"))</f>
        <v/>
      </c>
      <c r="Q296" s="62">
        <f>VLOOKUP(Table_1[[#This Row],[AÇÕES]],'Dados Status Invest'!A:R,18,0)/100</f>
        <v/>
      </c>
      <c r="R296" s="62">
        <f>VLOOKUP(Table_1[[#This Row],[AÇÕES]],'Dados Status Invest'!A:Y,25,0)/100</f>
        <v/>
      </c>
      <c r="S296" s="62">
        <f>(1-Table_1[[#This Row],[PAYOUT]])*Table_1[[#This Row],[ROE]]</f>
        <v/>
      </c>
      <c r="T296" s="98">
        <f>AVERAGE(Table_1[[#This Row],[CAGR LUCRO 5A]],Table_1[[#This Row],[CRESCIMENTO DAMODARAN]])</f>
        <v/>
      </c>
      <c r="U296" s="64">
        <f>(Table_1[[#This Row],[PREÇO JUSTO BAZIN]]-Table_1[[#This Row],[PREÇO]])/Table_1[[#This Row],[PREÇO JUSTO BAZIN]]</f>
        <v/>
      </c>
      <c r="V296" s="129">
        <f>Table_1[[#This Row],[DPA]]/6%</f>
        <v/>
      </c>
      <c r="W296" s="129">
        <f>Table_1[[#This Row],[PREÇO JUSTO BAZIN]]/(1+Table_1[[#This Row],[MARGEM DE DESCONTO]])</f>
        <v/>
      </c>
      <c r="X296" s="64">
        <f>(Table_1[[#This Row],[PREÇO JUSTO GRAHAM]]-Table_1[[#This Row],[PREÇO]])/Table_1[[#This Row],[PREÇO JUSTO GRAHAM]]</f>
        <v/>
      </c>
      <c r="Y296" s="129">
        <f>(22.5*Table_1[[#This Row],[LPA]]*Table_1[[#This Row],[VPA]])^0.5</f>
        <v/>
      </c>
      <c r="Z296" s="129">
        <f>Table_1[[#This Row],[PREÇO JUSTO GRAHAM]]/(1+Table_1[[#This Row],[MARGEM DE DESCONTO]])</f>
        <v/>
      </c>
      <c r="AA296" s="64">
        <f>(Table_1[[#This Row],[PREÇO JUSTO GORDON]]-Table_1[[#This Row],[PREÇO]])/Table_1[[#This Row],[PREÇO JUSTO GORDON]]</f>
        <v/>
      </c>
      <c r="AB296" s="130">
        <f>Table_1[[#This Row],[DPA]]*(1+Table_1[[#This Row],[MÉDIA DE CRESCIMENTO]])</f>
        <v/>
      </c>
      <c r="AC296" s="130">
        <f>Table_1[[#This Row],[D1]]/(Table_1[[#This Row],[RISCO]]-Table_1[[#This Row],[MÉDIA DE CRESCIMENTO]])</f>
        <v/>
      </c>
      <c r="AD296" s="130">
        <f>Table_1[[#This Row],[PREÇO JUSTO GORDON]]/(1+Table_1[[#This Row],[MARGEM DE DESCONTO]])</f>
        <v/>
      </c>
      <c r="AE296" s="78">
        <f>Table_1[[#This Row],[P/L]]/Table_1[[#This Row],[MÉDIA DE CRESCIMENTO]]</f>
        <v/>
      </c>
    </row>
    <row r="297" ht="15.75" customHeight="1">
      <c r="B297" s="77">
        <f>'Dados Status Invest'!A283</f>
        <v/>
      </c>
      <c r="C297" s="60">
        <f>VLOOKUP(Table_1[[#This Row],[AÇÕES]],'Classificação B3'!A:B,2,0)</f>
        <v/>
      </c>
      <c r="D297" s="60">
        <f>VLOOKUP(Table_1[[#This Row],[AÇÕES]],'Classificação B3'!A:D,4,0)</f>
        <v/>
      </c>
      <c r="E297" s="60">
        <f>VLOOKUP(Table_1[[#This Row],[AÇÕES]],'Classificação B3'!A:F,6,0)</f>
        <v/>
      </c>
      <c r="F297" s="60">
        <f>VLOOKUP(Table_1[[#This Row],[AÇÕES]],'Classificação B3'!A:G,7,0)</f>
        <v/>
      </c>
      <c r="G297" s="61">
        <f>VLOOKUP(Table_1[[#This Row],[AÇÕES]],'Dados Status Invest'!A:B,2,0)</f>
        <v/>
      </c>
      <c r="H297" s="62">
        <f>VLOOKUP(Table_1[[#This Row],[AÇÕES]],'Dados Status Invest'!A:C,3,0)/100</f>
        <v/>
      </c>
      <c r="I297" s="62">
        <f>VLOOKUP(Table_1[[#This Row],[AÇÕES]],'Dados Status Invest'!A:D,4,0)/100</f>
        <v/>
      </c>
      <c r="J297" s="63">
        <f>VLOOKUP(Table_1[[#This Row],[AÇÕES]],'Dados Status Invest'!A:AB,28,0)</f>
        <v/>
      </c>
      <c r="K297" s="63">
        <f>VLOOKUP(Table_1[[#This Row],[AÇÕES]],'Dados Status Invest'!A:AA,27,0)</f>
        <v/>
      </c>
      <c r="L297" s="63">
        <f>Table_1[[#This Row],[PREÇO]]*Table_1[[#This Row],[DY]]</f>
        <v/>
      </c>
      <c r="M297" s="62">
        <f>$E$13</f>
        <v/>
      </c>
      <c r="N297" s="62" t="n">
        <v>0.3</v>
      </c>
      <c r="O297" s="62">
        <f>Table_1[[#This Row],[DPA]]/Table_1[[#This Row],[LPA]]</f>
        <v/>
      </c>
      <c r="P297" s="62">
        <f>IF(Table_1[[#This Row],[PAYOUT]]&lt;=40%,"CRESCIMENTO",IF(Table_1[[#This Row],[PAYOUT]]&lt;=60%,"INDEFINIDO","DIVIDENDOS"))</f>
        <v/>
      </c>
      <c r="Q297" s="62">
        <f>VLOOKUP(Table_1[[#This Row],[AÇÕES]],'Dados Status Invest'!A:R,18,0)/100</f>
        <v/>
      </c>
      <c r="R297" s="62">
        <f>VLOOKUP(Table_1[[#This Row],[AÇÕES]],'Dados Status Invest'!A:Y,25,0)/100</f>
        <v/>
      </c>
      <c r="S297" s="62">
        <f>(1-Table_1[[#This Row],[PAYOUT]])*Table_1[[#This Row],[ROE]]</f>
        <v/>
      </c>
      <c r="T297" s="98">
        <f>AVERAGE(Table_1[[#This Row],[CAGR LUCRO 5A]],Table_1[[#This Row],[CRESCIMENTO DAMODARAN]])</f>
        <v/>
      </c>
      <c r="U297" s="64">
        <f>(Table_1[[#This Row],[PREÇO JUSTO BAZIN]]-Table_1[[#This Row],[PREÇO]])/Table_1[[#This Row],[PREÇO JUSTO BAZIN]]</f>
        <v/>
      </c>
      <c r="V297" s="129">
        <f>Table_1[[#This Row],[DPA]]/6%</f>
        <v/>
      </c>
      <c r="W297" s="129">
        <f>Table_1[[#This Row],[PREÇO JUSTO BAZIN]]/(1+Table_1[[#This Row],[MARGEM DE DESCONTO]])</f>
        <v/>
      </c>
      <c r="X297" s="64">
        <f>(Table_1[[#This Row],[PREÇO JUSTO GRAHAM]]-Table_1[[#This Row],[PREÇO]])/Table_1[[#This Row],[PREÇO JUSTO GRAHAM]]</f>
        <v/>
      </c>
      <c r="Y297" s="129">
        <f>(22.5*Table_1[[#This Row],[LPA]]*Table_1[[#This Row],[VPA]])^0.5</f>
        <v/>
      </c>
      <c r="Z297" s="129">
        <f>Table_1[[#This Row],[PREÇO JUSTO GRAHAM]]/(1+Table_1[[#This Row],[MARGEM DE DESCONTO]])</f>
        <v/>
      </c>
      <c r="AA297" s="64">
        <f>(Table_1[[#This Row],[PREÇO JUSTO GORDON]]-Table_1[[#This Row],[PREÇO]])/Table_1[[#This Row],[PREÇO JUSTO GORDON]]</f>
        <v/>
      </c>
      <c r="AB297" s="130">
        <f>Table_1[[#This Row],[DPA]]*(1+Table_1[[#This Row],[MÉDIA DE CRESCIMENTO]])</f>
        <v/>
      </c>
      <c r="AC297" s="130">
        <f>Table_1[[#This Row],[D1]]/(Table_1[[#This Row],[RISCO]]-Table_1[[#This Row],[MÉDIA DE CRESCIMENTO]])</f>
        <v/>
      </c>
      <c r="AD297" s="130">
        <f>Table_1[[#This Row],[PREÇO JUSTO GORDON]]/(1+Table_1[[#This Row],[MARGEM DE DESCONTO]])</f>
        <v/>
      </c>
      <c r="AE297" s="78">
        <f>Table_1[[#This Row],[P/L]]/Table_1[[#This Row],[MÉDIA DE CRESCIMENTO]]</f>
        <v/>
      </c>
    </row>
    <row r="298" ht="15.75" customHeight="1">
      <c r="B298" s="77">
        <f>'Dados Status Invest'!A284</f>
        <v/>
      </c>
      <c r="C298" s="60">
        <f>VLOOKUP(Table_1[[#This Row],[AÇÕES]],'Classificação B3'!A:B,2,0)</f>
        <v/>
      </c>
      <c r="D298" s="60">
        <f>VLOOKUP(Table_1[[#This Row],[AÇÕES]],'Classificação B3'!A:D,4,0)</f>
        <v/>
      </c>
      <c r="E298" s="60">
        <f>VLOOKUP(Table_1[[#This Row],[AÇÕES]],'Classificação B3'!A:F,6,0)</f>
        <v/>
      </c>
      <c r="F298" s="60">
        <f>VLOOKUP(Table_1[[#This Row],[AÇÕES]],'Classificação B3'!A:G,7,0)</f>
        <v/>
      </c>
      <c r="G298" s="61">
        <f>VLOOKUP(Table_1[[#This Row],[AÇÕES]],'Dados Status Invest'!A:B,2,0)</f>
        <v/>
      </c>
      <c r="H298" s="62">
        <f>VLOOKUP(Table_1[[#This Row],[AÇÕES]],'Dados Status Invest'!A:C,3,0)/100</f>
        <v/>
      </c>
      <c r="I298" s="62">
        <f>VLOOKUP(Table_1[[#This Row],[AÇÕES]],'Dados Status Invest'!A:D,4,0)/100</f>
        <v/>
      </c>
      <c r="J298" s="63">
        <f>VLOOKUP(Table_1[[#This Row],[AÇÕES]],'Dados Status Invest'!A:AB,28,0)</f>
        <v/>
      </c>
      <c r="K298" s="63">
        <f>VLOOKUP(Table_1[[#This Row],[AÇÕES]],'Dados Status Invest'!A:AA,27,0)</f>
        <v/>
      </c>
      <c r="L298" s="63">
        <f>Table_1[[#This Row],[PREÇO]]*Table_1[[#This Row],[DY]]</f>
        <v/>
      </c>
      <c r="M298" s="62">
        <f>$E$13</f>
        <v/>
      </c>
      <c r="N298" s="62" t="n">
        <v>0.3</v>
      </c>
      <c r="O298" s="62">
        <f>Table_1[[#This Row],[DPA]]/Table_1[[#This Row],[LPA]]</f>
        <v/>
      </c>
      <c r="P298" s="62">
        <f>IF(Table_1[[#This Row],[PAYOUT]]&lt;=40%,"CRESCIMENTO",IF(Table_1[[#This Row],[PAYOUT]]&lt;=60%,"INDEFINIDO","DIVIDENDOS"))</f>
        <v/>
      </c>
      <c r="Q298" s="62">
        <f>VLOOKUP(Table_1[[#This Row],[AÇÕES]],'Dados Status Invest'!A:R,18,0)/100</f>
        <v/>
      </c>
      <c r="R298" s="62">
        <f>VLOOKUP(Table_1[[#This Row],[AÇÕES]],'Dados Status Invest'!A:Y,25,0)/100</f>
        <v/>
      </c>
      <c r="S298" s="62">
        <f>(1-Table_1[[#This Row],[PAYOUT]])*Table_1[[#This Row],[ROE]]</f>
        <v/>
      </c>
      <c r="T298" s="98">
        <f>AVERAGE(Table_1[[#This Row],[CAGR LUCRO 5A]],Table_1[[#This Row],[CRESCIMENTO DAMODARAN]])</f>
        <v/>
      </c>
      <c r="U298" s="64">
        <f>(Table_1[[#This Row],[PREÇO JUSTO BAZIN]]-Table_1[[#This Row],[PREÇO]])/Table_1[[#This Row],[PREÇO JUSTO BAZIN]]</f>
        <v/>
      </c>
      <c r="V298" s="129">
        <f>Table_1[[#This Row],[DPA]]/6%</f>
        <v/>
      </c>
      <c r="W298" s="129">
        <f>Table_1[[#This Row],[PREÇO JUSTO BAZIN]]/(1+Table_1[[#This Row],[MARGEM DE DESCONTO]])</f>
        <v/>
      </c>
      <c r="X298" s="64">
        <f>(Table_1[[#This Row],[PREÇO JUSTO GRAHAM]]-Table_1[[#This Row],[PREÇO]])/Table_1[[#This Row],[PREÇO JUSTO GRAHAM]]</f>
        <v/>
      </c>
      <c r="Y298" s="129">
        <f>(22.5*Table_1[[#This Row],[LPA]]*Table_1[[#This Row],[VPA]])^0.5</f>
        <v/>
      </c>
      <c r="Z298" s="129">
        <f>Table_1[[#This Row],[PREÇO JUSTO GRAHAM]]/(1+Table_1[[#This Row],[MARGEM DE DESCONTO]])</f>
        <v/>
      </c>
      <c r="AA298" s="64">
        <f>(Table_1[[#This Row],[PREÇO JUSTO GORDON]]-Table_1[[#This Row],[PREÇO]])/Table_1[[#This Row],[PREÇO JUSTO GORDON]]</f>
        <v/>
      </c>
      <c r="AB298" s="130">
        <f>Table_1[[#This Row],[DPA]]*(1+Table_1[[#This Row],[MÉDIA DE CRESCIMENTO]])</f>
        <v/>
      </c>
      <c r="AC298" s="130">
        <f>Table_1[[#This Row],[D1]]/(Table_1[[#This Row],[RISCO]]-Table_1[[#This Row],[MÉDIA DE CRESCIMENTO]])</f>
        <v/>
      </c>
      <c r="AD298" s="130">
        <f>Table_1[[#This Row],[PREÇO JUSTO GORDON]]/(1+Table_1[[#This Row],[MARGEM DE DESCONTO]])</f>
        <v/>
      </c>
      <c r="AE298" s="78">
        <f>Table_1[[#This Row],[P/L]]/Table_1[[#This Row],[MÉDIA DE CRESCIMENTO]]</f>
        <v/>
      </c>
    </row>
    <row r="299" ht="15.75" customHeight="1">
      <c r="B299" s="77">
        <f>'Dados Status Invest'!A285</f>
        <v/>
      </c>
      <c r="C299" s="60">
        <f>VLOOKUP(Table_1[[#This Row],[AÇÕES]],'Classificação B3'!A:B,2,0)</f>
        <v/>
      </c>
      <c r="D299" s="60">
        <f>VLOOKUP(Table_1[[#This Row],[AÇÕES]],'Classificação B3'!A:D,4,0)</f>
        <v/>
      </c>
      <c r="E299" s="60">
        <f>VLOOKUP(Table_1[[#This Row],[AÇÕES]],'Classificação B3'!A:F,6,0)</f>
        <v/>
      </c>
      <c r="F299" s="60">
        <f>VLOOKUP(Table_1[[#This Row],[AÇÕES]],'Classificação B3'!A:G,7,0)</f>
        <v/>
      </c>
      <c r="G299" s="61">
        <f>VLOOKUP(Table_1[[#This Row],[AÇÕES]],'Dados Status Invest'!A:B,2,0)</f>
        <v/>
      </c>
      <c r="H299" s="62">
        <f>VLOOKUP(Table_1[[#This Row],[AÇÕES]],'Dados Status Invest'!A:C,3,0)/100</f>
        <v/>
      </c>
      <c r="I299" s="62">
        <f>VLOOKUP(Table_1[[#This Row],[AÇÕES]],'Dados Status Invest'!A:D,4,0)/100</f>
        <v/>
      </c>
      <c r="J299" s="63">
        <f>VLOOKUP(Table_1[[#This Row],[AÇÕES]],'Dados Status Invest'!A:AB,28,0)</f>
        <v/>
      </c>
      <c r="K299" s="63">
        <f>VLOOKUP(Table_1[[#This Row],[AÇÕES]],'Dados Status Invest'!A:AA,27,0)</f>
        <v/>
      </c>
      <c r="L299" s="63">
        <f>Table_1[[#This Row],[PREÇO]]*Table_1[[#This Row],[DY]]</f>
        <v/>
      </c>
      <c r="M299" s="62">
        <f>$E$13</f>
        <v/>
      </c>
      <c r="N299" s="62" t="n">
        <v>0.3</v>
      </c>
      <c r="O299" s="62">
        <f>Table_1[[#This Row],[DPA]]/Table_1[[#This Row],[LPA]]</f>
        <v/>
      </c>
      <c r="P299" s="62">
        <f>IF(Table_1[[#This Row],[PAYOUT]]&lt;=40%,"CRESCIMENTO",IF(Table_1[[#This Row],[PAYOUT]]&lt;=60%,"INDEFINIDO","DIVIDENDOS"))</f>
        <v/>
      </c>
      <c r="Q299" s="62">
        <f>VLOOKUP(Table_1[[#This Row],[AÇÕES]],'Dados Status Invest'!A:R,18,0)/100</f>
        <v/>
      </c>
      <c r="R299" s="62">
        <f>VLOOKUP(Table_1[[#This Row],[AÇÕES]],'Dados Status Invest'!A:Y,25,0)/100</f>
        <v/>
      </c>
      <c r="S299" s="62">
        <f>(1-Table_1[[#This Row],[PAYOUT]])*Table_1[[#This Row],[ROE]]</f>
        <v/>
      </c>
      <c r="T299" s="98">
        <f>AVERAGE(Table_1[[#This Row],[CAGR LUCRO 5A]],Table_1[[#This Row],[CRESCIMENTO DAMODARAN]])</f>
        <v/>
      </c>
      <c r="U299" s="64">
        <f>(Table_1[[#This Row],[PREÇO JUSTO BAZIN]]-Table_1[[#This Row],[PREÇO]])/Table_1[[#This Row],[PREÇO JUSTO BAZIN]]</f>
        <v/>
      </c>
      <c r="V299" s="129">
        <f>Table_1[[#This Row],[DPA]]/6%</f>
        <v/>
      </c>
      <c r="W299" s="129">
        <f>Table_1[[#This Row],[PREÇO JUSTO BAZIN]]/(1+Table_1[[#This Row],[MARGEM DE DESCONTO]])</f>
        <v/>
      </c>
      <c r="X299" s="64">
        <f>(Table_1[[#This Row],[PREÇO JUSTO GRAHAM]]-Table_1[[#This Row],[PREÇO]])/Table_1[[#This Row],[PREÇO JUSTO GRAHAM]]</f>
        <v/>
      </c>
      <c r="Y299" s="129">
        <f>(22.5*Table_1[[#This Row],[LPA]]*Table_1[[#This Row],[VPA]])^0.5</f>
        <v/>
      </c>
      <c r="Z299" s="129">
        <f>Table_1[[#This Row],[PREÇO JUSTO GRAHAM]]/(1+Table_1[[#This Row],[MARGEM DE DESCONTO]])</f>
        <v/>
      </c>
      <c r="AA299" s="64">
        <f>(Table_1[[#This Row],[PREÇO JUSTO GORDON]]-Table_1[[#This Row],[PREÇO]])/Table_1[[#This Row],[PREÇO JUSTO GORDON]]</f>
        <v/>
      </c>
      <c r="AB299" s="130">
        <f>Table_1[[#This Row],[DPA]]*(1+Table_1[[#This Row],[MÉDIA DE CRESCIMENTO]])</f>
        <v/>
      </c>
      <c r="AC299" s="130">
        <f>Table_1[[#This Row],[D1]]/(Table_1[[#This Row],[RISCO]]-Table_1[[#This Row],[MÉDIA DE CRESCIMENTO]])</f>
        <v/>
      </c>
      <c r="AD299" s="130">
        <f>Table_1[[#This Row],[PREÇO JUSTO GORDON]]/(1+Table_1[[#This Row],[MARGEM DE DESCONTO]])</f>
        <v/>
      </c>
      <c r="AE299" s="78">
        <f>Table_1[[#This Row],[P/L]]/Table_1[[#This Row],[MÉDIA DE CRESCIMENTO]]</f>
        <v/>
      </c>
    </row>
    <row r="300" ht="15.75" customHeight="1">
      <c r="B300" s="77">
        <f>'Dados Status Invest'!A286</f>
        <v/>
      </c>
      <c r="C300" s="60">
        <f>VLOOKUP(Table_1[[#This Row],[AÇÕES]],'Classificação B3'!A:B,2,0)</f>
        <v/>
      </c>
      <c r="D300" s="60">
        <f>VLOOKUP(Table_1[[#This Row],[AÇÕES]],'Classificação B3'!A:D,4,0)</f>
        <v/>
      </c>
      <c r="E300" s="60">
        <f>VLOOKUP(Table_1[[#This Row],[AÇÕES]],'Classificação B3'!A:F,6,0)</f>
        <v/>
      </c>
      <c r="F300" s="60">
        <f>VLOOKUP(Table_1[[#This Row],[AÇÕES]],'Classificação B3'!A:G,7,0)</f>
        <v/>
      </c>
      <c r="G300" s="61">
        <f>VLOOKUP(Table_1[[#This Row],[AÇÕES]],'Dados Status Invest'!A:B,2,0)</f>
        <v/>
      </c>
      <c r="H300" s="62">
        <f>VLOOKUP(Table_1[[#This Row],[AÇÕES]],'Dados Status Invest'!A:C,3,0)/100</f>
        <v/>
      </c>
      <c r="I300" s="62">
        <f>VLOOKUP(Table_1[[#This Row],[AÇÕES]],'Dados Status Invest'!A:D,4,0)/100</f>
        <v/>
      </c>
      <c r="J300" s="63">
        <f>VLOOKUP(Table_1[[#This Row],[AÇÕES]],'Dados Status Invest'!A:AB,28,0)</f>
        <v/>
      </c>
      <c r="K300" s="63">
        <f>VLOOKUP(Table_1[[#This Row],[AÇÕES]],'Dados Status Invest'!A:AA,27,0)</f>
        <v/>
      </c>
      <c r="L300" s="63">
        <f>Table_1[[#This Row],[PREÇO]]*Table_1[[#This Row],[DY]]</f>
        <v/>
      </c>
      <c r="M300" s="62">
        <f>$E$13</f>
        <v/>
      </c>
      <c r="N300" s="62" t="n">
        <v>0.3</v>
      </c>
      <c r="O300" s="62">
        <f>Table_1[[#This Row],[DPA]]/Table_1[[#This Row],[LPA]]</f>
        <v/>
      </c>
      <c r="P300" s="62">
        <f>IF(Table_1[[#This Row],[PAYOUT]]&lt;=40%,"CRESCIMENTO",IF(Table_1[[#This Row],[PAYOUT]]&lt;=60%,"INDEFINIDO","DIVIDENDOS"))</f>
        <v/>
      </c>
      <c r="Q300" s="62">
        <f>VLOOKUP(Table_1[[#This Row],[AÇÕES]],'Dados Status Invest'!A:R,18,0)/100</f>
        <v/>
      </c>
      <c r="R300" s="62">
        <f>VLOOKUP(Table_1[[#This Row],[AÇÕES]],'Dados Status Invest'!A:Y,25,0)/100</f>
        <v/>
      </c>
      <c r="S300" s="62">
        <f>(1-Table_1[[#This Row],[PAYOUT]])*Table_1[[#This Row],[ROE]]</f>
        <v/>
      </c>
      <c r="T300" s="98">
        <f>AVERAGE(Table_1[[#This Row],[CAGR LUCRO 5A]],Table_1[[#This Row],[CRESCIMENTO DAMODARAN]])</f>
        <v/>
      </c>
      <c r="U300" s="64">
        <f>(Table_1[[#This Row],[PREÇO JUSTO BAZIN]]-Table_1[[#This Row],[PREÇO]])/Table_1[[#This Row],[PREÇO JUSTO BAZIN]]</f>
        <v/>
      </c>
      <c r="V300" s="129">
        <f>Table_1[[#This Row],[DPA]]/6%</f>
        <v/>
      </c>
      <c r="W300" s="129">
        <f>Table_1[[#This Row],[PREÇO JUSTO BAZIN]]/(1+Table_1[[#This Row],[MARGEM DE DESCONTO]])</f>
        <v/>
      </c>
      <c r="X300" s="64">
        <f>(Table_1[[#This Row],[PREÇO JUSTO GRAHAM]]-Table_1[[#This Row],[PREÇO]])/Table_1[[#This Row],[PREÇO JUSTO GRAHAM]]</f>
        <v/>
      </c>
      <c r="Y300" s="129">
        <f>(22.5*Table_1[[#This Row],[LPA]]*Table_1[[#This Row],[VPA]])^0.5</f>
        <v/>
      </c>
      <c r="Z300" s="129">
        <f>Table_1[[#This Row],[PREÇO JUSTO GRAHAM]]/(1+Table_1[[#This Row],[MARGEM DE DESCONTO]])</f>
        <v/>
      </c>
      <c r="AA300" s="64">
        <f>(Table_1[[#This Row],[PREÇO JUSTO GORDON]]-Table_1[[#This Row],[PREÇO]])/Table_1[[#This Row],[PREÇO JUSTO GORDON]]</f>
        <v/>
      </c>
      <c r="AB300" s="130">
        <f>Table_1[[#This Row],[DPA]]*(1+Table_1[[#This Row],[MÉDIA DE CRESCIMENTO]])</f>
        <v/>
      </c>
      <c r="AC300" s="130">
        <f>Table_1[[#This Row],[D1]]/(Table_1[[#This Row],[RISCO]]-Table_1[[#This Row],[MÉDIA DE CRESCIMENTO]])</f>
        <v/>
      </c>
      <c r="AD300" s="130">
        <f>Table_1[[#This Row],[PREÇO JUSTO GORDON]]/(1+Table_1[[#This Row],[MARGEM DE DESCONTO]])</f>
        <v/>
      </c>
      <c r="AE300" s="78">
        <f>Table_1[[#This Row],[P/L]]/Table_1[[#This Row],[MÉDIA DE CRESCIMENTO]]</f>
        <v/>
      </c>
    </row>
    <row r="301" ht="15.75" customHeight="1">
      <c r="B301" s="77">
        <f>'Dados Status Invest'!A287</f>
        <v/>
      </c>
      <c r="C301" s="60">
        <f>VLOOKUP(Table_1[[#This Row],[AÇÕES]],'Classificação B3'!A:B,2,0)</f>
        <v/>
      </c>
      <c r="D301" s="60">
        <f>VLOOKUP(Table_1[[#This Row],[AÇÕES]],'Classificação B3'!A:D,4,0)</f>
        <v/>
      </c>
      <c r="E301" s="60">
        <f>VLOOKUP(Table_1[[#This Row],[AÇÕES]],'Classificação B3'!A:F,6,0)</f>
        <v/>
      </c>
      <c r="F301" s="60">
        <f>VLOOKUP(Table_1[[#This Row],[AÇÕES]],'Classificação B3'!A:G,7,0)</f>
        <v/>
      </c>
      <c r="G301" s="61">
        <f>VLOOKUP(Table_1[[#This Row],[AÇÕES]],'Dados Status Invest'!A:B,2,0)</f>
        <v/>
      </c>
      <c r="H301" s="62">
        <f>VLOOKUP(Table_1[[#This Row],[AÇÕES]],'Dados Status Invest'!A:C,3,0)/100</f>
        <v/>
      </c>
      <c r="I301" s="62">
        <f>VLOOKUP(Table_1[[#This Row],[AÇÕES]],'Dados Status Invest'!A:D,4,0)/100</f>
        <v/>
      </c>
      <c r="J301" s="63">
        <f>VLOOKUP(Table_1[[#This Row],[AÇÕES]],'Dados Status Invest'!A:AB,28,0)</f>
        <v/>
      </c>
      <c r="K301" s="63">
        <f>VLOOKUP(Table_1[[#This Row],[AÇÕES]],'Dados Status Invest'!A:AA,27,0)</f>
        <v/>
      </c>
      <c r="L301" s="63">
        <f>Table_1[[#This Row],[PREÇO]]*Table_1[[#This Row],[DY]]</f>
        <v/>
      </c>
      <c r="M301" s="62">
        <f>$E$13</f>
        <v/>
      </c>
      <c r="N301" s="62" t="n">
        <v>0.3</v>
      </c>
      <c r="O301" s="62">
        <f>Table_1[[#This Row],[DPA]]/Table_1[[#This Row],[LPA]]</f>
        <v/>
      </c>
      <c r="P301" s="62">
        <f>IF(Table_1[[#This Row],[PAYOUT]]&lt;=40%,"CRESCIMENTO",IF(Table_1[[#This Row],[PAYOUT]]&lt;=60%,"INDEFINIDO","DIVIDENDOS"))</f>
        <v/>
      </c>
      <c r="Q301" s="62">
        <f>VLOOKUP(Table_1[[#This Row],[AÇÕES]],'Dados Status Invest'!A:R,18,0)/100</f>
        <v/>
      </c>
      <c r="R301" s="62">
        <f>VLOOKUP(Table_1[[#This Row],[AÇÕES]],'Dados Status Invest'!A:Y,25,0)/100</f>
        <v/>
      </c>
      <c r="S301" s="62">
        <f>(1-Table_1[[#This Row],[PAYOUT]])*Table_1[[#This Row],[ROE]]</f>
        <v/>
      </c>
      <c r="T301" s="98">
        <f>AVERAGE(Table_1[[#This Row],[CAGR LUCRO 5A]],Table_1[[#This Row],[CRESCIMENTO DAMODARAN]])</f>
        <v/>
      </c>
      <c r="U301" s="64">
        <f>(Table_1[[#This Row],[PREÇO JUSTO BAZIN]]-Table_1[[#This Row],[PREÇO]])/Table_1[[#This Row],[PREÇO JUSTO BAZIN]]</f>
        <v/>
      </c>
      <c r="V301" s="129">
        <f>Table_1[[#This Row],[DPA]]/6%</f>
        <v/>
      </c>
      <c r="W301" s="129">
        <f>Table_1[[#This Row],[PREÇO JUSTO BAZIN]]/(1+Table_1[[#This Row],[MARGEM DE DESCONTO]])</f>
        <v/>
      </c>
      <c r="X301" s="64">
        <f>(Table_1[[#This Row],[PREÇO JUSTO GRAHAM]]-Table_1[[#This Row],[PREÇO]])/Table_1[[#This Row],[PREÇO JUSTO GRAHAM]]</f>
        <v/>
      </c>
      <c r="Y301" s="129">
        <f>(22.5*Table_1[[#This Row],[LPA]]*Table_1[[#This Row],[VPA]])^0.5</f>
        <v/>
      </c>
      <c r="Z301" s="129">
        <f>Table_1[[#This Row],[PREÇO JUSTO GRAHAM]]/(1+Table_1[[#This Row],[MARGEM DE DESCONTO]])</f>
        <v/>
      </c>
      <c r="AA301" s="64">
        <f>(Table_1[[#This Row],[PREÇO JUSTO GORDON]]-Table_1[[#This Row],[PREÇO]])/Table_1[[#This Row],[PREÇO JUSTO GORDON]]</f>
        <v/>
      </c>
      <c r="AB301" s="130">
        <f>Table_1[[#This Row],[DPA]]*(1+Table_1[[#This Row],[MÉDIA DE CRESCIMENTO]])</f>
        <v/>
      </c>
      <c r="AC301" s="130">
        <f>Table_1[[#This Row],[D1]]/(Table_1[[#This Row],[RISCO]]-Table_1[[#This Row],[MÉDIA DE CRESCIMENTO]])</f>
        <v/>
      </c>
      <c r="AD301" s="130">
        <f>Table_1[[#This Row],[PREÇO JUSTO GORDON]]/(1+Table_1[[#This Row],[MARGEM DE DESCONTO]])</f>
        <v/>
      </c>
      <c r="AE301" s="78">
        <f>Table_1[[#This Row],[P/L]]/Table_1[[#This Row],[MÉDIA DE CRESCIMENTO]]</f>
        <v/>
      </c>
    </row>
    <row r="302" ht="15.75" customHeight="1">
      <c r="B302" s="77">
        <f>'Dados Status Invest'!A288</f>
        <v/>
      </c>
      <c r="C302" s="60">
        <f>VLOOKUP(Table_1[[#This Row],[AÇÕES]],'Classificação B3'!A:B,2,0)</f>
        <v/>
      </c>
      <c r="D302" s="60">
        <f>VLOOKUP(Table_1[[#This Row],[AÇÕES]],'Classificação B3'!A:D,4,0)</f>
        <v/>
      </c>
      <c r="E302" s="60">
        <f>VLOOKUP(Table_1[[#This Row],[AÇÕES]],'Classificação B3'!A:F,6,0)</f>
        <v/>
      </c>
      <c r="F302" s="60">
        <f>VLOOKUP(Table_1[[#This Row],[AÇÕES]],'Classificação B3'!A:G,7,0)</f>
        <v/>
      </c>
      <c r="G302" s="61">
        <f>VLOOKUP(Table_1[[#This Row],[AÇÕES]],'Dados Status Invest'!A:B,2,0)</f>
        <v/>
      </c>
      <c r="H302" s="62">
        <f>VLOOKUP(Table_1[[#This Row],[AÇÕES]],'Dados Status Invest'!A:C,3,0)/100</f>
        <v/>
      </c>
      <c r="I302" s="62">
        <f>VLOOKUP(Table_1[[#This Row],[AÇÕES]],'Dados Status Invest'!A:D,4,0)/100</f>
        <v/>
      </c>
      <c r="J302" s="63">
        <f>VLOOKUP(Table_1[[#This Row],[AÇÕES]],'Dados Status Invest'!A:AB,28,0)</f>
        <v/>
      </c>
      <c r="K302" s="63">
        <f>VLOOKUP(Table_1[[#This Row],[AÇÕES]],'Dados Status Invest'!A:AA,27,0)</f>
        <v/>
      </c>
      <c r="L302" s="63">
        <f>Table_1[[#This Row],[PREÇO]]*Table_1[[#This Row],[DY]]</f>
        <v/>
      </c>
      <c r="M302" s="62">
        <f>$E$13</f>
        <v/>
      </c>
      <c r="N302" s="62" t="n">
        <v>0.3</v>
      </c>
      <c r="O302" s="62">
        <f>Table_1[[#This Row],[DPA]]/Table_1[[#This Row],[LPA]]</f>
        <v/>
      </c>
      <c r="P302" s="62">
        <f>IF(Table_1[[#This Row],[PAYOUT]]&lt;=40%,"CRESCIMENTO",IF(Table_1[[#This Row],[PAYOUT]]&lt;=60%,"INDEFINIDO","DIVIDENDOS"))</f>
        <v/>
      </c>
      <c r="Q302" s="62">
        <f>VLOOKUP(Table_1[[#This Row],[AÇÕES]],'Dados Status Invest'!A:R,18,0)/100</f>
        <v/>
      </c>
      <c r="R302" s="62">
        <f>VLOOKUP(Table_1[[#This Row],[AÇÕES]],'Dados Status Invest'!A:Y,25,0)/100</f>
        <v/>
      </c>
      <c r="S302" s="62">
        <f>(1-Table_1[[#This Row],[PAYOUT]])*Table_1[[#This Row],[ROE]]</f>
        <v/>
      </c>
      <c r="T302" s="98">
        <f>AVERAGE(Table_1[[#This Row],[CAGR LUCRO 5A]],Table_1[[#This Row],[CRESCIMENTO DAMODARAN]])</f>
        <v/>
      </c>
      <c r="U302" s="64">
        <f>(Table_1[[#This Row],[PREÇO JUSTO BAZIN]]-Table_1[[#This Row],[PREÇO]])/Table_1[[#This Row],[PREÇO JUSTO BAZIN]]</f>
        <v/>
      </c>
      <c r="V302" s="129">
        <f>Table_1[[#This Row],[DPA]]/6%</f>
        <v/>
      </c>
      <c r="W302" s="129">
        <f>Table_1[[#This Row],[PREÇO JUSTO BAZIN]]/(1+Table_1[[#This Row],[MARGEM DE DESCONTO]])</f>
        <v/>
      </c>
      <c r="X302" s="64">
        <f>(Table_1[[#This Row],[PREÇO JUSTO GRAHAM]]-Table_1[[#This Row],[PREÇO]])/Table_1[[#This Row],[PREÇO JUSTO GRAHAM]]</f>
        <v/>
      </c>
      <c r="Y302" s="129">
        <f>(22.5*Table_1[[#This Row],[LPA]]*Table_1[[#This Row],[VPA]])^0.5</f>
        <v/>
      </c>
      <c r="Z302" s="129">
        <f>Table_1[[#This Row],[PREÇO JUSTO GRAHAM]]/(1+Table_1[[#This Row],[MARGEM DE DESCONTO]])</f>
        <v/>
      </c>
      <c r="AA302" s="64">
        <f>(Table_1[[#This Row],[PREÇO JUSTO GORDON]]-Table_1[[#This Row],[PREÇO]])/Table_1[[#This Row],[PREÇO JUSTO GORDON]]</f>
        <v/>
      </c>
      <c r="AB302" s="130">
        <f>Table_1[[#This Row],[DPA]]*(1+Table_1[[#This Row],[MÉDIA DE CRESCIMENTO]])</f>
        <v/>
      </c>
      <c r="AC302" s="130">
        <f>Table_1[[#This Row],[D1]]/(Table_1[[#This Row],[RISCO]]-Table_1[[#This Row],[MÉDIA DE CRESCIMENTO]])</f>
        <v/>
      </c>
      <c r="AD302" s="130">
        <f>Table_1[[#This Row],[PREÇO JUSTO GORDON]]/(1+Table_1[[#This Row],[MARGEM DE DESCONTO]])</f>
        <v/>
      </c>
      <c r="AE302" s="78">
        <f>Table_1[[#This Row],[P/L]]/Table_1[[#This Row],[MÉDIA DE CRESCIMENTO]]</f>
        <v/>
      </c>
    </row>
    <row r="303" ht="15.75" customHeight="1">
      <c r="B303" s="77">
        <f>'Dados Status Invest'!A289</f>
        <v/>
      </c>
      <c r="C303" s="60">
        <f>VLOOKUP(Table_1[[#This Row],[AÇÕES]],'Classificação B3'!A:B,2,0)</f>
        <v/>
      </c>
      <c r="D303" s="60">
        <f>VLOOKUP(Table_1[[#This Row],[AÇÕES]],'Classificação B3'!A:D,4,0)</f>
        <v/>
      </c>
      <c r="E303" s="60">
        <f>VLOOKUP(Table_1[[#This Row],[AÇÕES]],'Classificação B3'!A:F,6,0)</f>
        <v/>
      </c>
      <c r="F303" s="60">
        <f>VLOOKUP(Table_1[[#This Row],[AÇÕES]],'Classificação B3'!A:G,7,0)</f>
        <v/>
      </c>
      <c r="G303" s="61">
        <f>VLOOKUP(Table_1[[#This Row],[AÇÕES]],'Dados Status Invest'!A:B,2,0)</f>
        <v/>
      </c>
      <c r="H303" s="62">
        <f>VLOOKUP(Table_1[[#This Row],[AÇÕES]],'Dados Status Invest'!A:C,3,0)/100</f>
        <v/>
      </c>
      <c r="I303" s="62">
        <f>VLOOKUP(Table_1[[#This Row],[AÇÕES]],'Dados Status Invest'!A:D,4,0)/100</f>
        <v/>
      </c>
      <c r="J303" s="63">
        <f>VLOOKUP(Table_1[[#This Row],[AÇÕES]],'Dados Status Invest'!A:AB,28,0)</f>
        <v/>
      </c>
      <c r="K303" s="63">
        <f>VLOOKUP(Table_1[[#This Row],[AÇÕES]],'Dados Status Invest'!A:AA,27,0)</f>
        <v/>
      </c>
      <c r="L303" s="63">
        <f>Table_1[[#This Row],[PREÇO]]*Table_1[[#This Row],[DY]]</f>
        <v/>
      </c>
      <c r="M303" s="62">
        <f>$E$13</f>
        <v/>
      </c>
      <c r="N303" s="62" t="n">
        <v>0.3</v>
      </c>
      <c r="O303" s="62">
        <f>Table_1[[#This Row],[DPA]]/Table_1[[#This Row],[LPA]]</f>
        <v/>
      </c>
      <c r="P303" s="62">
        <f>IF(Table_1[[#This Row],[PAYOUT]]&lt;=40%,"CRESCIMENTO",IF(Table_1[[#This Row],[PAYOUT]]&lt;=60%,"INDEFINIDO","DIVIDENDOS"))</f>
        <v/>
      </c>
      <c r="Q303" s="62">
        <f>VLOOKUP(Table_1[[#This Row],[AÇÕES]],'Dados Status Invest'!A:R,18,0)/100</f>
        <v/>
      </c>
      <c r="R303" s="62">
        <f>VLOOKUP(Table_1[[#This Row],[AÇÕES]],'Dados Status Invest'!A:Y,25,0)/100</f>
        <v/>
      </c>
      <c r="S303" s="62">
        <f>(1-Table_1[[#This Row],[PAYOUT]])*Table_1[[#This Row],[ROE]]</f>
        <v/>
      </c>
      <c r="T303" s="98">
        <f>AVERAGE(Table_1[[#This Row],[CAGR LUCRO 5A]],Table_1[[#This Row],[CRESCIMENTO DAMODARAN]])</f>
        <v/>
      </c>
      <c r="U303" s="64">
        <f>(Table_1[[#This Row],[PREÇO JUSTO BAZIN]]-Table_1[[#This Row],[PREÇO]])/Table_1[[#This Row],[PREÇO JUSTO BAZIN]]</f>
        <v/>
      </c>
      <c r="V303" s="129">
        <f>Table_1[[#This Row],[DPA]]/6%</f>
        <v/>
      </c>
      <c r="W303" s="129">
        <f>Table_1[[#This Row],[PREÇO JUSTO BAZIN]]/(1+Table_1[[#This Row],[MARGEM DE DESCONTO]])</f>
        <v/>
      </c>
      <c r="X303" s="64">
        <f>(Table_1[[#This Row],[PREÇO JUSTO GRAHAM]]-Table_1[[#This Row],[PREÇO]])/Table_1[[#This Row],[PREÇO JUSTO GRAHAM]]</f>
        <v/>
      </c>
      <c r="Y303" s="129">
        <f>(22.5*Table_1[[#This Row],[LPA]]*Table_1[[#This Row],[VPA]])^0.5</f>
        <v/>
      </c>
      <c r="Z303" s="129">
        <f>Table_1[[#This Row],[PREÇO JUSTO GRAHAM]]/(1+Table_1[[#This Row],[MARGEM DE DESCONTO]])</f>
        <v/>
      </c>
      <c r="AA303" s="64">
        <f>(Table_1[[#This Row],[PREÇO JUSTO GORDON]]-Table_1[[#This Row],[PREÇO]])/Table_1[[#This Row],[PREÇO JUSTO GORDON]]</f>
        <v/>
      </c>
      <c r="AB303" s="130">
        <f>Table_1[[#This Row],[DPA]]*(1+Table_1[[#This Row],[MÉDIA DE CRESCIMENTO]])</f>
        <v/>
      </c>
      <c r="AC303" s="130">
        <f>Table_1[[#This Row],[D1]]/(Table_1[[#This Row],[RISCO]]-Table_1[[#This Row],[MÉDIA DE CRESCIMENTO]])</f>
        <v/>
      </c>
      <c r="AD303" s="130">
        <f>Table_1[[#This Row],[PREÇO JUSTO GORDON]]/(1+Table_1[[#This Row],[MARGEM DE DESCONTO]])</f>
        <v/>
      </c>
      <c r="AE303" s="78">
        <f>Table_1[[#This Row],[P/L]]/Table_1[[#This Row],[MÉDIA DE CRESCIMENTO]]</f>
        <v/>
      </c>
    </row>
    <row r="304" ht="15.75" customHeight="1">
      <c r="B304" s="77">
        <f>'Dados Status Invest'!A290</f>
        <v/>
      </c>
      <c r="C304" s="60">
        <f>VLOOKUP(Table_1[[#This Row],[AÇÕES]],'Classificação B3'!A:B,2,0)</f>
        <v/>
      </c>
      <c r="D304" s="60">
        <f>VLOOKUP(Table_1[[#This Row],[AÇÕES]],'Classificação B3'!A:D,4,0)</f>
        <v/>
      </c>
      <c r="E304" s="60">
        <f>VLOOKUP(Table_1[[#This Row],[AÇÕES]],'Classificação B3'!A:F,6,0)</f>
        <v/>
      </c>
      <c r="F304" s="60">
        <f>VLOOKUP(Table_1[[#This Row],[AÇÕES]],'Classificação B3'!A:G,7,0)</f>
        <v/>
      </c>
      <c r="G304" s="61">
        <f>VLOOKUP(Table_1[[#This Row],[AÇÕES]],'Dados Status Invest'!A:B,2,0)</f>
        <v/>
      </c>
      <c r="H304" s="62">
        <f>VLOOKUP(Table_1[[#This Row],[AÇÕES]],'Dados Status Invest'!A:C,3,0)/100</f>
        <v/>
      </c>
      <c r="I304" s="62">
        <f>VLOOKUP(Table_1[[#This Row],[AÇÕES]],'Dados Status Invest'!A:D,4,0)/100</f>
        <v/>
      </c>
      <c r="J304" s="63">
        <f>VLOOKUP(Table_1[[#This Row],[AÇÕES]],'Dados Status Invest'!A:AB,28,0)</f>
        <v/>
      </c>
      <c r="K304" s="63">
        <f>VLOOKUP(Table_1[[#This Row],[AÇÕES]],'Dados Status Invest'!A:AA,27,0)</f>
        <v/>
      </c>
      <c r="L304" s="63">
        <f>Table_1[[#This Row],[PREÇO]]*Table_1[[#This Row],[DY]]</f>
        <v/>
      </c>
      <c r="M304" s="62">
        <f>$E$13</f>
        <v/>
      </c>
      <c r="N304" s="62" t="n">
        <v>0.3</v>
      </c>
      <c r="O304" s="62">
        <f>Table_1[[#This Row],[DPA]]/Table_1[[#This Row],[LPA]]</f>
        <v/>
      </c>
      <c r="P304" s="62">
        <f>IF(Table_1[[#This Row],[PAYOUT]]&lt;=40%,"CRESCIMENTO",IF(Table_1[[#This Row],[PAYOUT]]&lt;=60%,"INDEFINIDO","DIVIDENDOS"))</f>
        <v/>
      </c>
      <c r="Q304" s="62">
        <f>VLOOKUP(Table_1[[#This Row],[AÇÕES]],'Dados Status Invest'!A:R,18,0)/100</f>
        <v/>
      </c>
      <c r="R304" s="62">
        <f>VLOOKUP(Table_1[[#This Row],[AÇÕES]],'Dados Status Invest'!A:Y,25,0)/100</f>
        <v/>
      </c>
      <c r="S304" s="62">
        <f>(1-Table_1[[#This Row],[PAYOUT]])*Table_1[[#This Row],[ROE]]</f>
        <v/>
      </c>
      <c r="T304" s="98">
        <f>AVERAGE(Table_1[[#This Row],[CAGR LUCRO 5A]],Table_1[[#This Row],[CRESCIMENTO DAMODARAN]])</f>
        <v/>
      </c>
      <c r="U304" s="64">
        <f>(Table_1[[#This Row],[PREÇO JUSTO BAZIN]]-Table_1[[#This Row],[PREÇO]])/Table_1[[#This Row],[PREÇO JUSTO BAZIN]]</f>
        <v/>
      </c>
      <c r="V304" s="129">
        <f>Table_1[[#This Row],[DPA]]/6%</f>
        <v/>
      </c>
      <c r="W304" s="129">
        <f>Table_1[[#This Row],[PREÇO JUSTO BAZIN]]/(1+Table_1[[#This Row],[MARGEM DE DESCONTO]])</f>
        <v/>
      </c>
      <c r="X304" s="64">
        <f>(Table_1[[#This Row],[PREÇO JUSTO GRAHAM]]-Table_1[[#This Row],[PREÇO]])/Table_1[[#This Row],[PREÇO JUSTO GRAHAM]]</f>
        <v/>
      </c>
      <c r="Y304" s="129">
        <f>(22.5*Table_1[[#This Row],[LPA]]*Table_1[[#This Row],[VPA]])^0.5</f>
        <v/>
      </c>
      <c r="Z304" s="129">
        <f>Table_1[[#This Row],[PREÇO JUSTO GRAHAM]]/(1+Table_1[[#This Row],[MARGEM DE DESCONTO]])</f>
        <v/>
      </c>
      <c r="AA304" s="64">
        <f>(Table_1[[#This Row],[PREÇO JUSTO GORDON]]-Table_1[[#This Row],[PREÇO]])/Table_1[[#This Row],[PREÇO JUSTO GORDON]]</f>
        <v/>
      </c>
      <c r="AB304" s="130">
        <f>Table_1[[#This Row],[DPA]]*(1+Table_1[[#This Row],[MÉDIA DE CRESCIMENTO]])</f>
        <v/>
      </c>
      <c r="AC304" s="130">
        <f>Table_1[[#This Row],[D1]]/(Table_1[[#This Row],[RISCO]]-Table_1[[#This Row],[MÉDIA DE CRESCIMENTO]])</f>
        <v/>
      </c>
      <c r="AD304" s="130">
        <f>Table_1[[#This Row],[PREÇO JUSTO GORDON]]/(1+Table_1[[#This Row],[MARGEM DE DESCONTO]])</f>
        <v/>
      </c>
      <c r="AE304" s="78">
        <f>Table_1[[#This Row],[P/L]]/Table_1[[#This Row],[MÉDIA DE CRESCIMENTO]]</f>
        <v/>
      </c>
    </row>
    <row r="305" ht="15.75" customHeight="1">
      <c r="B305" s="77">
        <f>'Dados Status Invest'!A291</f>
        <v/>
      </c>
      <c r="C305" s="60">
        <f>VLOOKUP(Table_1[[#This Row],[AÇÕES]],'Classificação B3'!A:B,2,0)</f>
        <v/>
      </c>
      <c r="D305" s="60">
        <f>VLOOKUP(Table_1[[#This Row],[AÇÕES]],'Classificação B3'!A:D,4,0)</f>
        <v/>
      </c>
      <c r="E305" s="60">
        <f>VLOOKUP(Table_1[[#This Row],[AÇÕES]],'Classificação B3'!A:F,6,0)</f>
        <v/>
      </c>
      <c r="F305" s="60">
        <f>VLOOKUP(Table_1[[#This Row],[AÇÕES]],'Classificação B3'!A:G,7,0)</f>
        <v/>
      </c>
      <c r="G305" s="61">
        <f>VLOOKUP(Table_1[[#This Row],[AÇÕES]],'Dados Status Invest'!A:B,2,0)</f>
        <v/>
      </c>
      <c r="H305" s="62">
        <f>VLOOKUP(Table_1[[#This Row],[AÇÕES]],'Dados Status Invest'!A:C,3,0)/100</f>
        <v/>
      </c>
      <c r="I305" s="62">
        <f>VLOOKUP(Table_1[[#This Row],[AÇÕES]],'Dados Status Invest'!A:D,4,0)/100</f>
        <v/>
      </c>
      <c r="J305" s="63">
        <f>VLOOKUP(Table_1[[#This Row],[AÇÕES]],'Dados Status Invest'!A:AB,28,0)</f>
        <v/>
      </c>
      <c r="K305" s="63">
        <f>VLOOKUP(Table_1[[#This Row],[AÇÕES]],'Dados Status Invest'!A:AA,27,0)</f>
        <v/>
      </c>
      <c r="L305" s="63">
        <f>Table_1[[#This Row],[PREÇO]]*Table_1[[#This Row],[DY]]</f>
        <v/>
      </c>
      <c r="M305" s="62">
        <f>$E$13</f>
        <v/>
      </c>
      <c r="N305" s="62" t="n">
        <v>0.3</v>
      </c>
      <c r="O305" s="62">
        <f>Table_1[[#This Row],[DPA]]/Table_1[[#This Row],[LPA]]</f>
        <v/>
      </c>
      <c r="P305" s="62">
        <f>IF(Table_1[[#This Row],[PAYOUT]]&lt;=40%,"CRESCIMENTO",IF(Table_1[[#This Row],[PAYOUT]]&lt;=60%,"INDEFINIDO","DIVIDENDOS"))</f>
        <v/>
      </c>
      <c r="Q305" s="62">
        <f>VLOOKUP(Table_1[[#This Row],[AÇÕES]],'Dados Status Invest'!A:R,18,0)/100</f>
        <v/>
      </c>
      <c r="R305" s="62">
        <f>VLOOKUP(Table_1[[#This Row],[AÇÕES]],'Dados Status Invest'!A:Y,25,0)/100</f>
        <v/>
      </c>
      <c r="S305" s="62">
        <f>(1-Table_1[[#This Row],[PAYOUT]])*Table_1[[#This Row],[ROE]]</f>
        <v/>
      </c>
      <c r="T305" s="98">
        <f>AVERAGE(Table_1[[#This Row],[CAGR LUCRO 5A]],Table_1[[#This Row],[CRESCIMENTO DAMODARAN]])</f>
        <v/>
      </c>
      <c r="U305" s="64">
        <f>(Table_1[[#This Row],[PREÇO JUSTO BAZIN]]-Table_1[[#This Row],[PREÇO]])/Table_1[[#This Row],[PREÇO JUSTO BAZIN]]</f>
        <v/>
      </c>
      <c r="V305" s="129">
        <f>Table_1[[#This Row],[DPA]]/6%</f>
        <v/>
      </c>
      <c r="W305" s="129">
        <f>Table_1[[#This Row],[PREÇO JUSTO BAZIN]]/(1+Table_1[[#This Row],[MARGEM DE DESCONTO]])</f>
        <v/>
      </c>
      <c r="X305" s="64">
        <f>(Table_1[[#This Row],[PREÇO JUSTO GRAHAM]]-Table_1[[#This Row],[PREÇO]])/Table_1[[#This Row],[PREÇO JUSTO GRAHAM]]</f>
        <v/>
      </c>
      <c r="Y305" s="129">
        <f>(22.5*Table_1[[#This Row],[LPA]]*Table_1[[#This Row],[VPA]])^0.5</f>
        <v/>
      </c>
      <c r="Z305" s="129">
        <f>Table_1[[#This Row],[PREÇO JUSTO GRAHAM]]/(1+Table_1[[#This Row],[MARGEM DE DESCONTO]])</f>
        <v/>
      </c>
      <c r="AA305" s="64">
        <f>(Table_1[[#This Row],[PREÇO JUSTO GORDON]]-Table_1[[#This Row],[PREÇO]])/Table_1[[#This Row],[PREÇO JUSTO GORDON]]</f>
        <v/>
      </c>
      <c r="AB305" s="130">
        <f>Table_1[[#This Row],[DPA]]*(1+Table_1[[#This Row],[MÉDIA DE CRESCIMENTO]])</f>
        <v/>
      </c>
      <c r="AC305" s="130">
        <f>Table_1[[#This Row],[D1]]/(Table_1[[#This Row],[RISCO]]-Table_1[[#This Row],[MÉDIA DE CRESCIMENTO]])</f>
        <v/>
      </c>
      <c r="AD305" s="130">
        <f>Table_1[[#This Row],[PREÇO JUSTO GORDON]]/(1+Table_1[[#This Row],[MARGEM DE DESCONTO]])</f>
        <v/>
      </c>
      <c r="AE305" s="78">
        <f>Table_1[[#This Row],[P/L]]/Table_1[[#This Row],[MÉDIA DE CRESCIMENTO]]</f>
        <v/>
      </c>
    </row>
    <row r="306" ht="15.75" customHeight="1">
      <c r="B306" s="77">
        <f>'Dados Status Invest'!A292</f>
        <v/>
      </c>
      <c r="C306" s="60">
        <f>VLOOKUP(Table_1[[#This Row],[AÇÕES]],'Classificação B3'!A:B,2,0)</f>
        <v/>
      </c>
      <c r="D306" s="60">
        <f>VLOOKUP(Table_1[[#This Row],[AÇÕES]],'Classificação B3'!A:D,4,0)</f>
        <v/>
      </c>
      <c r="E306" s="60">
        <f>VLOOKUP(Table_1[[#This Row],[AÇÕES]],'Classificação B3'!A:F,6,0)</f>
        <v/>
      </c>
      <c r="F306" s="60">
        <f>VLOOKUP(Table_1[[#This Row],[AÇÕES]],'Classificação B3'!A:G,7,0)</f>
        <v/>
      </c>
      <c r="G306" s="61">
        <f>VLOOKUP(Table_1[[#This Row],[AÇÕES]],'Dados Status Invest'!A:B,2,0)</f>
        <v/>
      </c>
      <c r="H306" s="62">
        <f>VLOOKUP(Table_1[[#This Row],[AÇÕES]],'Dados Status Invest'!A:C,3,0)/100</f>
        <v/>
      </c>
      <c r="I306" s="62">
        <f>VLOOKUP(Table_1[[#This Row],[AÇÕES]],'Dados Status Invest'!A:D,4,0)/100</f>
        <v/>
      </c>
      <c r="J306" s="63">
        <f>VLOOKUP(Table_1[[#This Row],[AÇÕES]],'Dados Status Invest'!A:AB,28,0)</f>
        <v/>
      </c>
      <c r="K306" s="63">
        <f>VLOOKUP(Table_1[[#This Row],[AÇÕES]],'Dados Status Invest'!A:AA,27,0)</f>
        <v/>
      </c>
      <c r="L306" s="63">
        <f>Table_1[[#This Row],[PREÇO]]*Table_1[[#This Row],[DY]]</f>
        <v/>
      </c>
      <c r="M306" s="62">
        <f>$E$13</f>
        <v/>
      </c>
      <c r="N306" s="62" t="n">
        <v>0.3</v>
      </c>
      <c r="O306" s="62">
        <f>Table_1[[#This Row],[DPA]]/Table_1[[#This Row],[LPA]]</f>
        <v/>
      </c>
      <c r="P306" s="62">
        <f>IF(Table_1[[#This Row],[PAYOUT]]&lt;=40%,"CRESCIMENTO",IF(Table_1[[#This Row],[PAYOUT]]&lt;=60%,"INDEFINIDO","DIVIDENDOS"))</f>
        <v/>
      </c>
      <c r="Q306" s="62">
        <f>VLOOKUP(Table_1[[#This Row],[AÇÕES]],'Dados Status Invest'!A:R,18,0)/100</f>
        <v/>
      </c>
      <c r="R306" s="62">
        <f>VLOOKUP(Table_1[[#This Row],[AÇÕES]],'Dados Status Invest'!A:Y,25,0)/100</f>
        <v/>
      </c>
      <c r="S306" s="62">
        <f>(1-Table_1[[#This Row],[PAYOUT]])*Table_1[[#This Row],[ROE]]</f>
        <v/>
      </c>
      <c r="T306" s="98">
        <f>AVERAGE(Table_1[[#This Row],[CAGR LUCRO 5A]],Table_1[[#This Row],[CRESCIMENTO DAMODARAN]])</f>
        <v/>
      </c>
      <c r="U306" s="64">
        <f>(Table_1[[#This Row],[PREÇO JUSTO BAZIN]]-Table_1[[#This Row],[PREÇO]])/Table_1[[#This Row],[PREÇO JUSTO BAZIN]]</f>
        <v/>
      </c>
      <c r="V306" s="129">
        <f>Table_1[[#This Row],[DPA]]/6%</f>
        <v/>
      </c>
      <c r="W306" s="129">
        <f>Table_1[[#This Row],[PREÇO JUSTO BAZIN]]/(1+Table_1[[#This Row],[MARGEM DE DESCONTO]])</f>
        <v/>
      </c>
      <c r="X306" s="64">
        <f>(Table_1[[#This Row],[PREÇO JUSTO GRAHAM]]-Table_1[[#This Row],[PREÇO]])/Table_1[[#This Row],[PREÇO JUSTO GRAHAM]]</f>
        <v/>
      </c>
      <c r="Y306" s="129">
        <f>(22.5*Table_1[[#This Row],[LPA]]*Table_1[[#This Row],[VPA]])^0.5</f>
        <v/>
      </c>
      <c r="Z306" s="129">
        <f>Table_1[[#This Row],[PREÇO JUSTO GRAHAM]]/(1+Table_1[[#This Row],[MARGEM DE DESCONTO]])</f>
        <v/>
      </c>
      <c r="AA306" s="64">
        <f>(Table_1[[#This Row],[PREÇO JUSTO GORDON]]-Table_1[[#This Row],[PREÇO]])/Table_1[[#This Row],[PREÇO JUSTO GORDON]]</f>
        <v/>
      </c>
      <c r="AB306" s="130">
        <f>Table_1[[#This Row],[DPA]]*(1+Table_1[[#This Row],[MÉDIA DE CRESCIMENTO]])</f>
        <v/>
      </c>
      <c r="AC306" s="130">
        <f>Table_1[[#This Row],[D1]]/(Table_1[[#This Row],[RISCO]]-Table_1[[#This Row],[MÉDIA DE CRESCIMENTO]])</f>
        <v/>
      </c>
      <c r="AD306" s="130">
        <f>Table_1[[#This Row],[PREÇO JUSTO GORDON]]/(1+Table_1[[#This Row],[MARGEM DE DESCONTO]])</f>
        <v/>
      </c>
      <c r="AE306" s="78">
        <f>Table_1[[#This Row],[P/L]]/Table_1[[#This Row],[MÉDIA DE CRESCIMENTO]]</f>
        <v/>
      </c>
    </row>
    <row r="307" ht="15.75" customHeight="1">
      <c r="B307" s="77">
        <f>'Dados Status Invest'!A293</f>
        <v/>
      </c>
      <c r="C307" s="60">
        <f>VLOOKUP(Table_1[[#This Row],[AÇÕES]],'Classificação B3'!A:B,2,0)</f>
        <v/>
      </c>
      <c r="D307" s="60">
        <f>VLOOKUP(Table_1[[#This Row],[AÇÕES]],'Classificação B3'!A:D,4,0)</f>
        <v/>
      </c>
      <c r="E307" s="60">
        <f>VLOOKUP(Table_1[[#This Row],[AÇÕES]],'Classificação B3'!A:F,6,0)</f>
        <v/>
      </c>
      <c r="F307" s="60">
        <f>VLOOKUP(Table_1[[#This Row],[AÇÕES]],'Classificação B3'!A:G,7,0)</f>
        <v/>
      </c>
      <c r="G307" s="61">
        <f>VLOOKUP(Table_1[[#This Row],[AÇÕES]],'Dados Status Invest'!A:B,2,0)</f>
        <v/>
      </c>
      <c r="H307" s="62">
        <f>VLOOKUP(Table_1[[#This Row],[AÇÕES]],'Dados Status Invest'!A:C,3,0)/100</f>
        <v/>
      </c>
      <c r="I307" s="62">
        <f>VLOOKUP(Table_1[[#This Row],[AÇÕES]],'Dados Status Invest'!A:D,4,0)/100</f>
        <v/>
      </c>
      <c r="J307" s="63">
        <f>VLOOKUP(Table_1[[#This Row],[AÇÕES]],'Dados Status Invest'!A:AB,28,0)</f>
        <v/>
      </c>
      <c r="K307" s="63">
        <f>VLOOKUP(Table_1[[#This Row],[AÇÕES]],'Dados Status Invest'!A:AA,27,0)</f>
        <v/>
      </c>
      <c r="L307" s="63">
        <f>Table_1[[#This Row],[PREÇO]]*Table_1[[#This Row],[DY]]</f>
        <v/>
      </c>
      <c r="M307" s="62">
        <f>$E$13</f>
        <v/>
      </c>
      <c r="N307" s="62" t="n">
        <v>0.3</v>
      </c>
      <c r="O307" s="62">
        <f>Table_1[[#This Row],[DPA]]/Table_1[[#This Row],[LPA]]</f>
        <v/>
      </c>
      <c r="P307" s="62">
        <f>IF(Table_1[[#This Row],[PAYOUT]]&lt;=40%,"CRESCIMENTO",IF(Table_1[[#This Row],[PAYOUT]]&lt;=60%,"INDEFINIDO","DIVIDENDOS"))</f>
        <v/>
      </c>
      <c r="Q307" s="62">
        <f>VLOOKUP(Table_1[[#This Row],[AÇÕES]],'Dados Status Invest'!A:R,18,0)/100</f>
        <v/>
      </c>
      <c r="R307" s="62">
        <f>VLOOKUP(Table_1[[#This Row],[AÇÕES]],'Dados Status Invest'!A:Y,25,0)/100</f>
        <v/>
      </c>
      <c r="S307" s="62">
        <f>(1-Table_1[[#This Row],[PAYOUT]])*Table_1[[#This Row],[ROE]]</f>
        <v/>
      </c>
      <c r="T307" s="98">
        <f>AVERAGE(Table_1[[#This Row],[CAGR LUCRO 5A]],Table_1[[#This Row],[CRESCIMENTO DAMODARAN]])</f>
        <v/>
      </c>
      <c r="U307" s="64">
        <f>(Table_1[[#This Row],[PREÇO JUSTO BAZIN]]-Table_1[[#This Row],[PREÇO]])/Table_1[[#This Row],[PREÇO JUSTO BAZIN]]</f>
        <v/>
      </c>
      <c r="V307" s="129">
        <f>Table_1[[#This Row],[DPA]]/6%</f>
        <v/>
      </c>
      <c r="W307" s="129">
        <f>Table_1[[#This Row],[PREÇO JUSTO BAZIN]]/(1+Table_1[[#This Row],[MARGEM DE DESCONTO]])</f>
        <v/>
      </c>
      <c r="X307" s="64">
        <f>(Table_1[[#This Row],[PREÇO JUSTO GRAHAM]]-Table_1[[#This Row],[PREÇO]])/Table_1[[#This Row],[PREÇO JUSTO GRAHAM]]</f>
        <v/>
      </c>
      <c r="Y307" s="129">
        <f>(22.5*Table_1[[#This Row],[LPA]]*Table_1[[#This Row],[VPA]])^0.5</f>
        <v/>
      </c>
      <c r="Z307" s="129">
        <f>Table_1[[#This Row],[PREÇO JUSTO GRAHAM]]/(1+Table_1[[#This Row],[MARGEM DE DESCONTO]])</f>
        <v/>
      </c>
      <c r="AA307" s="64">
        <f>(Table_1[[#This Row],[PREÇO JUSTO GORDON]]-Table_1[[#This Row],[PREÇO]])/Table_1[[#This Row],[PREÇO JUSTO GORDON]]</f>
        <v/>
      </c>
      <c r="AB307" s="130">
        <f>Table_1[[#This Row],[DPA]]*(1+Table_1[[#This Row],[MÉDIA DE CRESCIMENTO]])</f>
        <v/>
      </c>
      <c r="AC307" s="130">
        <f>Table_1[[#This Row],[D1]]/(Table_1[[#This Row],[RISCO]]-Table_1[[#This Row],[MÉDIA DE CRESCIMENTO]])</f>
        <v/>
      </c>
      <c r="AD307" s="130">
        <f>Table_1[[#This Row],[PREÇO JUSTO GORDON]]/(1+Table_1[[#This Row],[MARGEM DE DESCONTO]])</f>
        <v/>
      </c>
      <c r="AE307" s="78">
        <f>Table_1[[#This Row],[P/L]]/Table_1[[#This Row],[MÉDIA DE CRESCIMENTO]]</f>
        <v/>
      </c>
    </row>
    <row r="308" ht="15.75" customHeight="1">
      <c r="B308" s="77">
        <f>'Dados Status Invest'!A294</f>
        <v/>
      </c>
      <c r="C308" s="60">
        <f>VLOOKUP(Table_1[[#This Row],[AÇÕES]],'Classificação B3'!A:B,2,0)</f>
        <v/>
      </c>
      <c r="D308" s="60">
        <f>VLOOKUP(Table_1[[#This Row],[AÇÕES]],'Classificação B3'!A:D,4,0)</f>
        <v/>
      </c>
      <c r="E308" s="60">
        <f>VLOOKUP(Table_1[[#This Row],[AÇÕES]],'Classificação B3'!A:F,6,0)</f>
        <v/>
      </c>
      <c r="F308" s="60">
        <f>VLOOKUP(Table_1[[#This Row],[AÇÕES]],'Classificação B3'!A:G,7,0)</f>
        <v/>
      </c>
      <c r="G308" s="61">
        <f>VLOOKUP(Table_1[[#This Row],[AÇÕES]],'Dados Status Invest'!A:B,2,0)</f>
        <v/>
      </c>
      <c r="H308" s="62">
        <f>VLOOKUP(Table_1[[#This Row],[AÇÕES]],'Dados Status Invest'!A:C,3,0)/100</f>
        <v/>
      </c>
      <c r="I308" s="62">
        <f>VLOOKUP(Table_1[[#This Row],[AÇÕES]],'Dados Status Invest'!A:D,4,0)/100</f>
        <v/>
      </c>
      <c r="J308" s="63">
        <f>VLOOKUP(Table_1[[#This Row],[AÇÕES]],'Dados Status Invest'!A:AB,28,0)</f>
        <v/>
      </c>
      <c r="K308" s="63">
        <f>VLOOKUP(Table_1[[#This Row],[AÇÕES]],'Dados Status Invest'!A:AA,27,0)</f>
        <v/>
      </c>
      <c r="L308" s="63">
        <f>Table_1[[#This Row],[PREÇO]]*Table_1[[#This Row],[DY]]</f>
        <v/>
      </c>
      <c r="M308" s="62">
        <f>$E$13</f>
        <v/>
      </c>
      <c r="N308" s="62" t="n">
        <v>0.3</v>
      </c>
      <c r="O308" s="62">
        <f>Table_1[[#This Row],[DPA]]/Table_1[[#This Row],[LPA]]</f>
        <v/>
      </c>
      <c r="P308" s="62">
        <f>IF(Table_1[[#This Row],[PAYOUT]]&lt;=40%,"CRESCIMENTO",IF(Table_1[[#This Row],[PAYOUT]]&lt;=60%,"INDEFINIDO","DIVIDENDOS"))</f>
        <v/>
      </c>
      <c r="Q308" s="62">
        <f>VLOOKUP(Table_1[[#This Row],[AÇÕES]],'Dados Status Invest'!A:R,18,0)/100</f>
        <v/>
      </c>
      <c r="R308" s="62">
        <f>VLOOKUP(Table_1[[#This Row],[AÇÕES]],'Dados Status Invest'!A:Y,25,0)/100</f>
        <v/>
      </c>
      <c r="S308" s="62">
        <f>(1-Table_1[[#This Row],[PAYOUT]])*Table_1[[#This Row],[ROE]]</f>
        <v/>
      </c>
      <c r="T308" s="98">
        <f>AVERAGE(Table_1[[#This Row],[CAGR LUCRO 5A]],Table_1[[#This Row],[CRESCIMENTO DAMODARAN]])</f>
        <v/>
      </c>
      <c r="U308" s="64">
        <f>(Table_1[[#This Row],[PREÇO JUSTO BAZIN]]-Table_1[[#This Row],[PREÇO]])/Table_1[[#This Row],[PREÇO JUSTO BAZIN]]</f>
        <v/>
      </c>
      <c r="V308" s="129">
        <f>Table_1[[#This Row],[DPA]]/6%</f>
        <v/>
      </c>
      <c r="W308" s="129">
        <f>Table_1[[#This Row],[PREÇO JUSTO BAZIN]]/(1+Table_1[[#This Row],[MARGEM DE DESCONTO]])</f>
        <v/>
      </c>
      <c r="X308" s="64">
        <f>(Table_1[[#This Row],[PREÇO JUSTO GRAHAM]]-Table_1[[#This Row],[PREÇO]])/Table_1[[#This Row],[PREÇO JUSTO GRAHAM]]</f>
        <v/>
      </c>
      <c r="Y308" s="129">
        <f>(22.5*Table_1[[#This Row],[LPA]]*Table_1[[#This Row],[VPA]])^0.5</f>
        <v/>
      </c>
      <c r="Z308" s="129">
        <f>Table_1[[#This Row],[PREÇO JUSTO GRAHAM]]/(1+Table_1[[#This Row],[MARGEM DE DESCONTO]])</f>
        <v/>
      </c>
      <c r="AA308" s="64">
        <f>(Table_1[[#This Row],[PREÇO JUSTO GORDON]]-Table_1[[#This Row],[PREÇO]])/Table_1[[#This Row],[PREÇO JUSTO GORDON]]</f>
        <v/>
      </c>
      <c r="AB308" s="130">
        <f>Table_1[[#This Row],[DPA]]*(1+Table_1[[#This Row],[MÉDIA DE CRESCIMENTO]])</f>
        <v/>
      </c>
      <c r="AC308" s="130">
        <f>Table_1[[#This Row],[D1]]/(Table_1[[#This Row],[RISCO]]-Table_1[[#This Row],[MÉDIA DE CRESCIMENTO]])</f>
        <v/>
      </c>
      <c r="AD308" s="130">
        <f>Table_1[[#This Row],[PREÇO JUSTO GORDON]]/(1+Table_1[[#This Row],[MARGEM DE DESCONTO]])</f>
        <v/>
      </c>
      <c r="AE308" s="78">
        <f>Table_1[[#This Row],[P/L]]/Table_1[[#This Row],[MÉDIA DE CRESCIMENTO]]</f>
        <v/>
      </c>
    </row>
    <row r="309" ht="15.75" customHeight="1">
      <c r="B309" s="77">
        <f>'Dados Status Invest'!A295</f>
        <v/>
      </c>
      <c r="C309" s="60">
        <f>VLOOKUP(Table_1[[#This Row],[AÇÕES]],'Classificação B3'!A:B,2,0)</f>
        <v/>
      </c>
      <c r="D309" s="60">
        <f>VLOOKUP(Table_1[[#This Row],[AÇÕES]],'Classificação B3'!A:D,4,0)</f>
        <v/>
      </c>
      <c r="E309" s="60">
        <f>VLOOKUP(Table_1[[#This Row],[AÇÕES]],'Classificação B3'!A:F,6,0)</f>
        <v/>
      </c>
      <c r="F309" s="60">
        <f>VLOOKUP(Table_1[[#This Row],[AÇÕES]],'Classificação B3'!A:G,7,0)</f>
        <v/>
      </c>
      <c r="G309" s="61">
        <f>VLOOKUP(Table_1[[#This Row],[AÇÕES]],'Dados Status Invest'!A:B,2,0)</f>
        <v/>
      </c>
      <c r="H309" s="62">
        <f>VLOOKUP(Table_1[[#This Row],[AÇÕES]],'Dados Status Invest'!A:C,3,0)/100</f>
        <v/>
      </c>
      <c r="I309" s="62">
        <f>VLOOKUP(Table_1[[#This Row],[AÇÕES]],'Dados Status Invest'!A:D,4,0)/100</f>
        <v/>
      </c>
      <c r="J309" s="63">
        <f>VLOOKUP(Table_1[[#This Row],[AÇÕES]],'Dados Status Invest'!A:AB,28,0)</f>
        <v/>
      </c>
      <c r="K309" s="63">
        <f>VLOOKUP(Table_1[[#This Row],[AÇÕES]],'Dados Status Invest'!A:AA,27,0)</f>
        <v/>
      </c>
      <c r="L309" s="63">
        <f>Table_1[[#This Row],[PREÇO]]*Table_1[[#This Row],[DY]]</f>
        <v/>
      </c>
      <c r="M309" s="62">
        <f>$E$13</f>
        <v/>
      </c>
      <c r="N309" s="62" t="n">
        <v>0.3</v>
      </c>
      <c r="O309" s="62">
        <f>Table_1[[#This Row],[DPA]]/Table_1[[#This Row],[LPA]]</f>
        <v/>
      </c>
      <c r="P309" s="62">
        <f>IF(Table_1[[#This Row],[PAYOUT]]&lt;=40%,"CRESCIMENTO",IF(Table_1[[#This Row],[PAYOUT]]&lt;=60%,"INDEFINIDO","DIVIDENDOS"))</f>
        <v/>
      </c>
      <c r="Q309" s="62">
        <f>VLOOKUP(Table_1[[#This Row],[AÇÕES]],'Dados Status Invest'!A:R,18,0)/100</f>
        <v/>
      </c>
      <c r="R309" s="62">
        <f>VLOOKUP(Table_1[[#This Row],[AÇÕES]],'Dados Status Invest'!A:Y,25,0)/100</f>
        <v/>
      </c>
      <c r="S309" s="62">
        <f>(1-Table_1[[#This Row],[PAYOUT]])*Table_1[[#This Row],[ROE]]</f>
        <v/>
      </c>
      <c r="T309" s="98">
        <f>AVERAGE(Table_1[[#This Row],[CAGR LUCRO 5A]],Table_1[[#This Row],[CRESCIMENTO DAMODARAN]])</f>
        <v/>
      </c>
      <c r="U309" s="64">
        <f>(Table_1[[#This Row],[PREÇO JUSTO BAZIN]]-Table_1[[#This Row],[PREÇO]])/Table_1[[#This Row],[PREÇO JUSTO BAZIN]]</f>
        <v/>
      </c>
      <c r="V309" s="129">
        <f>Table_1[[#This Row],[DPA]]/6%</f>
        <v/>
      </c>
      <c r="W309" s="129">
        <f>Table_1[[#This Row],[PREÇO JUSTO BAZIN]]/(1+Table_1[[#This Row],[MARGEM DE DESCONTO]])</f>
        <v/>
      </c>
      <c r="X309" s="64">
        <f>(Table_1[[#This Row],[PREÇO JUSTO GRAHAM]]-Table_1[[#This Row],[PREÇO]])/Table_1[[#This Row],[PREÇO JUSTO GRAHAM]]</f>
        <v/>
      </c>
      <c r="Y309" s="129">
        <f>(22.5*Table_1[[#This Row],[LPA]]*Table_1[[#This Row],[VPA]])^0.5</f>
        <v/>
      </c>
      <c r="Z309" s="129">
        <f>Table_1[[#This Row],[PREÇO JUSTO GRAHAM]]/(1+Table_1[[#This Row],[MARGEM DE DESCONTO]])</f>
        <v/>
      </c>
      <c r="AA309" s="64">
        <f>(Table_1[[#This Row],[PREÇO JUSTO GORDON]]-Table_1[[#This Row],[PREÇO]])/Table_1[[#This Row],[PREÇO JUSTO GORDON]]</f>
        <v/>
      </c>
      <c r="AB309" s="130">
        <f>Table_1[[#This Row],[DPA]]*(1+Table_1[[#This Row],[MÉDIA DE CRESCIMENTO]])</f>
        <v/>
      </c>
      <c r="AC309" s="130">
        <f>Table_1[[#This Row],[D1]]/(Table_1[[#This Row],[RISCO]]-Table_1[[#This Row],[MÉDIA DE CRESCIMENTO]])</f>
        <v/>
      </c>
      <c r="AD309" s="130">
        <f>Table_1[[#This Row],[PREÇO JUSTO GORDON]]/(1+Table_1[[#This Row],[MARGEM DE DESCONTO]])</f>
        <v/>
      </c>
      <c r="AE309" s="78">
        <f>Table_1[[#This Row],[P/L]]/Table_1[[#This Row],[MÉDIA DE CRESCIMENTO]]</f>
        <v/>
      </c>
    </row>
    <row r="310" ht="15.75" customHeight="1">
      <c r="B310" s="77">
        <f>'Dados Status Invest'!A296</f>
        <v/>
      </c>
      <c r="C310" s="60">
        <f>VLOOKUP(Table_1[[#This Row],[AÇÕES]],'Classificação B3'!A:B,2,0)</f>
        <v/>
      </c>
      <c r="D310" s="60">
        <f>VLOOKUP(Table_1[[#This Row],[AÇÕES]],'Classificação B3'!A:D,4,0)</f>
        <v/>
      </c>
      <c r="E310" s="60">
        <f>VLOOKUP(Table_1[[#This Row],[AÇÕES]],'Classificação B3'!A:F,6,0)</f>
        <v/>
      </c>
      <c r="F310" s="60">
        <f>VLOOKUP(Table_1[[#This Row],[AÇÕES]],'Classificação B3'!A:G,7,0)</f>
        <v/>
      </c>
      <c r="G310" s="61">
        <f>VLOOKUP(Table_1[[#This Row],[AÇÕES]],'Dados Status Invest'!A:B,2,0)</f>
        <v/>
      </c>
      <c r="H310" s="62">
        <f>VLOOKUP(Table_1[[#This Row],[AÇÕES]],'Dados Status Invest'!A:C,3,0)/100</f>
        <v/>
      </c>
      <c r="I310" s="62">
        <f>VLOOKUP(Table_1[[#This Row],[AÇÕES]],'Dados Status Invest'!A:D,4,0)/100</f>
        <v/>
      </c>
      <c r="J310" s="63">
        <f>VLOOKUP(Table_1[[#This Row],[AÇÕES]],'Dados Status Invest'!A:AB,28,0)</f>
        <v/>
      </c>
      <c r="K310" s="63">
        <f>VLOOKUP(Table_1[[#This Row],[AÇÕES]],'Dados Status Invest'!A:AA,27,0)</f>
        <v/>
      </c>
      <c r="L310" s="63">
        <f>Table_1[[#This Row],[PREÇO]]*Table_1[[#This Row],[DY]]</f>
        <v/>
      </c>
      <c r="M310" s="62">
        <f>$E$13</f>
        <v/>
      </c>
      <c r="N310" s="62" t="n">
        <v>0.3</v>
      </c>
      <c r="O310" s="62">
        <f>Table_1[[#This Row],[DPA]]/Table_1[[#This Row],[LPA]]</f>
        <v/>
      </c>
      <c r="P310" s="62">
        <f>IF(Table_1[[#This Row],[PAYOUT]]&lt;=40%,"CRESCIMENTO",IF(Table_1[[#This Row],[PAYOUT]]&lt;=60%,"INDEFINIDO","DIVIDENDOS"))</f>
        <v/>
      </c>
      <c r="Q310" s="62">
        <f>VLOOKUP(Table_1[[#This Row],[AÇÕES]],'Dados Status Invest'!A:R,18,0)/100</f>
        <v/>
      </c>
      <c r="R310" s="62">
        <f>VLOOKUP(Table_1[[#This Row],[AÇÕES]],'Dados Status Invest'!A:Y,25,0)/100</f>
        <v/>
      </c>
      <c r="S310" s="62">
        <f>(1-Table_1[[#This Row],[PAYOUT]])*Table_1[[#This Row],[ROE]]</f>
        <v/>
      </c>
      <c r="T310" s="98">
        <f>AVERAGE(Table_1[[#This Row],[CAGR LUCRO 5A]],Table_1[[#This Row],[CRESCIMENTO DAMODARAN]])</f>
        <v/>
      </c>
      <c r="U310" s="64">
        <f>(Table_1[[#This Row],[PREÇO JUSTO BAZIN]]-Table_1[[#This Row],[PREÇO]])/Table_1[[#This Row],[PREÇO JUSTO BAZIN]]</f>
        <v/>
      </c>
      <c r="V310" s="129">
        <f>Table_1[[#This Row],[DPA]]/6%</f>
        <v/>
      </c>
      <c r="W310" s="129">
        <f>Table_1[[#This Row],[PREÇO JUSTO BAZIN]]/(1+Table_1[[#This Row],[MARGEM DE DESCONTO]])</f>
        <v/>
      </c>
      <c r="X310" s="64">
        <f>(Table_1[[#This Row],[PREÇO JUSTO GRAHAM]]-Table_1[[#This Row],[PREÇO]])/Table_1[[#This Row],[PREÇO JUSTO GRAHAM]]</f>
        <v/>
      </c>
      <c r="Y310" s="129">
        <f>(22.5*Table_1[[#This Row],[LPA]]*Table_1[[#This Row],[VPA]])^0.5</f>
        <v/>
      </c>
      <c r="Z310" s="129">
        <f>Table_1[[#This Row],[PREÇO JUSTO GRAHAM]]/(1+Table_1[[#This Row],[MARGEM DE DESCONTO]])</f>
        <v/>
      </c>
      <c r="AA310" s="64">
        <f>(Table_1[[#This Row],[PREÇO JUSTO GORDON]]-Table_1[[#This Row],[PREÇO]])/Table_1[[#This Row],[PREÇO JUSTO GORDON]]</f>
        <v/>
      </c>
      <c r="AB310" s="130">
        <f>Table_1[[#This Row],[DPA]]*(1+Table_1[[#This Row],[MÉDIA DE CRESCIMENTO]])</f>
        <v/>
      </c>
      <c r="AC310" s="130">
        <f>Table_1[[#This Row],[D1]]/(Table_1[[#This Row],[RISCO]]-Table_1[[#This Row],[MÉDIA DE CRESCIMENTO]])</f>
        <v/>
      </c>
      <c r="AD310" s="130">
        <f>Table_1[[#This Row],[PREÇO JUSTO GORDON]]/(1+Table_1[[#This Row],[MARGEM DE DESCONTO]])</f>
        <v/>
      </c>
      <c r="AE310" s="78">
        <f>Table_1[[#This Row],[P/L]]/Table_1[[#This Row],[MÉDIA DE CRESCIMENTO]]</f>
        <v/>
      </c>
    </row>
    <row r="311" ht="15.75" customHeight="1">
      <c r="B311" s="77">
        <f>'Dados Status Invest'!A297</f>
        <v/>
      </c>
      <c r="C311" s="60">
        <f>VLOOKUP(Table_1[[#This Row],[AÇÕES]],'Classificação B3'!A:B,2,0)</f>
        <v/>
      </c>
      <c r="D311" s="60">
        <f>VLOOKUP(Table_1[[#This Row],[AÇÕES]],'Classificação B3'!A:D,4,0)</f>
        <v/>
      </c>
      <c r="E311" s="60">
        <f>VLOOKUP(Table_1[[#This Row],[AÇÕES]],'Classificação B3'!A:F,6,0)</f>
        <v/>
      </c>
      <c r="F311" s="60">
        <f>VLOOKUP(Table_1[[#This Row],[AÇÕES]],'Classificação B3'!A:G,7,0)</f>
        <v/>
      </c>
      <c r="G311" s="61">
        <f>VLOOKUP(Table_1[[#This Row],[AÇÕES]],'Dados Status Invest'!A:B,2,0)</f>
        <v/>
      </c>
      <c r="H311" s="62">
        <f>VLOOKUP(Table_1[[#This Row],[AÇÕES]],'Dados Status Invest'!A:C,3,0)/100</f>
        <v/>
      </c>
      <c r="I311" s="62">
        <f>VLOOKUP(Table_1[[#This Row],[AÇÕES]],'Dados Status Invest'!A:D,4,0)/100</f>
        <v/>
      </c>
      <c r="J311" s="63">
        <f>VLOOKUP(Table_1[[#This Row],[AÇÕES]],'Dados Status Invest'!A:AB,28,0)</f>
        <v/>
      </c>
      <c r="K311" s="63">
        <f>VLOOKUP(Table_1[[#This Row],[AÇÕES]],'Dados Status Invest'!A:AA,27,0)</f>
        <v/>
      </c>
      <c r="L311" s="63">
        <f>Table_1[[#This Row],[PREÇO]]*Table_1[[#This Row],[DY]]</f>
        <v/>
      </c>
      <c r="M311" s="62">
        <f>$E$13</f>
        <v/>
      </c>
      <c r="N311" s="62" t="n">
        <v>0.3</v>
      </c>
      <c r="O311" s="62">
        <f>Table_1[[#This Row],[DPA]]/Table_1[[#This Row],[LPA]]</f>
        <v/>
      </c>
      <c r="P311" s="62">
        <f>IF(Table_1[[#This Row],[PAYOUT]]&lt;=40%,"CRESCIMENTO",IF(Table_1[[#This Row],[PAYOUT]]&lt;=60%,"INDEFINIDO","DIVIDENDOS"))</f>
        <v/>
      </c>
      <c r="Q311" s="62">
        <f>VLOOKUP(Table_1[[#This Row],[AÇÕES]],'Dados Status Invest'!A:R,18,0)/100</f>
        <v/>
      </c>
      <c r="R311" s="62">
        <f>VLOOKUP(Table_1[[#This Row],[AÇÕES]],'Dados Status Invest'!A:Y,25,0)/100</f>
        <v/>
      </c>
      <c r="S311" s="62">
        <f>(1-Table_1[[#This Row],[PAYOUT]])*Table_1[[#This Row],[ROE]]</f>
        <v/>
      </c>
      <c r="T311" s="98">
        <f>AVERAGE(Table_1[[#This Row],[CAGR LUCRO 5A]],Table_1[[#This Row],[CRESCIMENTO DAMODARAN]])</f>
        <v/>
      </c>
      <c r="U311" s="64">
        <f>(Table_1[[#This Row],[PREÇO JUSTO BAZIN]]-Table_1[[#This Row],[PREÇO]])/Table_1[[#This Row],[PREÇO JUSTO BAZIN]]</f>
        <v/>
      </c>
      <c r="V311" s="129">
        <f>Table_1[[#This Row],[DPA]]/6%</f>
        <v/>
      </c>
      <c r="W311" s="129">
        <f>Table_1[[#This Row],[PREÇO JUSTO BAZIN]]/(1+Table_1[[#This Row],[MARGEM DE DESCONTO]])</f>
        <v/>
      </c>
      <c r="X311" s="64">
        <f>(Table_1[[#This Row],[PREÇO JUSTO GRAHAM]]-Table_1[[#This Row],[PREÇO]])/Table_1[[#This Row],[PREÇO JUSTO GRAHAM]]</f>
        <v/>
      </c>
      <c r="Y311" s="129">
        <f>(22.5*Table_1[[#This Row],[LPA]]*Table_1[[#This Row],[VPA]])^0.5</f>
        <v/>
      </c>
      <c r="Z311" s="129">
        <f>Table_1[[#This Row],[PREÇO JUSTO GRAHAM]]/(1+Table_1[[#This Row],[MARGEM DE DESCONTO]])</f>
        <v/>
      </c>
      <c r="AA311" s="64">
        <f>(Table_1[[#This Row],[PREÇO JUSTO GORDON]]-Table_1[[#This Row],[PREÇO]])/Table_1[[#This Row],[PREÇO JUSTO GORDON]]</f>
        <v/>
      </c>
      <c r="AB311" s="130">
        <f>Table_1[[#This Row],[DPA]]*(1+Table_1[[#This Row],[MÉDIA DE CRESCIMENTO]])</f>
        <v/>
      </c>
      <c r="AC311" s="130">
        <f>Table_1[[#This Row],[D1]]/(Table_1[[#This Row],[RISCO]]-Table_1[[#This Row],[MÉDIA DE CRESCIMENTO]])</f>
        <v/>
      </c>
      <c r="AD311" s="130">
        <f>Table_1[[#This Row],[PREÇO JUSTO GORDON]]/(1+Table_1[[#This Row],[MARGEM DE DESCONTO]])</f>
        <v/>
      </c>
      <c r="AE311" s="78">
        <f>Table_1[[#This Row],[P/L]]/Table_1[[#This Row],[MÉDIA DE CRESCIMENTO]]</f>
        <v/>
      </c>
    </row>
    <row r="312" ht="15.75" customHeight="1">
      <c r="B312" s="77">
        <f>'Dados Status Invest'!A298</f>
        <v/>
      </c>
      <c r="C312" s="60">
        <f>VLOOKUP(Table_1[[#This Row],[AÇÕES]],'Classificação B3'!A:B,2,0)</f>
        <v/>
      </c>
      <c r="D312" s="60">
        <f>VLOOKUP(Table_1[[#This Row],[AÇÕES]],'Classificação B3'!A:D,4,0)</f>
        <v/>
      </c>
      <c r="E312" s="60">
        <f>VLOOKUP(Table_1[[#This Row],[AÇÕES]],'Classificação B3'!A:F,6,0)</f>
        <v/>
      </c>
      <c r="F312" s="60">
        <f>VLOOKUP(Table_1[[#This Row],[AÇÕES]],'Classificação B3'!A:G,7,0)</f>
        <v/>
      </c>
      <c r="G312" s="61">
        <f>VLOOKUP(Table_1[[#This Row],[AÇÕES]],'Dados Status Invest'!A:B,2,0)</f>
        <v/>
      </c>
      <c r="H312" s="62">
        <f>VLOOKUP(Table_1[[#This Row],[AÇÕES]],'Dados Status Invest'!A:C,3,0)/100</f>
        <v/>
      </c>
      <c r="I312" s="62">
        <f>VLOOKUP(Table_1[[#This Row],[AÇÕES]],'Dados Status Invest'!A:D,4,0)/100</f>
        <v/>
      </c>
      <c r="J312" s="63">
        <f>VLOOKUP(Table_1[[#This Row],[AÇÕES]],'Dados Status Invest'!A:AB,28,0)</f>
        <v/>
      </c>
      <c r="K312" s="63">
        <f>VLOOKUP(Table_1[[#This Row],[AÇÕES]],'Dados Status Invest'!A:AA,27,0)</f>
        <v/>
      </c>
      <c r="L312" s="63">
        <f>Table_1[[#This Row],[PREÇO]]*Table_1[[#This Row],[DY]]</f>
        <v/>
      </c>
      <c r="M312" s="62">
        <f>$E$13</f>
        <v/>
      </c>
      <c r="N312" s="62" t="n">
        <v>0.3</v>
      </c>
      <c r="O312" s="62">
        <f>Table_1[[#This Row],[DPA]]/Table_1[[#This Row],[LPA]]</f>
        <v/>
      </c>
      <c r="P312" s="62">
        <f>IF(Table_1[[#This Row],[PAYOUT]]&lt;=40%,"CRESCIMENTO",IF(Table_1[[#This Row],[PAYOUT]]&lt;=60%,"INDEFINIDO","DIVIDENDOS"))</f>
        <v/>
      </c>
      <c r="Q312" s="62">
        <f>VLOOKUP(Table_1[[#This Row],[AÇÕES]],'Dados Status Invest'!A:R,18,0)/100</f>
        <v/>
      </c>
      <c r="R312" s="62">
        <f>VLOOKUP(Table_1[[#This Row],[AÇÕES]],'Dados Status Invest'!A:Y,25,0)/100</f>
        <v/>
      </c>
      <c r="S312" s="62">
        <f>(1-Table_1[[#This Row],[PAYOUT]])*Table_1[[#This Row],[ROE]]</f>
        <v/>
      </c>
      <c r="T312" s="98">
        <f>AVERAGE(Table_1[[#This Row],[CAGR LUCRO 5A]],Table_1[[#This Row],[CRESCIMENTO DAMODARAN]])</f>
        <v/>
      </c>
      <c r="U312" s="64">
        <f>(Table_1[[#This Row],[PREÇO JUSTO BAZIN]]-Table_1[[#This Row],[PREÇO]])/Table_1[[#This Row],[PREÇO JUSTO BAZIN]]</f>
        <v/>
      </c>
      <c r="V312" s="129">
        <f>Table_1[[#This Row],[DPA]]/6%</f>
        <v/>
      </c>
      <c r="W312" s="129">
        <f>Table_1[[#This Row],[PREÇO JUSTO BAZIN]]/(1+Table_1[[#This Row],[MARGEM DE DESCONTO]])</f>
        <v/>
      </c>
      <c r="X312" s="64">
        <f>(Table_1[[#This Row],[PREÇO JUSTO GRAHAM]]-Table_1[[#This Row],[PREÇO]])/Table_1[[#This Row],[PREÇO JUSTO GRAHAM]]</f>
        <v/>
      </c>
      <c r="Y312" s="129">
        <f>(22.5*Table_1[[#This Row],[LPA]]*Table_1[[#This Row],[VPA]])^0.5</f>
        <v/>
      </c>
      <c r="Z312" s="129">
        <f>Table_1[[#This Row],[PREÇO JUSTO GRAHAM]]/(1+Table_1[[#This Row],[MARGEM DE DESCONTO]])</f>
        <v/>
      </c>
      <c r="AA312" s="64">
        <f>(Table_1[[#This Row],[PREÇO JUSTO GORDON]]-Table_1[[#This Row],[PREÇO]])/Table_1[[#This Row],[PREÇO JUSTO GORDON]]</f>
        <v/>
      </c>
      <c r="AB312" s="130">
        <f>Table_1[[#This Row],[DPA]]*(1+Table_1[[#This Row],[MÉDIA DE CRESCIMENTO]])</f>
        <v/>
      </c>
      <c r="AC312" s="130">
        <f>Table_1[[#This Row],[D1]]/(Table_1[[#This Row],[RISCO]]-Table_1[[#This Row],[MÉDIA DE CRESCIMENTO]])</f>
        <v/>
      </c>
      <c r="AD312" s="130">
        <f>Table_1[[#This Row],[PREÇO JUSTO GORDON]]/(1+Table_1[[#This Row],[MARGEM DE DESCONTO]])</f>
        <v/>
      </c>
      <c r="AE312" s="78">
        <f>Table_1[[#This Row],[P/L]]/Table_1[[#This Row],[MÉDIA DE CRESCIMENTO]]</f>
        <v/>
      </c>
    </row>
    <row r="313" ht="15.75" customHeight="1">
      <c r="B313" s="77">
        <f>'Dados Status Invest'!A299</f>
        <v/>
      </c>
      <c r="C313" s="60">
        <f>VLOOKUP(Table_1[[#This Row],[AÇÕES]],'Classificação B3'!A:B,2,0)</f>
        <v/>
      </c>
      <c r="D313" s="60">
        <f>VLOOKUP(Table_1[[#This Row],[AÇÕES]],'Classificação B3'!A:D,4,0)</f>
        <v/>
      </c>
      <c r="E313" s="60">
        <f>VLOOKUP(Table_1[[#This Row],[AÇÕES]],'Classificação B3'!A:F,6,0)</f>
        <v/>
      </c>
      <c r="F313" s="60">
        <f>VLOOKUP(Table_1[[#This Row],[AÇÕES]],'Classificação B3'!A:G,7,0)</f>
        <v/>
      </c>
      <c r="G313" s="61">
        <f>VLOOKUP(Table_1[[#This Row],[AÇÕES]],'Dados Status Invest'!A:B,2,0)</f>
        <v/>
      </c>
      <c r="H313" s="62">
        <f>VLOOKUP(Table_1[[#This Row],[AÇÕES]],'Dados Status Invest'!A:C,3,0)/100</f>
        <v/>
      </c>
      <c r="I313" s="62">
        <f>VLOOKUP(Table_1[[#This Row],[AÇÕES]],'Dados Status Invest'!A:D,4,0)/100</f>
        <v/>
      </c>
      <c r="J313" s="63">
        <f>VLOOKUP(Table_1[[#This Row],[AÇÕES]],'Dados Status Invest'!A:AB,28,0)</f>
        <v/>
      </c>
      <c r="K313" s="63">
        <f>VLOOKUP(Table_1[[#This Row],[AÇÕES]],'Dados Status Invest'!A:AA,27,0)</f>
        <v/>
      </c>
      <c r="L313" s="63">
        <f>Table_1[[#This Row],[PREÇO]]*Table_1[[#This Row],[DY]]</f>
        <v/>
      </c>
      <c r="M313" s="62">
        <f>$E$13</f>
        <v/>
      </c>
      <c r="N313" s="62" t="n">
        <v>0.3</v>
      </c>
      <c r="O313" s="62">
        <f>Table_1[[#This Row],[DPA]]/Table_1[[#This Row],[LPA]]</f>
        <v/>
      </c>
      <c r="P313" s="62">
        <f>IF(Table_1[[#This Row],[PAYOUT]]&lt;=40%,"CRESCIMENTO",IF(Table_1[[#This Row],[PAYOUT]]&lt;=60%,"INDEFINIDO","DIVIDENDOS"))</f>
        <v/>
      </c>
      <c r="Q313" s="62">
        <f>VLOOKUP(Table_1[[#This Row],[AÇÕES]],'Dados Status Invest'!A:R,18,0)/100</f>
        <v/>
      </c>
      <c r="R313" s="62">
        <f>VLOOKUP(Table_1[[#This Row],[AÇÕES]],'Dados Status Invest'!A:Y,25,0)/100</f>
        <v/>
      </c>
      <c r="S313" s="62">
        <f>(1-Table_1[[#This Row],[PAYOUT]])*Table_1[[#This Row],[ROE]]</f>
        <v/>
      </c>
      <c r="T313" s="98">
        <f>AVERAGE(Table_1[[#This Row],[CAGR LUCRO 5A]],Table_1[[#This Row],[CRESCIMENTO DAMODARAN]])</f>
        <v/>
      </c>
      <c r="U313" s="64">
        <f>(Table_1[[#This Row],[PREÇO JUSTO BAZIN]]-Table_1[[#This Row],[PREÇO]])/Table_1[[#This Row],[PREÇO JUSTO BAZIN]]</f>
        <v/>
      </c>
      <c r="V313" s="129">
        <f>Table_1[[#This Row],[DPA]]/6%</f>
        <v/>
      </c>
      <c r="W313" s="129">
        <f>Table_1[[#This Row],[PREÇO JUSTO BAZIN]]/(1+Table_1[[#This Row],[MARGEM DE DESCONTO]])</f>
        <v/>
      </c>
      <c r="X313" s="64">
        <f>(Table_1[[#This Row],[PREÇO JUSTO GRAHAM]]-Table_1[[#This Row],[PREÇO]])/Table_1[[#This Row],[PREÇO JUSTO GRAHAM]]</f>
        <v/>
      </c>
      <c r="Y313" s="129">
        <f>(22.5*Table_1[[#This Row],[LPA]]*Table_1[[#This Row],[VPA]])^0.5</f>
        <v/>
      </c>
      <c r="Z313" s="129">
        <f>Table_1[[#This Row],[PREÇO JUSTO GRAHAM]]/(1+Table_1[[#This Row],[MARGEM DE DESCONTO]])</f>
        <v/>
      </c>
      <c r="AA313" s="64">
        <f>(Table_1[[#This Row],[PREÇO JUSTO GORDON]]-Table_1[[#This Row],[PREÇO]])/Table_1[[#This Row],[PREÇO JUSTO GORDON]]</f>
        <v/>
      </c>
      <c r="AB313" s="130">
        <f>Table_1[[#This Row],[DPA]]*(1+Table_1[[#This Row],[MÉDIA DE CRESCIMENTO]])</f>
        <v/>
      </c>
      <c r="AC313" s="130">
        <f>Table_1[[#This Row],[D1]]/(Table_1[[#This Row],[RISCO]]-Table_1[[#This Row],[MÉDIA DE CRESCIMENTO]])</f>
        <v/>
      </c>
      <c r="AD313" s="130">
        <f>Table_1[[#This Row],[PREÇO JUSTO GORDON]]/(1+Table_1[[#This Row],[MARGEM DE DESCONTO]])</f>
        <v/>
      </c>
      <c r="AE313" s="78">
        <f>Table_1[[#This Row],[P/L]]/Table_1[[#This Row],[MÉDIA DE CRESCIMENTO]]</f>
        <v/>
      </c>
    </row>
    <row r="314" ht="15.75" customHeight="1">
      <c r="B314" s="77">
        <f>'Dados Status Invest'!A300</f>
        <v/>
      </c>
      <c r="C314" s="60">
        <f>VLOOKUP(Table_1[[#This Row],[AÇÕES]],'Classificação B3'!A:B,2,0)</f>
        <v/>
      </c>
      <c r="D314" s="60">
        <f>VLOOKUP(Table_1[[#This Row],[AÇÕES]],'Classificação B3'!A:D,4,0)</f>
        <v/>
      </c>
      <c r="E314" s="60">
        <f>VLOOKUP(Table_1[[#This Row],[AÇÕES]],'Classificação B3'!A:F,6,0)</f>
        <v/>
      </c>
      <c r="F314" s="60">
        <f>VLOOKUP(Table_1[[#This Row],[AÇÕES]],'Classificação B3'!A:G,7,0)</f>
        <v/>
      </c>
      <c r="G314" s="61">
        <f>VLOOKUP(Table_1[[#This Row],[AÇÕES]],'Dados Status Invest'!A:B,2,0)</f>
        <v/>
      </c>
      <c r="H314" s="62">
        <f>VLOOKUP(Table_1[[#This Row],[AÇÕES]],'Dados Status Invest'!A:C,3,0)/100</f>
        <v/>
      </c>
      <c r="I314" s="62">
        <f>VLOOKUP(Table_1[[#This Row],[AÇÕES]],'Dados Status Invest'!A:D,4,0)/100</f>
        <v/>
      </c>
      <c r="J314" s="63">
        <f>VLOOKUP(Table_1[[#This Row],[AÇÕES]],'Dados Status Invest'!A:AB,28,0)</f>
        <v/>
      </c>
      <c r="K314" s="63">
        <f>VLOOKUP(Table_1[[#This Row],[AÇÕES]],'Dados Status Invest'!A:AA,27,0)</f>
        <v/>
      </c>
      <c r="L314" s="63">
        <f>Table_1[[#This Row],[PREÇO]]*Table_1[[#This Row],[DY]]</f>
        <v/>
      </c>
      <c r="M314" s="62">
        <f>$E$13</f>
        <v/>
      </c>
      <c r="N314" s="62" t="n">
        <v>0.3</v>
      </c>
      <c r="O314" s="62">
        <f>Table_1[[#This Row],[DPA]]/Table_1[[#This Row],[LPA]]</f>
        <v/>
      </c>
      <c r="P314" s="62">
        <f>IF(Table_1[[#This Row],[PAYOUT]]&lt;=40%,"CRESCIMENTO",IF(Table_1[[#This Row],[PAYOUT]]&lt;=60%,"INDEFINIDO","DIVIDENDOS"))</f>
        <v/>
      </c>
      <c r="Q314" s="62">
        <f>VLOOKUP(Table_1[[#This Row],[AÇÕES]],'Dados Status Invest'!A:R,18,0)/100</f>
        <v/>
      </c>
      <c r="R314" s="62">
        <f>VLOOKUP(Table_1[[#This Row],[AÇÕES]],'Dados Status Invest'!A:Y,25,0)/100</f>
        <v/>
      </c>
      <c r="S314" s="62">
        <f>(1-Table_1[[#This Row],[PAYOUT]])*Table_1[[#This Row],[ROE]]</f>
        <v/>
      </c>
      <c r="T314" s="98">
        <f>AVERAGE(Table_1[[#This Row],[CAGR LUCRO 5A]],Table_1[[#This Row],[CRESCIMENTO DAMODARAN]])</f>
        <v/>
      </c>
      <c r="U314" s="64">
        <f>(Table_1[[#This Row],[PREÇO JUSTO BAZIN]]-Table_1[[#This Row],[PREÇO]])/Table_1[[#This Row],[PREÇO JUSTO BAZIN]]</f>
        <v/>
      </c>
      <c r="V314" s="129">
        <f>Table_1[[#This Row],[DPA]]/6%</f>
        <v/>
      </c>
      <c r="W314" s="129">
        <f>Table_1[[#This Row],[PREÇO JUSTO BAZIN]]/(1+Table_1[[#This Row],[MARGEM DE DESCONTO]])</f>
        <v/>
      </c>
      <c r="X314" s="64">
        <f>(Table_1[[#This Row],[PREÇO JUSTO GRAHAM]]-Table_1[[#This Row],[PREÇO]])/Table_1[[#This Row],[PREÇO JUSTO GRAHAM]]</f>
        <v/>
      </c>
      <c r="Y314" s="129">
        <f>(22.5*Table_1[[#This Row],[LPA]]*Table_1[[#This Row],[VPA]])^0.5</f>
        <v/>
      </c>
      <c r="Z314" s="129">
        <f>Table_1[[#This Row],[PREÇO JUSTO GRAHAM]]/(1+Table_1[[#This Row],[MARGEM DE DESCONTO]])</f>
        <v/>
      </c>
      <c r="AA314" s="64">
        <f>(Table_1[[#This Row],[PREÇO JUSTO GORDON]]-Table_1[[#This Row],[PREÇO]])/Table_1[[#This Row],[PREÇO JUSTO GORDON]]</f>
        <v/>
      </c>
      <c r="AB314" s="130">
        <f>Table_1[[#This Row],[DPA]]*(1+Table_1[[#This Row],[MÉDIA DE CRESCIMENTO]])</f>
        <v/>
      </c>
      <c r="AC314" s="130">
        <f>Table_1[[#This Row],[D1]]/(Table_1[[#This Row],[RISCO]]-Table_1[[#This Row],[MÉDIA DE CRESCIMENTO]])</f>
        <v/>
      </c>
      <c r="AD314" s="130">
        <f>Table_1[[#This Row],[PREÇO JUSTO GORDON]]/(1+Table_1[[#This Row],[MARGEM DE DESCONTO]])</f>
        <v/>
      </c>
      <c r="AE314" s="78">
        <f>Table_1[[#This Row],[P/L]]/Table_1[[#This Row],[MÉDIA DE CRESCIMENTO]]</f>
        <v/>
      </c>
    </row>
    <row r="315" ht="15.75" customHeight="1">
      <c r="B315" s="77">
        <f>'Dados Status Invest'!A301</f>
        <v/>
      </c>
      <c r="C315" s="60">
        <f>VLOOKUP(Table_1[[#This Row],[AÇÕES]],'Classificação B3'!A:B,2,0)</f>
        <v/>
      </c>
      <c r="D315" s="60">
        <f>VLOOKUP(Table_1[[#This Row],[AÇÕES]],'Classificação B3'!A:D,4,0)</f>
        <v/>
      </c>
      <c r="E315" s="60">
        <f>VLOOKUP(Table_1[[#This Row],[AÇÕES]],'Classificação B3'!A:F,6,0)</f>
        <v/>
      </c>
      <c r="F315" s="60">
        <f>VLOOKUP(Table_1[[#This Row],[AÇÕES]],'Classificação B3'!A:G,7,0)</f>
        <v/>
      </c>
      <c r="G315" s="61">
        <f>VLOOKUP(Table_1[[#This Row],[AÇÕES]],'Dados Status Invest'!A:B,2,0)</f>
        <v/>
      </c>
      <c r="H315" s="62">
        <f>VLOOKUP(Table_1[[#This Row],[AÇÕES]],'Dados Status Invest'!A:C,3,0)/100</f>
        <v/>
      </c>
      <c r="I315" s="62">
        <f>VLOOKUP(Table_1[[#This Row],[AÇÕES]],'Dados Status Invest'!A:D,4,0)/100</f>
        <v/>
      </c>
      <c r="J315" s="63">
        <f>VLOOKUP(Table_1[[#This Row],[AÇÕES]],'Dados Status Invest'!A:AB,28,0)</f>
        <v/>
      </c>
      <c r="K315" s="63">
        <f>VLOOKUP(Table_1[[#This Row],[AÇÕES]],'Dados Status Invest'!A:AA,27,0)</f>
        <v/>
      </c>
      <c r="L315" s="63">
        <f>Table_1[[#This Row],[PREÇO]]*Table_1[[#This Row],[DY]]</f>
        <v/>
      </c>
      <c r="M315" s="62">
        <f>$E$13</f>
        <v/>
      </c>
      <c r="N315" s="62" t="n">
        <v>0.3</v>
      </c>
      <c r="O315" s="62">
        <f>Table_1[[#This Row],[DPA]]/Table_1[[#This Row],[LPA]]</f>
        <v/>
      </c>
      <c r="P315" s="62">
        <f>IF(Table_1[[#This Row],[PAYOUT]]&lt;=40%,"CRESCIMENTO",IF(Table_1[[#This Row],[PAYOUT]]&lt;=60%,"INDEFINIDO","DIVIDENDOS"))</f>
        <v/>
      </c>
      <c r="Q315" s="62">
        <f>VLOOKUP(Table_1[[#This Row],[AÇÕES]],'Dados Status Invest'!A:R,18,0)/100</f>
        <v/>
      </c>
      <c r="R315" s="62">
        <f>VLOOKUP(Table_1[[#This Row],[AÇÕES]],'Dados Status Invest'!A:Y,25,0)/100</f>
        <v/>
      </c>
      <c r="S315" s="62">
        <f>(1-Table_1[[#This Row],[PAYOUT]])*Table_1[[#This Row],[ROE]]</f>
        <v/>
      </c>
      <c r="T315" s="98">
        <f>AVERAGE(Table_1[[#This Row],[CAGR LUCRO 5A]],Table_1[[#This Row],[CRESCIMENTO DAMODARAN]])</f>
        <v/>
      </c>
      <c r="U315" s="64">
        <f>(Table_1[[#This Row],[PREÇO JUSTO BAZIN]]-Table_1[[#This Row],[PREÇO]])/Table_1[[#This Row],[PREÇO JUSTO BAZIN]]</f>
        <v/>
      </c>
      <c r="V315" s="129">
        <f>Table_1[[#This Row],[DPA]]/6%</f>
        <v/>
      </c>
      <c r="W315" s="129">
        <f>Table_1[[#This Row],[PREÇO JUSTO BAZIN]]/(1+Table_1[[#This Row],[MARGEM DE DESCONTO]])</f>
        <v/>
      </c>
      <c r="X315" s="64">
        <f>(Table_1[[#This Row],[PREÇO JUSTO GRAHAM]]-Table_1[[#This Row],[PREÇO]])/Table_1[[#This Row],[PREÇO JUSTO GRAHAM]]</f>
        <v/>
      </c>
      <c r="Y315" s="129">
        <f>(22.5*Table_1[[#This Row],[LPA]]*Table_1[[#This Row],[VPA]])^0.5</f>
        <v/>
      </c>
      <c r="Z315" s="129">
        <f>Table_1[[#This Row],[PREÇO JUSTO GRAHAM]]/(1+Table_1[[#This Row],[MARGEM DE DESCONTO]])</f>
        <v/>
      </c>
      <c r="AA315" s="64">
        <f>(Table_1[[#This Row],[PREÇO JUSTO GORDON]]-Table_1[[#This Row],[PREÇO]])/Table_1[[#This Row],[PREÇO JUSTO GORDON]]</f>
        <v/>
      </c>
      <c r="AB315" s="130">
        <f>Table_1[[#This Row],[DPA]]*(1+Table_1[[#This Row],[MÉDIA DE CRESCIMENTO]])</f>
        <v/>
      </c>
      <c r="AC315" s="130">
        <f>Table_1[[#This Row],[D1]]/(Table_1[[#This Row],[RISCO]]-Table_1[[#This Row],[MÉDIA DE CRESCIMENTO]])</f>
        <v/>
      </c>
      <c r="AD315" s="130">
        <f>Table_1[[#This Row],[PREÇO JUSTO GORDON]]/(1+Table_1[[#This Row],[MARGEM DE DESCONTO]])</f>
        <v/>
      </c>
      <c r="AE315" s="78">
        <f>Table_1[[#This Row],[P/L]]/Table_1[[#This Row],[MÉDIA DE CRESCIMENTO]]</f>
        <v/>
      </c>
    </row>
    <row r="316" ht="15.75" customHeight="1">
      <c r="B316" s="77">
        <f>'Dados Status Invest'!A302</f>
        <v/>
      </c>
      <c r="C316" s="60">
        <f>VLOOKUP(Table_1[[#This Row],[AÇÕES]],'Classificação B3'!A:B,2,0)</f>
        <v/>
      </c>
      <c r="D316" s="60">
        <f>VLOOKUP(Table_1[[#This Row],[AÇÕES]],'Classificação B3'!A:D,4,0)</f>
        <v/>
      </c>
      <c r="E316" s="60">
        <f>VLOOKUP(Table_1[[#This Row],[AÇÕES]],'Classificação B3'!A:F,6,0)</f>
        <v/>
      </c>
      <c r="F316" s="60">
        <f>VLOOKUP(Table_1[[#This Row],[AÇÕES]],'Classificação B3'!A:G,7,0)</f>
        <v/>
      </c>
      <c r="G316" s="61">
        <f>VLOOKUP(Table_1[[#This Row],[AÇÕES]],'Dados Status Invest'!A:B,2,0)</f>
        <v/>
      </c>
      <c r="H316" s="62">
        <f>VLOOKUP(Table_1[[#This Row],[AÇÕES]],'Dados Status Invest'!A:C,3,0)/100</f>
        <v/>
      </c>
      <c r="I316" s="62">
        <f>VLOOKUP(Table_1[[#This Row],[AÇÕES]],'Dados Status Invest'!A:D,4,0)/100</f>
        <v/>
      </c>
      <c r="J316" s="63">
        <f>VLOOKUP(Table_1[[#This Row],[AÇÕES]],'Dados Status Invest'!A:AB,28,0)</f>
        <v/>
      </c>
      <c r="K316" s="63">
        <f>VLOOKUP(Table_1[[#This Row],[AÇÕES]],'Dados Status Invest'!A:AA,27,0)</f>
        <v/>
      </c>
      <c r="L316" s="63">
        <f>Table_1[[#This Row],[PREÇO]]*Table_1[[#This Row],[DY]]</f>
        <v/>
      </c>
      <c r="M316" s="62">
        <f>$E$13</f>
        <v/>
      </c>
      <c r="N316" s="62" t="n">
        <v>0.3</v>
      </c>
      <c r="O316" s="62">
        <f>Table_1[[#This Row],[DPA]]/Table_1[[#This Row],[LPA]]</f>
        <v/>
      </c>
      <c r="P316" s="62">
        <f>IF(Table_1[[#This Row],[PAYOUT]]&lt;=40%,"CRESCIMENTO",IF(Table_1[[#This Row],[PAYOUT]]&lt;=60%,"INDEFINIDO","DIVIDENDOS"))</f>
        <v/>
      </c>
      <c r="Q316" s="62">
        <f>VLOOKUP(Table_1[[#This Row],[AÇÕES]],'Dados Status Invest'!A:R,18,0)/100</f>
        <v/>
      </c>
      <c r="R316" s="62">
        <f>VLOOKUP(Table_1[[#This Row],[AÇÕES]],'Dados Status Invest'!A:Y,25,0)/100</f>
        <v/>
      </c>
      <c r="S316" s="62">
        <f>(1-Table_1[[#This Row],[PAYOUT]])*Table_1[[#This Row],[ROE]]</f>
        <v/>
      </c>
      <c r="T316" s="98">
        <f>AVERAGE(Table_1[[#This Row],[CAGR LUCRO 5A]],Table_1[[#This Row],[CRESCIMENTO DAMODARAN]])</f>
        <v/>
      </c>
      <c r="U316" s="64">
        <f>(Table_1[[#This Row],[PREÇO JUSTO BAZIN]]-Table_1[[#This Row],[PREÇO]])/Table_1[[#This Row],[PREÇO JUSTO BAZIN]]</f>
        <v/>
      </c>
      <c r="V316" s="129">
        <f>Table_1[[#This Row],[DPA]]/6%</f>
        <v/>
      </c>
      <c r="W316" s="129">
        <f>Table_1[[#This Row],[PREÇO JUSTO BAZIN]]/(1+Table_1[[#This Row],[MARGEM DE DESCONTO]])</f>
        <v/>
      </c>
      <c r="X316" s="64">
        <f>(Table_1[[#This Row],[PREÇO JUSTO GRAHAM]]-Table_1[[#This Row],[PREÇO]])/Table_1[[#This Row],[PREÇO JUSTO GRAHAM]]</f>
        <v/>
      </c>
      <c r="Y316" s="129">
        <f>(22.5*Table_1[[#This Row],[LPA]]*Table_1[[#This Row],[VPA]])^0.5</f>
        <v/>
      </c>
      <c r="Z316" s="129">
        <f>Table_1[[#This Row],[PREÇO JUSTO GRAHAM]]/(1+Table_1[[#This Row],[MARGEM DE DESCONTO]])</f>
        <v/>
      </c>
      <c r="AA316" s="64">
        <f>(Table_1[[#This Row],[PREÇO JUSTO GORDON]]-Table_1[[#This Row],[PREÇO]])/Table_1[[#This Row],[PREÇO JUSTO GORDON]]</f>
        <v/>
      </c>
      <c r="AB316" s="130">
        <f>Table_1[[#This Row],[DPA]]*(1+Table_1[[#This Row],[MÉDIA DE CRESCIMENTO]])</f>
        <v/>
      </c>
      <c r="AC316" s="130">
        <f>Table_1[[#This Row],[D1]]/(Table_1[[#This Row],[RISCO]]-Table_1[[#This Row],[MÉDIA DE CRESCIMENTO]])</f>
        <v/>
      </c>
      <c r="AD316" s="130">
        <f>Table_1[[#This Row],[PREÇO JUSTO GORDON]]/(1+Table_1[[#This Row],[MARGEM DE DESCONTO]])</f>
        <v/>
      </c>
      <c r="AE316" s="78">
        <f>Table_1[[#This Row],[P/L]]/Table_1[[#This Row],[MÉDIA DE CRESCIMENTO]]</f>
        <v/>
      </c>
    </row>
    <row r="317" ht="15.75" customHeight="1">
      <c r="B317" s="77">
        <f>'Dados Status Invest'!A303</f>
        <v/>
      </c>
      <c r="C317" s="60">
        <f>VLOOKUP(Table_1[[#This Row],[AÇÕES]],'Classificação B3'!A:B,2,0)</f>
        <v/>
      </c>
      <c r="D317" s="60">
        <f>VLOOKUP(Table_1[[#This Row],[AÇÕES]],'Classificação B3'!A:D,4,0)</f>
        <v/>
      </c>
      <c r="E317" s="60">
        <f>VLOOKUP(Table_1[[#This Row],[AÇÕES]],'Classificação B3'!A:F,6,0)</f>
        <v/>
      </c>
      <c r="F317" s="60">
        <f>VLOOKUP(Table_1[[#This Row],[AÇÕES]],'Classificação B3'!A:G,7,0)</f>
        <v/>
      </c>
      <c r="G317" s="61">
        <f>VLOOKUP(Table_1[[#This Row],[AÇÕES]],'Dados Status Invest'!A:B,2,0)</f>
        <v/>
      </c>
      <c r="H317" s="62">
        <f>VLOOKUP(Table_1[[#This Row],[AÇÕES]],'Dados Status Invest'!A:C,3,0)/100</f>
        <v/>
      </c>
      <c r="I317" s="62">
        <f>VLOOKUP(Table_1[[#This Row],[AÇÕES]],'Dados Status Invest'!A:D,4,0)/100</f>
        <v/>
      </c>
      <c r="J317" s="63">
        <f>VLOOKUP(Table_1[[#This Row],[AÇÕES]],'Dados Status Invest'!A:AB,28,0)</f>
        <v/>
      </c>
      <c r="K317" s="63">
        <f>VLOOKUP(Table_1[[#This Row],[AÇÕES]],'Dados Status Invest'!A:AA,27,0)</f>
        <v/>
      </c>
      <c r="L317" s="63">
        <f>Table_1[[#This Row],[PREÇO]]*Table_1[[#This Row],[DY]]</f>
        <v/>
      </c>
      <c r="M317" s="62">
        <f>$E$13</f>
        <v/>
      </c>
      <c r="N317" s="62" t="n">
        <v>0.3</v>
      </c>
      <c r="O317" s="62">
        <f>Table_1[[#This Row],[DPA]]/Table_1[[#This Row],[LPA]]</f>
        <v/>
      </c>
      <c r="P317" s="62">
        <f>IF(Table_1[[#This Row],[PAYOUT]]&lt;=40%,"CRESCIMENTO",IF(Table_1[[#This Row],[PAYOUT]]&lt;=60%,"INDEFINIDO","DIVIDENDOS"))</f>
        <v/>
      </c>
      <c r="Q317" s="62">
        <f>VLOOKUP(Table_1[[#This Row],[AÇÕES]],'Dados Status Invest'!A:R,18,0)/100</f>
        <v/>
      </c>
      <c r="R317" s="62">
        <f>VLOOKUP(Table_1[[#This Row],[AÇÕES]],'Dados Status Invest'!A:Y,25,0)/100</f>
        <v/>
      </c>
      <c r="S317" s="62">
        <f>(1-Table_1[[#This Row],[PAYOUT]])*Table_1[[#This Row],[ROE]]</f>
        <v/>
      </c>
      <c r="T317" s="98">
        <f>AVERAGE(Table_1[[#This Row],[CAGR LUCRO 5A]],Table_1[[#This Row],[CRESCIMENTO DAMODARAN]])</f>
        <v/>
      </c>
      <c r="U317" s="64">
        <f>(Table_1[[#This Row],[PREÇO JUSTO BAZIN]]-Table_1[[#This Row],[PREÇO]])/Table_1[[#This Row],[PREÇO JUSTO BAZIN]]</f>
        <v/>
      </c>
      <c r="V317" s="129">
        <f>Table_1[[#This Row],[DPA]]/6%</f>
        <v/>
      </c>
      <c r="W317" s="129">
        <f>Table_1[[#This Row],[PREÇO JUSTO BAZIN]]/(1+Table_1[[#This Row],[MARGEM DE DESCONTO]])</f>
        <v/>
      </c>
      <c r="X317" s="64">
        <f>(Table_1[[#This Row],[PREÇO JUSTO GRAHAM]]-Table_1[[#This Row],[PREÇO]])/Table_1[[#This Row],[PREÇO JUSTO GRAHAM]]</f>
        <v/>
      </c>
      <c r="Y317" s="129">
        <f>(22.5*Table_1[[#This Row],[LPA]]*Table_1[[#This Row],[VPA]])^0.5</f>
        <v/>
      </c>
      <c r="Z317" s="129">
        <f>Table_1[[#This Row],[PREÇO JUSTO GRAHAM]]/(1+Table_1[[#This Row],[MARGEM DE DESCONTO]])</f>
        <v/>
      </c>
      <c r="AA317" s="64">
        <f>(Table_1[[#This Row],[PREÇO JUSTO GORDON]]-Table_1[[#This Row],[PREÇO]])/Table_1[[#This Row],[PREÇO JUSTO GORDON]]</f>
        <v/>
      </c>
      <c r="AB317" s="130">
        <f>Table_1[[#This Row],[DPA]]*(1+Table_1[[#This Row],[MÉDIA DE CRESCIMENTO]])</f>
        <v/>
      </c>
      <c r="AC317" s="130">
        <f>Table_1[[#This Row],[D1]]/(Table_1[[#This Row],[RISCO]]-Table_1[[#This Row],[MÉDIA DE CRESCIMENTO]])</f>
        <v/>
      </c>
      <c r="AD317" s="130">
        <f>Table_1[[#This Row],[PREÇO JUSTO GORDON]]/(1+Table_1[[#This Row],[MARGEM DE DESCONTO]])</f>
        <v/>
      </c>
      <c r="AE317" s="78">
        <f>Table_1[[#This Row],[P/L]]/Table_1[[#This Row],[MÉDIA DE CRESCIMENTO]]</f>
        <v/>
      </c>
    </row>
    <row r="318" ht="15.75" customHeight="1">
      <c r="B318" s="77">
        <f>'Dados Status Invest'!A304</f>
        <v/>
      </c>
      <c r="C318" s="60">
        <f>VLOOKUP(Table_1[[#This Row],[AÇÕES]],'Classificação B3'!A:B,2,0)</f>
        <v/>
      </c>
      <c r="D318" s="60">
        <f>VLOOKUP(Table_1[[#This Row],[AÇÕES]],'Classificação B3'!A:D,4,0)</f>
        <v/>
      </c>
      <c r="E318" s="60">
        <f>VLOOKUP(Table_1[[#This Row],[AÇÕES]],'Classificação B3'!A:F,6,0)</f>
        <v/>
      </c>
      <c r="F318" s="60">
        <f>VLOOKUP(Table_1[[#This Row],[AÇÕES]],'Classificação B3'!A:G,7,0)</f>
        <v/>
      </c>
      <c r="G318" s="61">
        <f>VLOOKUP(Table_1[[#This Row],[AÇÕES]],'Dados Status Invest'!A:B,2,0)</f>
        <v/>
      </c>
      <c r="H318" s="62">
        <f>VLOOKUP(Table_1[[#This Row],[AÇÕES]],'Dados Status Invest'!A:C,3,0)/100</f>
        <v/>
      </c>
      <c r="I318" s="62">
        <f>VLOOKUP(Table_1[[#This Row],[AÇÕES]],'Dados Status Invest'!A:D,4,0)/100</f>
        <v/>
      </c>
      <c r="J318" s="63">
        <f>VLOOKUP(Table_1[[#This Row],[AÇÕES]],'Dados Status Invest'!A:AB,28,0)</f>
        <v/>
      </c>
      <c r="K318" s="63">
        <f>VLOOKUP(Table_1[[#This Row],[AÇÕES]],'Dados Status Invest'!A:AA,27,0)</f>
        <v/>
      </c>
      <c r="L318" s="63">
        <f>Table_1[[#This Row],[PREÇO]]*Table_1[[#This Row],[DY]]</f>
        <v/>
      </c>
      <c r="M318" s="62">
        <f>$E$13</f>
        <v/>
      </c>
      <c r="N318" s="62" t="n">
        <v>0.3</v>
      </c>
      <c r="O318" s="62">
        <f>Table_1[[#This Row],[DPA]]/Table_1[[#This Row],[LPA]]</f>
        <v/>
      </c>
      <c r="P318" s="62">
        <f>IF(Table_1[[#This Row],[PAYOUT]]&lt;=40%,"CRESCIMENTO",IF(Table_1[[#This Row],[PAYOUT]]&lt;=60%,"INDEFINIDO","DIVIDENDOS"))</f>
        <v/>
      </c>
      <c r="Q318" s="62">
        <f>VLOOKUP(Table_1[[#This Row],[AÇÕES]],'Dados Status Invest'!A:R,18,0)/100</f>
        <v/>
      </c>
      <c r="R318" s="62">
        <f>VLOOKUP(Table_1[[#This Row],[AÇÕES]],'Dados Status Invest'!A:Y,25,0)/100</f>
        <v/>
      </c>
      <c r="S318" s="62">
        <f>(1-Table_1[[#This Row],[PAYOUT]])*Table_1[[#This Row],[ROE]]</f>
        <v/>
      </c>
      <c r="T318" s="98">
        <f>AVERAGE(Table_1[[#This Row],[CAGR LUCRO 5A]],Table_1[[#This Row],[CRESCIMENTO DAMODARAN]])</f>
        <v/>
      </c>
      <c r="U318" s="64">
        <f>(Table_1[[#This Row],[PREÇO JUSTO BAZIN]]-Table_1[[#This Row],[PREÇO]])/Table_1[[#This Row],[PREÇO JUSTO BAZIN]]</f>
        <v/>
      </c>
      <c r="V318" s="129">
        <f>Table_1[[#This Row],[DPA]]/6%</f>
        <v/>
      </c>
      <c r="W318" s="129">
        <f>Table_1[[#This Row],[PREÇO JUSTO BAZIN]]/(1+Table_1[[#This Row],[MARGEM DE DESCONTO]])</f>
        <v/>
      </c>
      <c r="X318" s="64">
        <f>(Table_1[[#This Row],[PREÇO JUSTO GRAHAM]]-Table_1[[#This Row],[PREÇO]])/Table_1[[#This Row],[PREÇO JUSTO GRAHAM]]</f>
        <v/>
      </c>
      <c r="Y318" s="129">
        <f>(22.5*Table_1[[#This Row],[LPA]]*Table_1[[#This Row],[VPA]])^0.5</f>
        <v/>
      </c>
      <c r="Z318" s="129">
        <f>Table_1[[#This Row],[PREÇO JUSTO GRAHAM]]/(1+Table_1[[#This Row],[MARGEM DE DESCONTO]])</f>
        <v/>
      </c>
      <c r="AA318" s="64">
        <f>(Table_1[[#This Row],[PREÇO JUSTO GORDON]]-Table_1[[#This Row],[PREÇO]])/Table_1[[#This Row],[PREÇO JUSTO GORDON]]</f>
        <v/>
      </c>
      <c r="AB318" s="130">
        <f>Table_1[[#This Row],[DPA]]*(1+Table_1[[#This Row],[MÉDIA DE CRESCIMENTO]])</f>
        <v/>
      </c>
      <c r="AC318" s="130">
        <f>Table_1[[#This Row],[D1]]/(Table_1[[#This Row],[RISCO]]-Table_1[[#This Row],[MÉDIA DE CRESCIMENTO]])</f>
        <v/>
      </c>
      <c r="AD318" s="130">
        <f>Table_1[[#This Row],[PREÇO JUSTO GORDON]]/(1+Table_1[[#This Row],[MARGEM DE DESCONTO]])</f>
        <v/>
      </c>
      <c r="AE318" s="78">
        <f>Table_1[[#This Row],[P/L]]/Table_1[[#This Row],[MÉDIA DE CRESCIMENTO]]</f>
        <v/>
      </c>
    </row>
    <row r="319" ht="15.75" customHeight="1">
      <c r="B319" s="77">
        <f>'Dados Status Invest'!A305</f>
        <v/>
      </c>
      <c r="C319" s="60">
        <f>VLOOKUP(Table_1[[#This Row],[AÇÕES]],'Classificação B3'!A:B,2,0)</f>
        <v/>
      </c>
      <c r="D319" s="60">
        <f>VLOOKUP(Table_1[[#This Row],[AÇÕES]],'Classificação B3'!A:D,4,0)</f>
        <v/>
      </c>
      <c r="E319" s="60">
        <f>VLOOKUP(Table_1[[#This Row],[AÇÕES]],'Classificação B3'!A:F,6,0)</f>
        <v/>
      </c>
      <c r="F319" s="60">
        <f>VLOOKUP(Table_1[[#This Row],[AÇÕES]],'Classificação B3'!A:G,7,0)</f>
        <v/>
      </c>
      <c r="G319" s="61">
        <f>VLOOKUP(Table_1[[#This Row],[AÇÕES]],'Dados Status Invest'!A:B,2,0)</f>
        <v/>
      </c>
      <c r="H319" s="62">
        <f>VLOOKUP(Table_1[[#This Row],[AÇÕES]],'Dados Status Invest'!A:C,3,0)/100</f>
        <v/>
      </c>
      <c r="I319" s="62">
        <f>VLOOKUP(Table_1[[#This Row],[AÇÕES]],'Dados Status Invest'!A:D,4,0)/100</f>
        <v/>
      </c>
      <c r="J319" s="63">
        <f>VLOOKUP(Table_1[[#This Row],[AÇÕES]],'Dados Status Invest'!A:AB,28,0)</f>
        <v/>
      </c>
      <c r="K319" s="63">
        <f>VLOOKUP(Table_1[[#This Row],[AÇÕES]],'Dados Status Invest'!A:AA,27,0)</f>
        <v/>
      </c>
      <c r="L319" s="63">
        <f>Table_1[[#This Row],[PREÇO]]*Table_1[[#This Row],[DY]]</f>
        <v/>
      </c>
      <c r="M319" s="62">
        <f>$E$13</f>
        <v/>
      </c>
      <c r="N319" s="62" t="n">
        <v>0.3</v>
      </c>
      <c r="O319" s="62">
        <f>Table_1[[#This Row],[DPA]]/Table_1[[#This Row],[LPA]]</f>
        <v/>
      </c>
      <c r="P319" s="62">
        <f>IF(Table_1[[#This Row],[PAYOUT]]&lt;=40%,"CRESCIMENTO",IF(Table_1[[#This Row],[PAYOUT]]&lt;=60%,"INDEFINIDO","DIVIDENDOS"))</f>
        <v/>
      </c>
      <c r="Q319" s="62">
        <f>VLOOKUP(Table_1[[#This Row],[AÇÕES]],'Dados Status Invest'!A:R,18,0)/100</f>
        <v/>
      </c>
      <c r="R319" s="62">
        <f>VLOOKUP(Table_1[[#This Row],[AÇÕES]],'Dados Status Invest'!A:Y,25,0)/100</f>
        <v/>
      </c>
      <c r="S319" s="62">
        <f>(1-Table_1[[#This Row],[PAYOUT]])*Table_1[[#This Row],[ROE]]</f>
        <v/>
      </c>
      <c r="T319" s="98">
        <f>AVERAGE(Table_1[[#This Row],[CAGR LUCRO 5A]],Table_1[[#This Row],[CRESCIMENTO DAMODARAN]])</f>
        <v/>
      </c>
      <c r="U319" s="64">
        <f>(Table_1[[#This Row],[PREÇO JUSTO BAZIN]]-Table_1[[#This Row],[PREÇO]])/Table_1[[#This Row],[PREÇO JUSTO BAZIN]]</f>
        <v/>
      </c>
      <c r="V319" s="129">
        <f>Table_1[[#This Row],[DPA]]/6%</f>
        <v/>
      </c>
      <c r="W319" s="129">
        <f>Table_1[[#This Row],[PREÇO JUSTO BAZIN]]/(1+Table_1[[#This Row],[MARGEM DE DESCONTO]])</f>
        <v/>
      </c>
      <c r="X319" s="64">
        <f>(Table_1[[#This Row],[PREÇO JUSTO GRAHAM]]-Table_1[[#This Row],[PREÇO]])/Table_1[[#This Row],[PREÇO JUSTO GRAHAM]]</f>
        <v/>
      </c>
      <c r="Y319" s="129">
        <f>(22.5*Table_1[[#This Row],[LPA]]*Table_1[[#This Row],[VPA]])^0.5</f>
        <v/>
      </c>
      <c r="Z319" s="129">
        <f>Table_1[[#This Row],[PREÇO JUSTO GRAHAM]]/(1+Table_1[[#This Row],[MARGEM DE DESCONTO]])</f>
        <v/>
      </c>
      <c r="AA319" s="64">
        <f>(Table_1[[#This Row],[PREÇO JUSTO GORDON]]-Table_1[[#This Row],[PREÇO]])/Table_1[[#This Row],[PREÇO JUSTO GORDON]]</f>
        <v/>
      </c>
      <c r="AB319" s="130">
        <f>Table_1[[#This Row],[DPA]]*(1+Table_1[[#This Row],[MÉDIA DE CRESCIMENTO]])</f>
        <v/>
      </c>
      <c r="AC319" s="130">
        <f>Table_1[[#This Row],[D1]]/(Table_1[[#This Row],[RISCO]]-Table_1[[#This Row],[MÉDIA DE CRESCIMENTO]])</f>
        <v/>
      </c>
      <c r="AD319" s="130">
        <f>Table_1[[#This Row],[PREÇO JUSTO GORDON]]/(1+Table_1[[#This Row],[MARGEM DE DESCONTO]])</f>
        <v/>
      </c>
      <c r="AE319" s="78">
        <f>Table_1[[#This Row],[P/L]]/Table_1[[#This Row],[MÉDIA DE CRESCIMENTO]]</f>
        <v/>
      </c>
    </row>
    <row r="320" ht="15.75" customHeight="1">
      <c r="B320" s="77">
        <f>'Dados Status Invest'!A306</f>
        <v/>
      </c>
      <c r="C320" s="60">
        <f>VLOOKUP(Table_1[[#This Row],[AÇÕES]],'Classificação B3'!A:B,2,0)</f>
        <v/>
      </c>
      <c r="D320" s="60">
        <f>VLOOKUP(Table_1[[#This Row],[AÇÕES]],'Classificação B3'!A:D,4,0)</f>
        <v/>
      </c>
      <c r="E320" s="60">
        <f>VLOOKUP(Table_1[[#This Row],[AÇÕES]],'Classificação B3'!A:F,6,0)</f>
        <v/>
      </c>
      <c r="F320" s="60">
        <f>VLOOKUP(Table_1[[#This Row],[AÇÕES]],'Classificação B3'!A:G,7,0)</f>
        <v/>
      </c>
      <c r="G320" s="61">
        <f>VLOOKUP(Table_1[[#This Row],[AÇÕES]],'Dados Status Invest'!A:B,2,0)</f>
        <v/>
      </c>
      <c r="H320" s="62">
        <f>VLOOKUP(Table_1[[#This Row],[AÇÕES]],'Dados Status Invest'!A:C,3,0)/100</f>
        <v/>
      </c>
      <c r="I320" s="62">
        <f>VLOOKUP(Table_1[[#This Row],[AÇÕES]],'Dados Status Invest'!A:D,4,0)/100</f>
        <v/>
      </c>
      <c r="J320" s="63">
        <f>VLOOKUP(Table_1[[#This Row],[AÇÕES]],'Dados Status Invest'!A:AB,28,0)</f>
        <v/>
      </c>
      <c r="K320" s="63">
        <f>VLOOKUP(Table_1[[#This Row],[AÇÕES]],'Dados Status Invest'!A:AA,27,0)</f>
        <v/>
      </c>
      <c r="L320" s="63">
        <f>Table_1[[#This Row],[PREÇO]]*Table_1[[#This Row],[DY]]</f>
        <v/>
      </c>
      <c r="M320" s="62">
        <f>$E$13</f>
        <v/>
      </c>
      <c r="N320" s="62" t="n">
        <v>0.3</v>
      </c>
      <c r="O320" s="62">
        <f>Table_1[[#This Row],[DPA]]/Table_1[[#This Row],[LPA]]</f>
        <v/>
      </c>
      <c r="P320" s="62">
        <f>IF(Table_1[[#This Row],[PAYOUT]]&lt;=40%,"CRESCIMENTO",IF(Table_1[[#This Row],[PAYOUT]]&lt;=60%,"INDEFINIDO","DIVIDENDOS"))</f>
        <v/>
      </c>
      <c r="Q320" s="62">
        <f>VLOOKUP(Table_1[[#This Row],[AÇÕES]],'Dados Status Invest'!A:R,18,0)/100</f>
        <v/>
      </c>
      <c r="R320" s="62">
        <f>VLOOKUP(Table_1[[#This Row],[AÇÕES]],'Dados Status Invest'!A:Y,25,0)/100</f>
        <v/>
      </c>
      <c r="S320" s="62">
        <f>(1-Table_1[[#This Row],[PAYOUT]])*Table_1[[#This Row],[ROE]]</f>
        <v/>
      </c>
      <c r="T320" s="98">
        <f>AVERAGE(Table_1[[#This Row],[CAGR LUCRO 5A]],Table_1[[#This Row],[CRESCIMENTO DAMODARAN]])</f>
        <v/>
      </c>
      <c r="U320" s="64">
        <f>(Table_1[[#This Row],[PREÇO JUSTO BAZIN]]-Table_1[[#This Row],[PREÇO]])/Table_1[[#This Row],[PREÇO JUSTO BAZIN]]</f>
        <v/>
      </c>
      <c r="V320" s="129">
        <f>Table_1[[#This Row],[DPA]]/6%</f>
        <v/>
      </c>
      <c r="W320" s="129">
        <f>Table_1[[#This Row],[PREÇO JUSTO BAZIN]]/(1+Table_1[[#This Row],[MARGEM DE DESCONTO]])</f>
        <v/>
      </c>
      <c r="X320" s="64">
        <f>(Table_1[[#This Row],[PREÇO JUSTO GRAHAM]]-Table_1[[#This Row],[PREÇO]])/Table_1[[#This Row],[PREÇO JUSTO GRAHAM]]</f>
        <v/>
      </c>
      <c r="Y320" s="129">
        <f>(22.5*Table_1[[#This Row],[LPA]]*Table_1[[#This Row],[VPA]])^0.5</f>
        <v/>
      </c>
      <c r="Z320" s="129">
        <f>Table_1[[#This Row],[PREÇO JUSTO GRAHAM]]/(1+Table_1[[#This Row],[MARGEM DE DESCONTO]])</f>
        <v/>
      </c>
      <c r="AA320" s="64">
        <f>(Table_1[[#This Row],[PREÇO JUSTO GORDON]]-Table_1[[#This Row],[PREÇO]])/Table_1[[#This Row],[PREÇO JUSTO GORDON]]</f>
        <v/>
      </c>
      <c r="AB320" s="130">
        <f>Table_1[[#This Row],[DPA]]*(1+Table_1[[#This Row],[MÉDIA DE CRESCIMENTO]])</f>
        <v/>
      </c>
      <c r="AC320" s="130">
        <f>Table_1[[#This Row],[D1]]/(Table_1[[#This Row],[RISCO]]-Table_1[[#This Row],[MÉDIA DE CRESCIMENTO]])</f>
        <v/>
      </c>
      <c r="AD320" s="130">
        <f>Table_1[[#This Row],[PREÇO JUSTO GORDON]]/(1+Table_1[[#This Row],[MARGEM DE DESCONTO]])</f>
        <v/>
      </c>
      <c r="AE320" s="78">
        <f>Table_1[[#This Row],[P/L]]/Table_1[[#This Row],[MÉDIA DE CRESCIMENTO]]</f>
        <v/>
      </c>
    </row>
    <row r="321" ht="15.75" customHeight="1">
      <c r="B321" s="77">
        <f>'Dados Status Invest'!A307</f>
        <v/>
      </c>
      <c r="C321" s="60">
        <f>VLOOKUP(Table_1[[#This Row],[AÇÕES]],'Classificação B3'!A:B,2,0)</f>
        <v/>
      </c>
      <c r="D321" s="60">
        <f>VLOOKUP(Table_1[[#This Row],[AÇÕES]],'Classificação B3'!A:D,4,0)</f>
        <v/>
      </c>
      <c r="E321" s="60">
        <f>VLOOKUP(Table_1[[#This Row],[AÇÕES]],'Classificação B3'!A:F,6,0)</f>
        <v/>
      </c>
      <c r="F321" s="60">
        <f>VLOOKUP(Table_1[[#This Row],[AÇÕES]],'Classificação B3'!A:G,7,0)</f>
        <v/>
      </c>
      <c r="G321" s="61">
        <f>VLOOKUP(Table_1[[#This Row],[AÇÕES]],'Dados Status Invest'!A:B,2,0)</f>
        <v/>
      </c>
      <c r="H321" s="62">
        <f>VLOOKUP(Table_1[[#This Row],[AÇÕES]],'Dados Status Invest'!A:C,3,0)/100</f>
        <v/>
      </c>
      <c r="I321" s="62">
        <f>VLOOKUP(Table_1[[#This Row],[AÇÕES]],'Dados Status Invest'!A:D,4,0)/100</f>
        <v/>
      </c>
      <c r="J321" s="63">
        <f>VLOOKUP(Table_1[[#This Row],[AÇÕES]],'Dados Status Invest'!A:AB,28,0)</f>
        <v/>
      </c>
      <c r="K321" s="63">
        <f>VLOOKUP(Table_1[[#This Row],[AÇÕES]],'Dados Status Invest'!A:AA,27,0)</f>
        <v/>
      </c>
      <c r="L321" s="63">
        <f>Table_1[[#This Row],[PREÇO]]*Table_1[[#This Row],[DY]]</f>
        <v/>
      </c>
      <c r="M321" s="62">
        <f>$E$13</f>
        <v/>
      </c>
      <c r="N321" s="62" t="n">
        <v>0.3</v>
      </c>
      <c r="O321" s="62">
        <f>Table_1[[#This Row],[DPA]]/Table_1[[#This Row],[LPA]]</f>
        <v/>
      </c>
      <c r="P321" s="62">
        <f>IF(Table_1[[#This Row],[PAYOUT]]&lt;=40%,"CRESCIMENTO",IF(Table_1[[#This Row],[PAYOUT]]&lt;=60%,"INDEFINIDO","DIVIDENDOS"))</f>
        <v/>
      </c>
      <c r="Q321" s="62">
        <f>VLOOKUP(Table_1[[#This Row],[AÇÕES]],'Dados Status Invest'!A:R,18,0)/100</f>
        <v/>
      </c>
      <c r="R321" s="62">
        <f>VLOOKUP(Table_1[[#This Row],[AÇÕES]],'Dados Status Invest'!A:Y,25,0)/100</f>
        <v/>
      </c>
      <c r="S321" s="62">
        <f>(1-Table_1[[#This Row],[PAYOUT]])*Table_1[[#This Row],[ROE]]</f>
        <v/>
      </c>
      <c r="T321" s="98">
        <f>AVERAGE(Table_1[[#This Row],[CAGR LUCRO 5A]],Table_1[[#This Row],[CRESCIMENTO DAMODARAN]])</f>
        <v/>
      </c>
      <c r="U321" s="64">
        <f>(Table_1[[#This Row],[PREÇO JUSTO BAZIN]]-Table_1[[#This Row],[PREÇO]])/Table_1[[#This Row],[PREÇO JUSTO BAZIN]]</f>
        <v/>
      </c>
      <c r="V321" s="129">
        <f>Table_1[[#This Row],[DPA]]/6%</f>
        <v/>
      </c>
      <c r="W321" s="129">
        <f>Table_1[[#This Row],[PREÇO JUSTO BAZIN]]/(1+Table_1[[#This Row],[MARGEM DE DESCONTO]])</f>
        <v/>
      </c>
      <c r="X321" s="64">
        <f>(Table_1[[#This Row],[PREÇO JUSTO GRAHAM]]-Table_1[[#This Row],[PREÇO]])/Table_1[[#This Row],[PREÇO JUSTO GRAHAM]]</f>
        <v/>
      </c>
      <c r="Y321" s="129">
        <f>(22.5*Table_1[[#This Row],[LPA]]*Table_1[[#This Row],[VPA]])^0.5</f>
        <v/>
      </c>
      <c r="Z321" s="129">
        <f>Table_1[[#This Row],[PREÇO JUSTO GRAHAM]]/(1+Table_1[[#This Row],[MARGEM DE DESCONTO]])</f>
        <v/>
      </c>
      <c r="AA321" s="64">
        <f>(Table_1[[#This Row],[PREÇO JUSTO GORDON]]-Table_1[[#This Row],[PREÇO]])/Table_1[[#This Row],[PREÇO JUSTO GORDON]]</f>
        <v/>
      </c>
      <c r="AB321" s="130">
        <f>Table_1[[#This Row],[DPA]]*(1+Table_1[[#This Row],[MÉDIA DE CRESCIMENTO]])</f>
        <v/>
      </c>
      <c r="AC321" s="130">
        <f>Table_1[[#This Row],[D1]]/(Table_1[[#This Row],[RISCO]]-Table_1[[#This Row],[MÉDIA DE CRESCIMENTO]])</f>
        <v/>
      </c>
      <c r="AD321" s="130">
        <f>Table_1[[#This Row],[PREÇO JUSTO GORDON]]/(1+Table_1[[#This Row],[MARGEM DE DESCONTO]])</f>
        <v/>
      </c>
      <c r="AE321" s="78">
        <f>Table_1[[#This Row],[P/L]]/Table_1[[#This Row],[MÉDIA DE CRESCIMENTO]]</f>
        <v/>
      </c>
    </row>
    <row r="322" ht="15.75" customHeight="1">
      <c r="B322" s="77">
        <f>'Dados Status Invest'!A308</f>
        <v/>
      </c>
      <c r="C322" s="60">
        <f>VLOOKUP(Table_1[[#This Row],[AÇÕES]],'Classificação B3'!A:B,2,0)</f>
        <v/>
      </c>
      <c r="D322" s="60">
        <f>VLOOKUP(Table_1[[#This Row],[AÇÕES]],'Classificação B3'!A:D,4,0)</f>
        <v/>
      </c>
      <c r="E322" s="60">
        <f>VLOOKUP(Table_1[[#This Row],[AÇÕES]],'Classificação B3'!A:F,6,0)</f>
        <v/>
      </c>
      <c r="F322" s="60">
        <f>VLOOKUP(Table_1[[#This Row],[AÇÕES]],'Classificação B3'!A:G,7,0)</f>
        <v/>
      </c>
      <c r="G322" s="61">
        <f>VLOOKUP(Table_1[[#This Row],[AÇÕES]],'Dados Status Invest'!A:B,2,0)</f>
        <v/>
      </c>
      <c r="H322" s="62">
        <f>VLOOKUP(Table_1[[#This Row],[AÇÕES]],'Dados Status Invest'!A:C,3,0)/100</f>
        <v/>
      </c>
      <c r="I322" s="62">
        <f>VLOOKUP(Table_1[[#This Row],[AÇÕES]],'Dados Status Invest'!A:D,4,0)/100</f>
        <v/>
      </c>
      <c r="J322" s="63">
        <f>VLOOKUP(Table_1[[#This Row],[AÇÕES]],'Dados Status Invest'!A:AB,28,0)</f>
        <v/>
      </c>
      <c r="K322" s="63">
        <f>VLOOKUP(Table_1[[#This Row],[AÇÕES]],'Dados Status Invest'!A:AA,27,0)</f>
        <v/>
      </c>
      <c r="L322" s="63">
        <f>Table_1[[#This Row],[PREÇO]]*Table_1[[#This Row],[DY]]</f>
        <v/>
      </c>
      <c r="M322" s="62">
        <f>$E$13</f>
        <v/>
      </c>
      <c r="N322" s="62" t="n">
        <v>0.3</v>
      </c>
      <c r="O322" s="62">
        <f>Table_1[[#This Row],[DPA]]/Table_1[[#This Row],[LPA]]</f>
        <v/>
      </c>
      <c r="P322" s="62">
        <f>IF(Table_1[[#This Row],[PAYOUT]]&lt;=40%,"CRESCIMENTO",IF(Table_1[[#This Row],[PAYOUT]]&lt;=60%,"INDEFINIDO","DIVIDENDOS"))</f>
        <v/>
      </c>
      <c r="Q322" s="62">
        <f>VLOOKUP(Table_1[[#This Row],[AÇÕES]],'Dados Status Invest'!A:R,18,0)/100</f>
        <v/>
      </c>
      <c r="R322" s="62">
        <f>VLOOKUP(Table_1[[#This Row],[AÇÕES]],'Dados Status Invest'!A:Y,25,0)/100</f>
        <v/>
      </c>
      <c r="S322" s="62">
        <f>(1-Table_1[[#This Row],[PAYOUT]])*Table_1[[#This Row],[ROE]]</f>
        <v/>
      </c>
      <c r="T322" s="98">
        <f>AVERAGE(Table_1[[#This Row],[CAGR LUCRO 5A]],Table_1[[#This Row],[CRESCIMENTO DAMODARAN]])</f>
        <v/>
      </c>
      <c r="U322" s="64">
        <f>(Table_1[[#This Row],[PREÇO JUSTO BAZIN]]-Table_1[[#This Row],[PREÇO]])/Table_1[[#This Row],[PREÇO JUSTO BAZIN]]</f>
        <v/>
      </c>
      <c r="V322" s="129">
        <f>Table_1[[#This Row],[DPA]]/6%</f>
        <v/>
      </c>
      <c r="W322" s="129">
        <f>Table_1[[#This Row],[PREÇO JUSTO BAZIN]]/(1+Table_1[[#This Row],[MARGEM DE DESCONTO]])</f>
        <v/>
      </c>
      <c r="X322" s="64">
        <f>(Table_1[[#This Row],[PREÇO JUSTO GRAHAM]]-Table_1[[#This Row],[PREÇO]])/Table_1[[#This Row],[PREÇO JUSTO GRAHAM]]</f>
        <v/>
      </c>
      <c r="Y322" s="129">
        <f>(22.5*Table_1[[#This Row],[LPA]]*Table_1[[#This Row],[VPA]])^0.5</f>
        <v/>
      </c>
      <c r="Z322" s="129">
        <f>Table_1[[#This Row],[PREÇO JUSTO GRAHAM]]/(1+Table_1[[#This Row],[MARGEM DE DESCONTO]])</f>
        <v/>
      </c>
      <c r="AA322" s="64">
        <f>(Table_1[[#This Row],[PREÇO JUSTO GORDON]]-Table_1[[#This Row],[PREÇO]])/Table_1[[#This Row],[PREÇO JUSTO GORDON]]</f>
        <v/>
      </c>
      <c r="AB322" s="130">
        <f>Table_1[[#This Row],[DPA]]*(1+Table_1[[#This Row],[MÉDIA DE CRESCIMENTO]])</f>
        <v/>
      </c>
      <c r="AC322" s="130">
        <f>Table_1[[#This Row],[D1]]/(Table_1[[#This Row],[RISCO]]-Table_1[[#This Row],[MÉDIA DE CRESCIMENTO]])</f>
        <v/>
      </c>
      <c r="AD322" s="130">
        <f>Table_1[[#This Row],[PREÇO JUSTO GORDON]]/(1+Table_1[[#This Row],[MARGEM DE DESCONTO]])</f>
        <v/>
      </c>
      <c r="AE322" s="78">
        <f>Table_1[[#This Row],[P/L]]/Table_1[[#This Row],[MÉDIA DE CRESCIMENTO]]</f>
        <v/>
      </c>
    </row>
    <row r="323" ht="15.75" customHeight="1">
      <c r="B323" s="77">
        <f>'Dados Status Invest'!A309</f>
        <v/>
      </c>
      <c r="C323" s="60">
        <f>VLOOKUP(Table_1[[#This Row],[AÇÕES]],'Classificação B3'!A:B,2,0)</f>
        <v/>
      </c>
      <c r="D323" s="60">
        <f>VLOOKUP(Table_1[[#This Row],[AÇÕES]],'Classificação B3'!A:D,4,0)</f>
        <v/>
      </c>
      <c r="E323" s="60">
        <f>VLOOKUP(Table_1[[#This Row],[AÇÕES]],'Classificação B3'!A:F,6,0)</f>
        <v/>
      </c>
      <c r="F323" s="60">
        <f>VLOOKUP(Table_1[[#This Row],[AÇÕES]],'Classificação B3'!A:G,7,0)</f>
        <v/>
      </c>
      <c r="G323" s="61">
        <f>VLOOKUP(Table_1[[#This Row],[AÇÕES]],'Dados Status Invest'!A:B,2,0)</f>
        <v/>
      </c>
      <c r="H323" s="62">
        <f>VLOOKUP(Table_1[[#This Row],[AÇÕES]],'Dados Status Invest'!A:C,3,0)/100</f>
        <v/>
      </c>
      <c r="I323" s="62">
        <f>VLOOKUP(Table_1[[#This Row],[AÇÕES]],'Dados Status Invest'!A:D,4,0)/100</f>
        <v/>
      </c>
      <c r="J323" s="63">
        <f>VLOOKUP(Table_1[[#This Row],[AÇÕES]],'Dados Status Invest'!A:AB,28,0)</f>
        <v/>
      </c>
      <c r="K323" s="63">
        <f>VLOOKUP(Table_1[[#This Row],[AÇÕES]],'Dados Status Invest'!A:AA,27,0)</f>
        <v/>
      </c>
      <c r="L323" s="63">
        <f>Table_1[[#This Row],[PREÇO]]*Table_1[[#This Row],[DY]]</f>
        <v/>
      </c>
      <c r="M323" s="62">
        <f>$E$13</f>
        <v/>
      </c>
      <c r="N323" s="62" t="n">
        <v>0.3</v>
      </c>
      <c r="O323" s="62">
        <f>Table_1[[#This Row],[DPA]]/Table_1[[#This Row],[LPA]]</f>
        <v/>
      </c>
      <c r="P323" s="62">
        <f>IF(Table_1[[#This Row],[PAYOUT]]&lt;=40%,"CRESCIMENTO",IF(Table_1[[#This Row],[PAYOUT]]&lt;=60%,"INDEFINIDO","DIVIDENDOS"))</f>
        <v/>
      </c>
      <c r="Q323" s="62">
        <f>VLOOKUP(Table_1[[#This Row],[AÇÕES]],'Dados Status Invest'!A:R,18,0)/100</f>
        <v/>
      </c>
      <c r="R323" s="62">
        <f>VLOOKUP(Table_1[[#This Row],[AÇÕES]],'Dados Status Invest'!A:Y,25,0)/100</f>
        <v/>
      </c>
      <c r="S323" s="62">
        <f>(1-Table_1[[#This Row],[PAYOUT]])*Table_1[[#This Row],[ROE]]</f>
        <v/>
      </c>
      <c r="T323" s="98">
        <f>AVERAGE(Table_1[[#This Row],[CAGR LUCRO 5A]],Table_1[[#This Row],[CRESCIMENTO DAMODARAN]])</f>
        <v/>
      </c>
      <c r="U323" s="64">
        <f>(Table_1[[#This Row],[PREÇO JUSTO BAZIN]]-Table_1[[#This Row],[PREÇO]])/Table_1[[#This Row],[PREÇO JUSTO BAZIN]]</f>
        <v/>
      </c>
      <c r="V323" s="129">
        <f>Table_1[[#This Row],[DPA]]/6%</f>
        <v/>
      </c>
      <c r="W323" s="129">
        <f>Table_1[[#This Row],[PREÇO JUSTO BAZIN]]/(1+Table_1[[#This Row],[MARGEM DE DESCONTO]])</f>
        <v/>
      </c>
      <c r="X323" s="64">
        <f>(Table_1[[#This Row],[PREÇO JUSTO GRAHAM]]-Table_1[[#This Row],[PREÇO]])/Table_1[[#This Row],[PREÇO JUSTO GRAHAM]]</f>
        <v/>
      </c>
      <c r="Y323" s="129">
        <f>(22.5*Table_1[[#This Row],[LPA]]*Table_1[[#This Row],[VPA]])^0.5</f>
        <v/>
      </c>
      <c r="Z323" s="129">
        <f>Table_1[[#This Row],[PREÇO JUSTO GRAHAM]]/(1+Table_1[[#This Row],[MARGEM DE DESCONTO]])</f>
        <v/>
      </c>
      <c r="AA323" s="64">
        <f>(Table_1[[#This Row],[PREÇO JUSTO GORDON]]-Table_1[[#This Row],[PREÇO]])/Table_1[[#This Row],[PREÇO JUSTO GORDON]]</f>
        <v/>
      </c>
      <c r="AB323" s="130">
        <f>Table_1[[#This Row],[DPA]]*(1+Table_1[[#This Row],[MÉDIA DE CRESCIMENTO]])</f>
        <v/>
      </c>
      <c r="AC323" s="130">
        <f>Table_1[[#This Row],[D1]]/(Table_1[[#This Row],[RISCO]]-Table_1[[#This Row],[MÉDIA DE CRESCIMENTO]])</f>
        <v/>
      </c>
      <c r="AD323" s="130">
        <f>Table_1[[#This Row],[PREÇO JUSTO GORDON]]/(1+Table_1[[#This Row],[MARGEM DE DESCONTO]])</f>
        <v/>
      </c>
      <c r="AE323" s="78">
        <f>Table_1[[#This Row],[P/L]]/Table_1[[#This Row],[MÉDIA DE CRESCIMENTO]]</f>
        <v/>
      </c>
    </row>
    <row r="324" ht="15.75" customHeight="1">
      <c r="B324" s="77">
        <f>'Dados Status Invest'!A310</f>
        <v/>
      </c>
      <c r="C324" s="60">
        <f>VLOOKUP(Table_1[[#This Row],[AÇÕES]],'Classificação B3'!A:B,2,0)</f>
        <v/>
      </c>
      <c r="D324" s="60">
        <f>VLOOKUP(Table_1[[#This Row],[AÇÕES]],'Classificação B3'!A:D,4,0)</f>
        <v/>
      </c>
      <c r="E324" s="60">
        <f>VLOOKUP(Table_1[[#This Row],[AÇÕES]],'Classificação B3'!A:F,6,0)</f>
        <v/>
      </c>
      <c r="F324" s="60">
        <f>VLOOKUP(Table_1[[#This Row],[AÇÕES]],'Classificação B3'!A:G,7,0)</f>
        <v/>
      </c>
      <c r="G324" s="61">
        <f>VLOOKUP(Table_1[[#This Row],[AÇÕES]],'Dados Status Invest'!A:B,2,0)</f>
        <v/>
      </c>
      <c r="H324" s="62">
        <f>VLOOKUP(Table_1[[#This Row],[AÇÕES]],'Dados Status Invest'!A:C,3,0)/100</f>
        <v/>
      </c>
      <c r="I324" s="62">
        <f>VLOOKUP(Table_1[[#This Row],[AÇÕES]],'Dados Status Invest'!A:D,4,0)/100</f>
        <v/>
      </c>
      <c r="J324" s="63">
        <f>VLOOKUP(Table_1[[#This Row],[AÇÕES]],'Dados Status Invest'!A:AB,28,0)</f>
        <v/>
      </c>
      <c r="K324" s="63">
        <f>VLOOKUP(Table_1[[#This Row],[AÇÕES]],'Dados Status Invest'!A:AA,27,0)</f>
        <v/>
      </c>
      <c r="L324" s="63">
        <f>Table_1[[#This Row],[PREÇO]]*Table_1[[#This Row],[DY]]</f>
        <v/>
      </c>
      <c r="M324" s="62">
        <f>$E$13</f>
        <v/>
      </c>
      <c r="N324" s="62" t="n">
        <v>0.3</v>
      </c>
      <c r="O324" s="62">
        <f>Table_1[[#This Row],[DPA]]/Table_1[[#This Row],[LPA]]</f>
        <v/>
      </c>
      <c r="P324" s="62">
        <f>IF(Table_1[[#This Row],[PAYOUT]]&lt;=40%,"CRESCIMENTO",IF(Table_1[[#This Row],[PAYOUT]]&lt;=60%,"INDEFINIDO","DIVIDENDOS"))</f>
        <v/>
      </c>
      <c r="Q324" s="62">
        <f>VLOOKUP(Table_1[[#This Row],[AÇÕES]],'Dados Status Invest'!A:R,18,0)/100</f>
        <v/>
      </c>
      <c r="R324" s="62">
        <f>VLOOKUP(Table_1[[#This Row],[AÇÕES]],'Dados Status Invest'!A:Y,25,0)/100</f>
        <v/>
      </c>
      <c r="S324" s="62">
        <f>(1-Table_1[[#This Row],[PAYOUT]])*Table_1[[#This Row],[ROE]]</f>
        <v/>
      </c>
      <c r="T324" s="98">
        <f>AVERAGE(Table_1[[#This Row],[CAGR LUCRO 5A]],Table_1[[#This Row],[CRESCIMENTO DAMODARAN]])</f>
        <v/>
      </c>
      <c r="U324" s="64">
        <f>(Table_1[[#This Row],[PREÇO JUSTO BAZIN]]-Table_1[[#This Row],[PREÇO]])/Table_1[[#This Row],[PREÇO JUSTO BAZIN]]</f>
        <v/>
      </c>
      <c r="V324" s="129">
        <f>Table_1[[#This Row],[DPA]]/6%</f>
        <v/>
      </c>
      <c r="W324" s="129">
        <f>Table_1[[#This Row],[PREÇO JUSTO BAZIN]]/(1+Table_1[[#This Row],[MARGEM DE DESCONTO]])</f>
        <v/>
      </c>
      <c r="X324" s="64">
        <f>(Table_1[[#This Row],[PREÇO JUSTO GRAHAM]]-Table_1[[#This Row],[PREÇO]])/Table_1[[#This Row],[PREÇO JUSTO GRAHAM]]</f>
        <v/>
      </c>
      <c r="Y324" s="129">
        <f>(22.5*Table_1[[#This Row],[LPA]]*Table_1[[#This Row],[VPA]])^0.5</f>
        <v/>
      </c>
      <c r="Z324" s="129">
        <f>Table_1[[#This Row],[PREÇO JUSTO GRAHAM]]/(1+Table_1[[#This Row],[MARGEM DE DESCONTO]])</f>
        <v/>
      </c>
      <c r="AA324" s="64">
        <f>(Table_1[[#This Row],[PREÇO JUSTO GORDON]]-Table_1[[#This Row],[PREÇO]])/Table_1[[#This Row],[PREÇO JUSTO GORDON]]</f>
        <v/>
      </c>
      <c r="AB324" s="130">
        <f>Table_1[[#This Row],[DPA]]*(1+Table_1[[#This Row],[MÉDIA DE CRESCIMENTO]])</f>
        <v/>
      </c>
      <c r="AC324" s="130">
        <f>Table_1[[#This Row],[D1]]/(Table_1[[#This Row],[RISCO]]-Table_1[[#This Row],[MÉDIA DE CRESCIMENTO]])</f>
        <v/>
      </c>
      <c r="AD324" s="130">
        <f>Table_1[[#This Row],[PREÇO JUSTO GORDON]]/(1+Table_1[[#This Row],[MARGEM DE DESCONTO]])</f>
        <v/>
      </c>
      <c r="AE324" s="78">
        <f>Table_1[[#This Row],[P/L]]/Table_1[[#This Row],[MÉDIA DE CRESCIMENTO]]</f>
        <v/>
      </c>
    </row>
    <row r="325" ht="15.75" customHeight="1">
      <c r="B325" s="77">
        <f>'Dados Status Invest'!A311</f>
        <v/>
      </c>
      <c r="C325" s="60">
        <f>VLOOKUP(Table_1[[#This Row],[AÇÕES]],'Classificação B3'!A:B,2,0)</f>
        <v/>
      </c>
      <c r="D325" s="60">
        <f>VLOOKUP(Table_1[[#This Row],[AÇÕES]],'Classificação B3'!A:D,4,0)</f>
        <v/>
      </c>
      <c r="E325" s="60">
        <f>VLOOKUP(Table_1[[#This Row],[AÇÕES]],'Classificação B3'!A:F,6,0)</f>
        <v/>
      </c>
      <c r="F325" s="60">
        <f>VLOOKUP(Table_1[[#This Row],[AÇÕES]],'Classificação B3'!A:G,7,0)</f>
        <v/>
      </c>
      <c r="G325" s="61">
        <f>VLOOKUP(Table_1[[#This Row],[AÇÕES]],'Dados Status Invest'!A:B,2,0)</f>
        <v/>
      </c>
      <c r="H325" s="62">
        <f>VLOOKUP(Table_1[[#This Row],[AÇÕES]],'Dados Status Invest'!A:C,3,0)/100</f>
        <v/>
      </c>
      <c r="I325" s="62">
        <f>VLOOKUP(Table_1[[#This Row],[AÇÕES]],'Dados Status Invest'!A:D,4,0)/100</f>
        <v/>
      </c>
      <c r="J325" s="63">
        <f>VLOOKUP(Table_1[[#This Row],[AÇÕES]],'Dados Status Invest'!A:AB,28,0)</f>
        <v/>
      </c>
      <c r="K325" s="63">
        <f>VLOOKUP(Table_1[[#This Row],[AÇÕES]],'Dados Status Invest'!A:AA,27,0)</f>
        <v/>
      </c>
      <c r="L325" s="63">
        <f>Table_1[[#This Row],[PREÇO]]*Table_1[[#This Row],[DY]]</f>
        <v/>
      </c>
      <c r="M325" s="62">
        <f>$E$13</f>
        <v/>
      </c>
      <c r="N325" s="62" t="n">
        <v>0.3</v>
      </c>
      <c r="O325" s="62">
        <f>Table_1[[#This Row],[DPA]]/Table_1[[#This Row],[LPA]]</f>
        <v/>
      </c>
      <c r="P325" s="62">
        <f>IF(Table_1[[#This Row],[PAYOUT]]&lt;=40%,"CRESCIMENTO",IF(Table_1[[#This Row],[PAYOUT]]&lt;=60%,"INDEFINIDO","DIVIDENDOS"))</f>
        <v/>
      </c>
      <c r="Q325" s="62">
        <f>VLOOKUP(Table_1[[#This Row],[AÇÕES]],'Dados Status Invest'!A:R,18,0)/100</f>
        <v/>
      </c>
      <c r="R325" s="62">
        <f>VLOOKUP(Table_1[[#This Row],[AÇÕES]],'Dados Status Invest'!A:Y,25,0)/100</f>
        <v/>
      </c>
      <c r="S325" s="62">
        <f>(1-Table_1[[#This Row],[PAYOUT]])*Table_1[[#This Row],[ROE]]</f>
        <v/>
      </c>
      <c r="T325" s="98">
        <f>AVERAGE(Table_1[[#This Row],[CAGR LUCRO 5A]],Table_1[[#This Row],[CRESCIMENTO DAMODARAN]])</f>
        <v/>
      </c>
      <c r="U325" s="64">
        <f>(Table_1[[#This Row],[PREÇO JUSTO BAZIN]]-Table_1[[#This Row],[PREÇO]])/Table_1[[#This Row],[PREÇO JUSTO BAZIN]]</f>
        <v/>
      </c>
      <c r="V325" s="129">
        <f>Table_1[[#This Row],[DPA]]/6%</f>
        <v/>
      </c>
      <c r="W325" s="129">
        <f>Table_1[[#This Row],[PREÇO JUSTO BAZIN]]/(1+Table_1[[#This Row],[MARGEM DE DESCONTO]])</f>
        <v/>
      </c>
      <c r="X325" s="64">
        <f>(Table_1[[#This Row],[PREÇO JUSTO GRAHAM]]-Table_1[[#This Row],[PREÇO]])/Table_1[[#This Row],[PREÇO JUSTO GRAHAM]]</f>
        <v/>
      </c>
      <c r="Y325" s="129">
        <f>(22.5*Table_1[[#This Row],[LPA]]*Table_1[[#This Row],[VPA]])^0.5</f>
        <v/>
      </c>
      <c r="Z325" s="129">
        <f>Table_1[[#This Row],[PREÇO JUSTO GRAHAM]]/(1+Table_1[[#This Row],[MARGEM DE DESCONTO]])</f>
        <v/>
      </c>
      <c r="AA325" s="64">
        <f>(Table_1[[#This Row],[PREÇO JUSTO GORDON]]-Table_1[[#This Row],[PREÇO]])/Table_1[[#This Row],[PREÇO JUSTO GORDON]]</f>
        <v/>
      </c>
      <c r="AB325" s="130">
        <f>Table_1[[#This Row],[DPA]]*(1+Table_1[[#This Row],[MÉDIA DE CRESCIMENTO]])</f>
        <v/>
      </c>
      <c r="AC325" s="130">
        <f>Table_1[[#This Row],[D1]]/(Table_1[[#This Row],[RISCO]]-Table_1[[#This Row],[MÉDIA DE CRESCIMENTO]])</f>
        <v/>
      </c>
      <c r="AD325" s="130">
        <f>Table_1[[#This Row],[PREÇO JUSTO GORDON]]/(1+Table_1[[#This Row],[MARGEM DE DESCONTO]])</f>
        <v/>
      </c>
      <c r="AE325" s="78">
        <f>Table_1[[#This Row],[P/L]]/Table_1[[#This Row],[MÉDIA DE CRESCIMENTO]]</f>
        <v/>
      </c>
    </row>
    <row r="326" ht="15.75" customHeight="1">
      <c r="B326" s="77">
        <f>'Dados Status Invest'!A312</f>
        <v/>
      </c>
      <c r="C326" s="60">
        <f>VLOOKUP(Table_1[[#This Row],[AÇÕES]],'Classificação B3'!A:B,2,0)</f>
        <v/>
      </c>
      <c r="D326" s="60">
        <f>VLOOKUP(Table_1[[#This Row],[AÇÕES]],'Classificação B3'!A:D,4,0)</f>
        <v/>
      </c>
      <c r="E326" s="60">
        <f>VLOOKUP(Table_1[[#This Row],[AÇÕES]],'Classificação B3'!A:F,6,0)</f>
        <v/>
      </c>
      <c r="F326" s="60">
        <f>VLOOKUP(Table_1[[#This Row],[AÇÕES]],'Classificação B3'!A:G,7,0)</f>
        <v/>
      </c>
      <c r="G326" s="61">
        <f>VLOOKUP(Table_1[[#This Row],[AÇÕES]],'Dados Status Invest'!A:B,2,0)</f>
        <v/>
      </c>
      <c r="H326" s="62">
        <f>VLOOKUP(Table_1[[#This Row],[AÇÕES]],'Dados Status Invest'!A:C,3,0)/100</f>
        <v/>
      </c>
      <c r="I326" s="62">
        <f>VLOOKUP(Table_1[[#This Row],[AÇÕES]],'Dados Status Invest'!A:D,4,0)/100</f>
        <v/>
      </c>
      <c r="J326" s="63">
        <f>VLOOKUP(Table_1[[#This Row],[AÇÕES]],'Dados Status Invest'!A:AB,28,0)</f>
        <v/>
      </c>
      <c r="K326" s="63">
        <f>VLOOKUP(Table_1[[#This Row],[AÇÕES]],'Dados Status Invest'!A:AA,27,0)</f>
        <v/>
      </c>
      <c r="L326" s="63">
        <f>Table_1[[#This Row],[PREÇO]]*Table_1[[#This Row],[DY]]</f>
        <v/>
      </c>
      <c r="M326" s="62">
        <f>$E$13</f>
        <v/>
      </c>
      <c r="N326" s="62" t="n">
        <v>0.3</v>
      </c>
      <c r="O326" s="62">
        <f>Table_1[[#This Row],[DPA]]/Table_1[[#This Row],[LPA]]</f>
        <v/>
      </c>
      <c r="P326" s="62">
        <f>IF(Table_1[[#This Row],[PAYOUT]]&lt;=40%,"CRESCIMENTO",IF(Table_1[[#This Row],[PAYOUT]]&lt;=60%,"INDEFINIDO","DIVIDENDOS"))</f>
        <v/>
      </c>
      <c r="Q326" s="62">
        <f>VLOOKUP(Table_1[[#This Row],[AÇÕES]],'Dados Status Invest'!A:R,18,0)/100</f>
        <v/>
      </c>
      <c r="R326" s="62">
        <f>VLOOKUP(Table_1[[#This Row],[AÇÕES]],'Dados Status Invest'!A:Y,25,0)/100</f>
        <v/>
      </c>
      <c r="S326" s="62">
        <f>(1-Table_1[[#This Row],[PAYOUT]])*Table_1[[#This Row],[ROE]]</f>
        <v/>
      </c>
      <c r="T326" s="98">
        <f>AVERAGE(Table_1[[#This Row],[CAGR LUCRO 5A]],Table_1[[#This Row],[CRESCIMENTO DAMODARAN]])</f>
        <v/>
      </c>
      <c r="U326" s="64">
        <f>(Table_1[[#This Row],[PREÇO JUSTO BAZIN]]-Table_1[[#This Row],[PREÇO]])/Table_1[[#This Row],[PREÇO JUSTO BAZIN]]</f>
        <v/>
      </c>
      <c r="V326" s="129">
        <f>Table_1[[#This Row],[DPA]]/6%</f>
        <v/>
      </c>
      <c r="W326" s="129">
        <f>Table_1[[#This Row],[PREÇO JUSTO BAZIN]]/(1+Table_1[[#This Row],[MARGEM DE DESCONTO]])</f>
        <v/>
      </c>
      <c r="X326" s="64">
        <f>(Table_1[[#This Row],[PREÇO JUSTO GRAHAM]]-Table_1[[#This Row],[PREÇO]])/Table_1[[#This Row],[PREÇO JUSTO GRAHAM]]</f>
        <v/>
      </c>
      <c r="Y326" s="129">
        <f>(22.5*Table_1[[#This Row],[LPA]]*Table_1[[#This Row],[VPA]])^0.5</f>
        <v/>
      </c>
      <c r="Z326" s="129">
        <f>Table_1[[#This Row],[PREÇO JUSTO GRAHAM]]/(1+Table_1[[#This Row],[MARGEM DE DESCONTO]])</f>
        <v/>
      </c>
      <c r="AA326" s="64">
        <f>(Table_1[[#This Row],[PREÇO JUSTO GORDON]]-Table_1[[#This Row],[PREÇO]])/Table_1[[#This Row],[PREÇO JUSTO GORDON]]</f>
        <v/>
      </c>
      <c r="AB326" s="130">
        <f>Table_1[[#This Row],[DPA]]*(1+Table_1[[#This Row],[MÉDIA DE CRESCIMENTO]])</f>
        <v/>
      </c>
      <c r="AC326" s="130">
        <f>Table_1[[#This Row],[D1]]/(Table_1[[#This Row],[RISCO]]-Table_1[[#This Row],[MÉDIA DE CRESCIMENTO]])</f>
        <v/>
      </c>
      <c r="AD326" s="130">
        <f>Table_1[[#This Row],[PREÇO JUSTO GORDON]]/(1+Table_1[[#This Row],[MARGEM DE DESCONTO]])</f>
        <v/>
      </c>
      <c r="AE326" s="78">
        <f>Table_1[[#This Row],[P/L]]/Table_1[[#This Row],[MÉDIA DE CRESCIMENTO]]</f>
        <v/>
      </c>
    </row>
    <row r="327" ht="15.75" customHeight="1">
      <c r="B327" s="77">
        <f>'Dados Status Invest'!A313</f>
        <v/>
      </c>
      <c r="C327" s="60">
        <f>VLOOKUP(Table_1[[#This Row],[AÇÕES]],'Classificação B3'!A:B,2,0)</f>
        <v/>
      </c>
      <c r="D327" s="60">
        <f>VLOOKUP(Table_1[[#This Row],[AÇÕES]],'Classificação B3'!A:D,4,0)</f>
        <v/>
      </c>
      <c r="E327" s="60">
        <f>VLOOKUP(Table_1[[#This Row],[AÇÕES]],'Classificação B3'!A:F,6,0)</f>
        <v/>
      </c>
      <c r="F327" s="60">
        <f>VLOOKUP(Table_1[[#This Row],[AÇÕES]],'Classificação B3'!A:G,7,0)</f>
        <v/>
      </c>
      <c r="G327" s="61">
        <f>VLOOKUP(Table_1[[#This Row],[AÇÕES]],'Dados Status Invest'!A:B,2,0)</f>
        <v/>
      </c>
      <c r="H327" s="62">
        <f>VLOOKUP(Table_1[[#This Row],[AÇÕES]],'Dados Status Invest'!A:C,3,0)/100</f>
        <v/>
      </c>
      <c r="I327" s="62">
        <f>VLOOKUP(Table_1[[#This Row],[AÇÕES]],'Dados Status Invest'!A:D,4,0)/100</f>
        <v/>
      </c>
      <c r="J327" s="63">
        <f>VLOOKUP(Table_1[[#This Row],[AÇÕES]],'Dados Status Invest'!A:AB,28,0)</f>
        <v/>
      </c>
      <c r="K327" s="63">
        <f>VLOOKUP(Table_1[[#This Row],[AÇÕES]],'Dados Status Invest'!A:AA,27,0)</f>
        <v/>
      </c>
      <c r="L327" s="63">
        <f>Table_1[[#This Row],[PREÇO]]*Table_1[[#This Row],[DY]]</f>
        <v/>
      </c>
      <c r="M327" s="62">
        <f>$E$13</f>
        <v/>
      </c>
      <c r="N327" s="62" t="n">
        <v>0.3</v>
      </c>
      <c r="O327" s="62">
        <f>Table_1[[#This Row],[DPA]]/Table_1[[#This Row],[LPA]]</f>
        <v/>
      </c>
      <c r="P327" s="62">
        <f>IF(Table_1[[#This Row],[PAYOUT]]&lt;=40%,"CRESCIMENTO",IF(Table_1[[#This Row],[PAYOUT]]&lt;=60%,"INDEFINIDO","DIVIDENDOS"))</f>
        <v/>
      </c>
      <c r="Q327" s="62">
        <f>VLOOKUP(Table_1[[#This Row],[AÇÕES]],'Dados Status Invest'!A:R,18,0)/100</f>
        <v/>
      </c>
      <c r="R327" s="62">
        <f>VLOOKUP(Table_1[[#This Row],[AÇÕES]],'Dados Status Invest'!A:Y,25,0)/100</f>
        <v/>
      </c>
      <c r="S327" s="62">
        <f>(1-Table_1[[#This Row],[PAYOUT]])*Table_1[[#This Row],[ROE]]</f>
        <v/>
      </c>
      <c r="T327" s="98">
        <f>AVERAGE(Table_1[[#This Row],[CAGR LUCRO 5A]],Table_1[[#This Row],[CRESCIMENTO DAMODARAN]])</f>
        <v/>
      </c>
      <c r="U327" s="64">
        <f>(Table_1[[#This Row],[PREÇO JUSTO BAZIN]]-Table_1[[#This Row],[PREÇO]])/Table_1[[#This Row],[PREÇO JUSTO BAZIN]]</f>
        <v/>
      </c>
      <c r="V327" s="129">
        <f>Table_1[[#This Row],[DPA]]/6%</f>
        <v/>
      </c>
      <c r="W327" s="129">
        <f>Table_1[[#This Row],[PREÇO JUSTO BAZIN]]/(1+Table_1[[#This Row],[MARGEM DE DESCONTO]])</f>
        <v/>
      </c>
      <c r="X327" s="64">
        <f>(Table_1[[#This Row],[PREÇO JUSTO GRAHAM]]-Table_1[[#This Row],[PREÇO]])/Table_1[[#This Row],[PREÇO JUSTO GRAHAM]]</f>
        <v/>
      </c>
      <c r="Y327" s="129">
        <f>(22.5*Table_1[[#This Row],[LPA]]*Table_1[[#This Row],[VPA]])^0.5</f>
        <v/>
      </c>
      <c r="Z327" s="129">
        <f>Table_1[[#This Row],[PREÇO JUSTO GRAHAM]]/(1+Table_1[[#This Row],[MARGEM DE DESCONTO]])</f>
        <v/>
      </c>
      <c r="AA327" s="64">
        <f>(Table_1[[#This Row],[PREÇO JUSTO GORDON]]-Table_1[[#This Row],[PREÇO]])/Table_1[[#This Row],[PREÇO JUSTO GORDON]]</f>
        <v/>
      </c>
      <c r="AB327" s="130">
        <f>Table_1[[#This Row],[DPA]]*(1+Table_1[[#This Row],[MÉDIA DE CRESCIMENTO]])</f>
        <v/>
      </c>
      <c r="AC327" s="130">
        <f>Table_1[[#This Row],[D1]]/(Table_1[[#This Row],[RISCO]]-Table_1[[#This Row],[MÉDIA DE CRESCIMENTO]])</f>
        <v/>
      </c>
      <c r="AD327" s="130">
        <f>Table_1[[#This Row],[PREÇO JUSTO GORDON]]/(1+Table_1[[#This Row],[MARGEM DE DESCONTO]])</f>
        <v/>
      </c>
      <c r="AE327" s="78">
        <f>Table_1[[#This Row],[P/L]]/Table_1[[#This Row],[MÉDIA DE CRESCIMENTO]]</f>
        <v/>
      </c>
    </row>
    <row r="328" ht="15.75" customHeight="1">
      <c r="B328" s="77">
        <f>'Dados Status Invest'!A314</f>
        <v/>
      </c>
      <c r="C328" s="60">
        <f>VLOOKUP(Table_1[[#This Row],[AÇÕES]],'Classificação B3'!A:B,2,0)</f>
        <v/>
      </c>
      <c r="D328" s="60">
        <f>VLOOKUP(Table_1[[#This Row],[AÇÕES]],'Classificação B3'!A:D,4,0)</f>
        <v/>
      </c>
      <c r="E328" s="60">
        <f>VLOOKUP(Table_1[[#This Row],[AÇÕES]],'Classificação B3'!A:F,6,0)</f>
        <v/>
      </c>
      <c r="F328" s="60">
        <f>VLOOKUP(Table_1[[#This Row],[AÇÕES]],'Classificação B3'!A:G,7,0)</f>
        <v/>
      </c>
      <c r="G328" s="61">
        <f>VLOOKUP(Table_1[[#This Row],[AÇÕES]],'Dados Status Invest'!A:B,2,0)</f>
        <v/>
      </c>
      <c r="H328" s="62">
        <f>VLOOKUP(Table_1[[#This Row],[AÇÕES]],'Dados Status Invest'!A:C,3,0)/100</f>
        <v/>
      </c>
      <c r="I328" s="62">
        <f>VLOOKUP(Table_1[[#This Row],[AÇÕES]],'Dados Status Invest'!A:D,4,0)/100</f>
        <v/>
      </c>
      <c r="J328" s="63">
        <f>VLOOKUP(Table_1[[#This Row],[AÇÕES]],'Dados Status Invest'!A:AB,28,0)</f>
        <v/>
      </c>
      <c r="K328" s="63">
        <f>VLOOKUP(Table_1[[#This Row],[AÇÕES]],'Dados Status Invest'!A:AA,27,0)</f>
        <v/>
      </c>
      <c r="L328" s="63">
        <f>Table_1[[#This Row],[PREÇO]]*Table_1[[#This Row],[DY]]</f>
        <v/>
      </c>
      <c r="M328" s="62">
        <f>$E$13</f>
        <v/>
      </c>
      <c r="N328" s="62" t="n">
        <v>0.3</v>
      </c>
      <c r="O328" s="62">
        <f>Table_1[[#This Row],[DPA]]/Table_1[[#This Row],[LPA]]</f>
        <v/>
      </c>
      <c r="P328" s="62">
        <f>IF(Table_1[[#This Row],[PAYOUT]]&lt;=40%,"CRESCIMENTO",IF(Table_1[[#This Row],[PAYOUT]]&lt;=60%,"INDEFINIDO","DIVIDENDOS"))</f>
        <v/>
      </c>
      <c r="Q328" s="62">
        <f>VLOOKUP(Table_1[[#This Row],[AÇÕES]],'Dados Status Invest'!A:R,18,0)/100</f>
        <v/>
      </c>
      <c r="R328" s="62">
        <f>VLOOKUP(Table_1[[#This Row],[AÇÕES]],'Dados Status Invest'!A:Y,25,0)/100</f>
        <v/>
      </c>
      <c r="S328" s="62">
        <f>(1-Table_1[[#This Row],[PAYOUT]])*Table_1[[#This Row],[ROE]]</f>
        <v/>
      </c>
      <c r="T328" s="98">
        <f>AVERAGE(Table_1[[#This Row],[CAGR LUCRO 5A]],Table_1[[#This Row],[CRESCIMENTO DAMODARAN]])</f>
        <v/>
      </c>
      <c r="U328" s="64">
        <f>(Table_1[[#This Row],[PREÇO JUSTO BAZIN]]-Table_1[[#This Row],[PREÇO]])/Table_1[[#This Row],[PREÇO JUSTO BAZIN]]</f>
        <v/>
      </c>
      <c r="V328" s="129">
        <f>Table_1[[#This Row],[DPA]]/6%</f>
        <v/>
      </c>
      <c r="W328" s="129">
        <f>Table_1[[#This Row],[PREÇO JUSTO BAZIN]]/(1+Table_1[[#This Row],[MARGEM DE DESCONTO]])</f>
        <v/>
      </c>
      <c r="X328" s="64">
        <f>(Table_1[[#This Row],[PREÇO JUSTO GRAHAM]]-Table_1[[#This Row],[PREÇO]])/Table_1[[#This Row],[PREÇO JUSTO GRAHAM]]</f>
        <v/>
      </c>
      <c r="Y328" s="129">
        <f>(22.5*Table_1[[#This Row],[LPA]]*Table_1[[#This Row],[VPA]])^0.5</f>
        <v/>
      </c>
      <c r="Z328" s="129">
        <f>Table_1[[#This Row],[PREÇO JUSTO GRAHAM]]/(1+Table_1[[#This Row],[MARGEM DE DESCONTO]])</f>
        <v/>
      </c>
      <c r="AA328" s="64">
        <f>(Table_1[[#This Row],[PREÇO JUSTO GORDON]]-Table_1[[#This Row],[PREÇO]])/Table_1[[#This Row],[PREÇO JUSTO GORDON]]</f>
        <v/>
      </c>
      <c r="AB328" s="130">
        <f>Table_1[[#This Row],[DPA]]*(1+Table_1[[#This Row],[MÉDIA DE CRESCIMENTO]])</f>
        <v/>
      </c>
      <c r="AC328" s="130">
        <f>Table_1[[#This Row],[D1]]/(Table_1[[#This Row],[RISCO]]-Table_1[[#This Row],[MÉDIA DE CRESCIMENTO]])</f>
        <v/>
      </c>
      <c r="AD328" s="130">
        <f>Table_1[[#This Row],[PREÇO JUSTO GORDON]]/(1+Table_1[[#This Row],[MARGEM DE DESCONTO]])</f>
        <v/>
      </c>
      <c r="AE328" s="78">
        <f>Table_1[[#This Row],[P/L]]/Table_1[[#This Row],[MÉDIA DE CRESCIMENTO]]</f>
        <v/>
      </c>
    </row>
    <row r="329" ht="15.75" customHeight="1">
      <c r="B329" s="77">
        <f>'Dados Status Invest'!A315</f>
        <v/>
      </c>
      <c r="C329" s="60">
        <f>VLOOKUP(Table_1[[#This Row],[AÇÕES]],'Classificação B3'!A:B,2,0)</f>
        <v/>
      </c>
      <c r="D329" s="60">
        <f>VLOOKUP(Table_1[[#This Row],[AÇÕES]],'Classificação B3'!A:D,4,0)</f>
        <v/>
      </c>
      <c r="E329" s="60">
        <f>VLOOKUP(Table_1[[#This Row],[AÇÕES]],'Classificação B3'!A:F,6,0)</f>
        <v/>
      </c>
      <c r="F329" s="60">
        <f>VLOOKUP(Table_1[[#This Row],[AÇÕES]],'Classificação B3'!A:G,7,0)</f>
        <v/>
      </c>
      <c r="G329" s="61">
        <f>VLOOKUP(Table_1[[#This Row],[AÇÕES]],'Dados Status Invest'!A:B,2,0)</f>
        <v/>
      </c>
      <c r="H329" s="62">
        <f>VLOOKUP(Table_1[[#This Row],[AÇÕES]],'Dados Status Invest'!A:C,3,0)/100</f>
        <v/>
      </c>
      <c r="I329" s="62">
        <f>VLOOKUP(Table_1[[#This Row],[AÇÕES]],'Dados Status Invest'!A:D,4,0)/100</f>
        <v/>
      </c>
      <c r="J329" s="63">
        <f>VLOOKUP(Table_1[[#This Row],[AÇÕES]],'Dados Status Invest'!A:AB,28,0)</f>
        <v/>
      </c>
      <c r="K329" s="63">
        <f>VLOOKUP(Table_1[[#This Row],[AÇÕES]],'Dados Status Invest'!A:AA,27,0)</f>
        <v/>
      </c>
      <c r="L329" s="63">
        <f>Table_1[[#This Row],[PREÇO]]*Table_1[[#This Row],[DY]]</f>
        <v/>
      </c>
      <c r="M329" s="62">
        <f>$E$13</f>
        <v/>
      </c>
      <c r="N329" s="62" t="n">
        <v>0.3</v>
      </c>
      <c r="O329" s="62">
        <f>Table_1[[#This Row],[DPA]]/Table_1[[#This Row],[LPA]]</f>
        <v/>
      </c>
      <c r="P329" s="62">
        <f>IF(Table_1[[#This Row],[PAYOUT]]&lt;=40%,"CRESCIMENTO",IF(Table_1[[#This Row],[PAYOUT]]&lt;=60%,"INDEFINIDO","DIVIDENDOS"))</f>
        <v/>
      </c>
      <c r="Q329" s="62">
        <f>VLOOKUP(Table_1[[#This Row],[AÇÕES]],'Dados Status Invest'!A:R,18,0)/100</f>
        <v/>
      </c>
      <c r="R329" s="62">
        <f>VLOOKUP(Table_1[[#This Row],[AÇÕES]],'Dados Status Invest'!A:Y,25,0)/100</f>
        <v/>
      </c>
      <c r="S329" s="62">
        <f>(1-Table_1[[#This Row],[PAYOUT]])*Table_1[[#This Row],[ROE]]</f>
        <v/>
      </c>
      <c r="T329" s="98">
        <f>AVERAGE(Table_1[[#This Row],[CAGR LUCRO 5A]],Table_1[[#This Row],[CRESCIMENTO DAMODARAN]])</f>
        <v/>
      </c>
      <c r="U329" s="64">
        <f>(Table_1[[#This Row],[PREÇO JUSTO BAZIN]]-Table_1[[#This Row],[PREÇO]])/Table_1[[#This Row],[PREÇO JUSTO BAZIN]]</f>
        <v/>
      </c>
      <c r="V329" s="129">
        <f>Table_1[[#This Row],[DPA]]/6%</f>
        <v/>
      </c>
      <c r="W329" s="129">
        <f>Table_1[[#This Row],[PREÇO JUSTO BAZIN]]/(1+Table_1[[#This Row],[MARGEM DE DESCONTO]])</f>
        <v/>
      </c>
      <c r="X329" s="64">
        <f>(Table_1[[#This Row],[PREÇO JUSTO GRAHAM]]-Table_1[[#This Row],[PREÇO]])/Table_1[[#This Row],[PREÇO JUSTO GRAHAM]]</f>
        <v/>
      </c>
      <c r="Y329" s="129">
        <f>(22.5*Table_1[[#This Row],[LPA]]*Table_1[[#This Row],[VPA]])^0.5</f>
        <v/>
      </c>
      <c r="Z329" s="129">
        <f>Table_1[[#This Row],[PREÇO JUSTO GRAHAM]]/(1+Table_1[[#This Row],[MARGEM DE DESCONTO]])</f>
        <v/>
      </c>
      <c r="AA329" s="64">
        <f>(Table_1[[#This Row],[PREÇO JUSTO GORDON]]-Table_1[[#This Row],[PREÇO]])/Table_1[[#This Row],[PREÇO JUSTO GORDON]]</f>
        <v/>
      </c>
      <c r="AB329" s="130">
        <f>Table_1[[#This Row],[DPA]]*(1+Table_1[[#This Row],[MÉDIA DE CRESCIMENTO]])</f>
        <v/>
      </c>
      <c r="AC329" s="130">
        <f>Table_1[[#This Row],[D1]]/(Table_1[[#This Row],[RISCO]]-Table_1[[#This Row],[MÉDIA DE CRESCIMENTO]])</f>
        <v/>
      </c>
      <c r="AD329" s="130">
        <f>Table_1[[#This Row],[PREÇO JUSTO GORDON]]/(1+Table_1[[#This Row],[MARGEM DE DESCONTO]])</f>
        <v/>
      </c>
      <c r="AE329" s="78">
        <f>Table_1[[#This Row],[P/L]]/Table_1[[#This Row],[MÉDIA DE CRESCIMENTO]]</f>
        <v/>
      </c>
    </row>
    <row r="330" ht="15.75" customHeight="1">
      <c r="B330" s="77">
        <f>'Dados Status Invest'!A316</f>
        <v/>
      </c>
      <c r="C330" s="60">
        <f>VLOOKUP(Table_1[[#This Row],[AÇÕES]],'Classificação B3'!A:B,2,0)</f>
        <v/>
      </c>
      <c r="D330" s="60">
        <f>VLOOKUP(Table_1[[#This Row],[AÇÕES]],'Classificação B3'!A:D,4,0)</f>
        <v/>
      </c>
      <c r="E330" s="60">
        <f>VLOOKUP(Table_1[[#This Row],[AÇÕES]],'Classificação B3'!A:F,6,0)</f>
        <v/>
      </c>
      <c r="F330" s="60">
        <f>VLOOKUP(Table_1[[#This Row],[AÇÕES]],'Classificação B3'!A:G,7,0)</f>
        <v/>
      </c>
      <c r="G330" s="61">
        <f>VLOOKUP(Table_1[[#This Row],[AÇÕES]],'Dados Status Invest'!A:B,2,0)</f>
        <v/>
      </c>
      <c r="H330" s="62">
        <f>VLOOKUP(Table_1[[#This Row],[AÇÕES]],'Dados Status Invest'!A:C,3,0)/100</f>
        <v/>
      </c>
      <c r="I330" s="62">
        <f>VLOOKUP(Table_1[[#This Row],[AÇÕES]],'Dados Status Invest'!A:D,4,0)/100</f>
        <v/>
      </c>
      <c r="J330" s="63">
        <f>VLOOKUP(Table_1[[#This Row],[AÇÕES]],'Dados Status Invest'!A:AB,28,0)</f>
        <v/>
      </c>
      <c r="K330" s="63">
        <f>VLOOKUP(Table_1[[#This Row],[AÇÕES]],'Dados Status Invest'!A:AA,27,0)</f>
        <v/>
      </c>
      <c r="L330" s="63">
        <f>Table_1[[#This Row],[PREÇO]]*Table_1[[#This Row],[DY]]</f>
        <v/>
      </c>
      <c r="M330" s="62">
        <f>$E$13</f>
        <v/>
      </c>
      <c r="N330" s="62" t="n">
        <v>0.3</v>
      </c>
      <c r="O330" s="62">
        <f>Table_1[[#This Row],[DPA]]/Table_1[[#This Row],[LPA]]</f>
        <v/>
      </c>
      <c r="P330" s="62">
        <f>IF(Table_1[[#This Row],[PAYOUT]]&lt;=40%,"CRESCIMENTO",IF(Table_1[[#This Row],[PAYOUT]]&lt;=60%,"INDEFINIDO","DIVIDENDOS"))</f>
        <v/>
      </c>
      <c r="Q330" s="62">
        <f>VLOOKUP(Table_1[[#This Row],[AÇÕES]],'Dados Status Invest'!A:R,18,0)/100</f>
        <v/>
      </c>
      <c r="R330" s="62">
        <f>VLOOKUP(Table_1[[#This Row],[AÇÕES]],'Dados Status Invest'!A:Y,25,0)/100</f>
        <v/>
      </c>
      <c r="S330" s="62">
        <f>(1-Table_1[[#This Row],[PAYOUT]])*Table_1[[#This Row],[ROE]]</f>
        <v/>
      </c>
      <c r="T330" s="98">
        <f>AVERAGE(Table_1[[#This Row],[CAGR LUCRO 5A]],Table_1[[#This Row],[CRESCIMENTO DAMODARAN]])</f>
        <v/>
      </c>
      <c r="U330" s="64">
        <f>(Table_1[[#This Row],[PREÇO JUSTO BAZIN]]-Table_1[[#This Row],[PREÇO]])/Table_1[[#This Row],[PREÇO JUSTO BAZIN]]</f>
        <v/>
      </c>
      <c r="V330" s="129">
        <f>Table_1[[#This Row],[DPA]]/6%</f>
        <v/>
      </c>
      <c r="W330" s="129">
        <f>Table_1[[#This Row],[PREÇO JUSTO BAZIN]]/(1+Table_1[[#This Row],[MARGEM DE DESCONTO]])</f>
        <v/>
      </c>
      <c r="X330" s="64">
        <f>(Table_1[[#This Row],[PREÇO JUSTO GRAHAM]]-Table_1[[#This Row],[PREÇO]])/Table_1[[#This Row],[PREÇO JUSTO GRAHAM]]</f>
        <v/>
      </c>
      <c r="Y330" s="129">
        <f>(22.5*Table_1[[#This Row],[LPA]]*Table_1[[#This Row],[VPA]])^0.5</f>
        <v/>
      </c>
      <c r="Z330" s="129">
        <f>Table_1[[#This Row],[PREÇO JUSTO GRAHAM]]/(1+Table_1[[#This Row],[MARGEM DE DESCONTO]])</f>
        <v/>
      </c>
      <c r="AA330" s="64">
        <f>(Table_1[[#This Row],[PREÇO JUSTO GORDON]]-Table_1[[#This Row],[PREÇO]])/Table_1[[#This Row],[PREÇO JUSTO GORDON]]</f>
        <v/>
      </c>
      <c r="AB330" s="130">
        <f>Table_1[[#This Row],[DPA]]*(1+Table_1[[#This Row],[MÉDIA DE CRESCIMENTO]])</f>
        <v/>
      </c>
      <c r="AC330" s="130">
        <f>Table_1[[#This Row],[D1]]/(Table_1[[#This Row],[RISCO]]-Table_1[[#This Row],[MÉDIA DE CRESCIMENTO]])</f>
        <v/>
      </c>
      <c r="AD330" s="130">
        <f>Table_1[[#This Row],[PREÇO JUSTO GORDON]]/(1+Table_1[[#This Row],[MARGEM DE DESCONTO]])</f>
        <v/>
      </c>
      <c r="AE330" s="78">
        <f>Table_1[[#This Row],[P/L]]/Table_1[[#This Row],[MÉDIA DE CRESCIMENTO]]</f>
        <v/>
      </c>
    </row>
    <row r="331" ht="15.75" customHeight="1">
      <c r="B331" s="77">
        <f>'Dados Status Invest'!A317</f>
        <v/>
      </c>
      <c r="C331" s="60">
        <f>VLOOKUP(Table_1[[#This Row],[AÇÕES]],'Classificação B3'!A:B,2,0)</f>
        <v/>
      </c>
      <c r="D331" s="60">
        <f>VLOOKUP(Table_1[[#This Row],[AÇÕES]],'Classificação B3'!A:D,4,0)</f>
        <v/>
      </c>
      <c r="E331" s="60">
        <f>VLOOKUP(Table_1[[#This Row],[AÇÕES]],'Classificação B3'!A:F,6,0)</f>
        <v/>
      </c>
      <c r="F331" s="60">
        <f>VLOOKUP(Table_1[[#This Row],[AÇÕES]],'Classificação B3'!A:G,7,0)</f>
        <v/>
      </c>
      <c r="G331" s="61">
        <f>VLOOKUP(Table_1[[#This Row],[AÇÕES]],'Dados Status Invest'!A:B,2,0)</f>
        <v/>
      </c>
      <c r="H331" s="62">
        <f>VLOOKUP(Table_1[[#This Row],[AÇÕES]],'Dados Status Invest'!A:C,3,0)/100</f>
        <v/>
      </c>
      <c r="I331" s="62">
        <f>VLOOKUP(Table_1[[#This Row],[AÇÕES]],'Dados Status Invest'!A:D,4,0)/100</f>
        <v/>
      </c>
      <c r="J331" s="63">
        <f>VLOOKUP(Table_1[[#This Row],[AÇÕES]],'Dados Status Invest'!A:AB,28,0)</f>
        <v/>
      </c>
      <c r="K331" s="63">
        <f>VLOOKUP(Table_1[[#This Row],[AÇÕES]],'Dados Status Invest'!A:AA,27,0)</f>
        <v/>
      </c>
      <c r="L331" s="63">
        <f>Table_1[[#This Row],[PREÇO]]*Table_1[[#This Row],[DY]]</f>
        <v/>
      </c>
      <c r="M331" s="62">
        <f>$E$13</f>
        <v/>
      </c>
      <c r="N331" s="62" t="n">
        <v>0.3</v>
      </c>
      <c r="O331" s="62">
        <f>Table_1[[#This Row],[DPA]]/Table_1[[#This Row],[LPA]]</f>
        <v/>
      </c>
      <c r="P331" s="62">
        <f>IF(Table_1[[#This Row],[PAYOUT]]&lt;=40%,"CRESCIMENTO",IF(Table_1[[#This Row],[PAYOUT]]&lt;=60%,"INDEFINIDO","DIVIDENDOS"))</f>
        <v/>
      </c>
      <c r="Q331" s="62">
        <f>VLOOKUP(Table_1[[#This Row],[AÇÕES]],'Dados Status Invest'!A:R,18,0)/100</f>
        <v/>
      </c>
      <c r="R331" s="62">
        <f>VLOOKUP(Table_1[[#This Row],[AÇÕES]],'Dados Status Invest'!A:Y,25,0)/100</f>
        <v/>
      </c>
      <c r="S331" s="62">
        <f>(1-Table_1[[#This Row],[PAYOUT]])*Table_1[[#This Row],[ROE]]</f>
        <v/>
      </c>
      <c r="T331" s="98">
        <f>AVERAGE(Table_1[[#This Row],[CAGR LUCRO 5A]],Table_1[[#This Row],[CRESCIMENTO DAMODARAN]])</f>
        <v/>
      </c>
      <c r="U331" s="64">
        <f>(Table_1[[#This Row],[PREÇO JUSTO BAZIN]]-Table_1[[#This Row],[PREÇO]])/Table_1[[#This Row],[PREÇO JUSTO BAZIN]]</f>
        <v/>
      </c>
      <c r="V331" s="129">
        <f>Table_1[[#This Row],[DPA]]/6%</f>
        <v/>
      </c>
      <c r="W331" s="129">
        <f>Table_1[[#This Row],[PREÇO JUSTO BAZIN]]/(1+Table_1[[#This Row],[MARGEM DE DESCONTO]])</f>
        <v/>
      </c>
      <c r="X331" s="64">
        <f>(Table_1[[#This Row],[PREÇO JUSTO GRAHAM]]-Table_1[[#This Row],[PREÇO]])/Table_1[[#This Row],[PREÇO JUSTO GRAHAM]]</f>
        <v/>
      </c>
      <c r="Y331" s="129">
        <f>(22.5*Table_1[[#This Row],[LPA]]*Table_1[[#This Row],[VPA]])^0.5</f>
        <v/>
      </c>
      <c r="Z331" s="129">
        <f>Table_1[[#This Row],[PREÇO JUSTO GRAHAM]]/(1+Table_1[[#This Row],[MARGEM DE DESCONTO]])</f>
        <v/>
      </c>
      <c r="AA331" s="64">
        <f>(Table_1[[#This Row],[PREÇO JUSTO GORDON]]-Table_1[[#This Row],[PREÇO]])/Table_1[[#This Row],[PREÇO JUSTO GORDON]]</f>
        <v/>
      </c>
      <c r="AB331" s="130">
        <f>Table_1[[#This Row],[DPA]]*(1+Table_1[[#This Row],[MÉDIA DE CRESCIMENTO]])</f>
        <v/>
      </c>
      <c r="AC331" s="130">
        <f>Table_1[[#This Row],[D1]]/(Table_1[[#This Row],[RISCO]]-Table_1[[#This Row],[MÉDIA DE CRESCIMENTO]])</f>
        <v/>
      </c>
      <c r="AD331" s="130">
        <f>Table_1[[#This Row],[PREÇO JUSTO GORDON]]/(1+Table_1[[#This Row],[MARGEM DE DESCONTO]])</f>
        <v/>
      </c>
      <c r="AE331" s="78">
        <f>Table_1[[#This Row],[P/L]]/Table_1[[#This Row],[MÉDIA DE CRESCIMENTO]]</f>
        <v/>
      </c>
    </row>
    <row r="332" ht="15.75" customHeight="1">
      <c r="B332" s="77">
        <f>'Dados Status Invest'!A318</f>
        <v/>
      </c>
      <c r="C332" s="60">
        <f>VLOOKUP(Table_1[[#This Row],[AÇÕES]],'Classificação B3'!A:B,2,0)</f>
        <v/>
      </c>
      <c r="D332" s="60">
        <f>VLOOKUP(Table_1[[#This Row],[AÇÕES]],'Classificação B3'!A:D,4,0)</f>
        <v/>
      </c>
      <c r="E332" s="60">
        <f>VLOOKUP(Table_1[[#This Row],[AÇÕES]],'Classificação B3'!A:F,6,0)</f>
        <v/>
      </c>
      <c r="F332" s="60">
        <f>VLOOKUP(Table_1[[#This Row],[AÇÕES]],'Classificação B3'!A:G,7,0)</f>
        <v/>
      </c>
      <c r="G332" s="61">
        <f>VLOOKUP(Table_1[[#This Row],[AÇÕES]],'Dados Status Invest'!A:B,2,0)</f>
        <v/>
      </c>
      <c r="H332" s="62">
        <f>VLOOKUP(Table_1[[#This Row],[AÇÕES]],'Dados Status Invest'!A:C,3,0)/100</f>
        <v/>
      </c>
      <c r="I332" s="62">
        <f>VLOOKUP(Table_1[[#This Row],[AÇÕES]],'Dados Status Invest'!A:D,4,0)/100</f>
        <v/>
      </c>
      <c r="J332" s="63">
        <f>VLOOKUP(Table_1[[#This Row],[AÇÕES]],'Dados Status Invest'!A:AB,28,0)</f>
        <v/>
      </c>
      <c r="K332" s="63">
        <f>VLOOKUP(Table_1[[#This Row],[AÇÕES]],'Dados Status Invest'!A:AA,27,0)</f>
        <v/>
      </c>
      <c r="L332" s="63">
        <f>Table_1[[#This Row],[PREÇO]]*Table_1[[#This Row],[DY]]</f>
        <v/>
      </c>
      <c r="M332" s="62">
        <f>$E$13</f>
        <v/>
      </c>
      <c r="N332" s="62" t="n">
        <v>0.3</v>
      </c>
      <c r="O332" s="62">
        <f>Table_1[[#This Row],[DPA]]/Table_1[[#This Row],[LPA]]</f>
        <v/>
      </c>
      <c r="P332" s="62">
        <f>IF(Table_1[[#This Row],[PAYOUT]]&lt;=40%,"CRESCIMENTO",IF(Table_1[[#This Row],[PAYOUT]]&lt;=60%,"INDEFINIDO","DIVIDENDOS"))</f>
        <v/>
      </c>
      <c r="Q332" s="62">
        <f>VLOOKUP(Table_1[[#This Row],[AÇÕES]],'Dados Status Invest'!A:R,18,0)/100</f>
        <v/>
      </c>
      <c r="R332" s="62">
        <f>VLOOKUP(Table_1[[#This Row],[AÇÕES]],'Dados Status Invest'!A:Y,25,0)/100</f>
        <v/>
      </c>
      <c r="S332" s="62">
        <f>(1-Table_1[[#This Row],[PAYOUT]])*Table_1[[#This Row],[ROE]]</f>
        <v/>
      </c>
      <c r="T332" s="98">
        <f>AVERAGE(Table_1[[#This Row],[CAGR LUCRO 5A]],Table_1[[#This Row],[CRESCIMENTO DAMODARAN]])</f>
        <v/>
      </c>
      <c r="U332" s="64">
        <f>(Table_1[[#This Row],[PREÇO JUSTO BAZIN]]-Table_1[[#This Row],[PREÇO]])/Table_1[[#This Row],[PREÇO JUSTO BAZIN]]</f>
        <v/>
      </c>
      <c r="V332" s="129">
        <f>Table_1[[#This Row],[DPA]]/6%</f>
        <v/>
      </c>
      <c r="W332" s="129">
        <f>Table_1[[#This Row],[PREÇO JUSTO BAZIN]]/(1+Table_1[[#This Row],[MARGEM DE DESCONTO]])</f>
        <v/>
      </c>
      <c r="X332" s="64">
        <f>(Table_1[[#This Row],[PREÇO JUSTO GRAHAM]]-Table_1[[#This Row],[PREÇO]])/Table_1[[#This Row],[PREÇO JUSTO GRAHAM]]</f>
        <v/>
      </c>
      <c r="Y332" s="129">
        <f>(22.5*Table_1[[#This Row],[LPA]]*Table_1[[#This Row],[VPA]])^0.5</f>
        <v/>
      </c>
      <c r="Z332" s="129">
        <f>Table_1[[#This Row],[PREÇO JUSTO GRAHAM]]/(1+Table_1[[#This Row],[MARGEM DE DESCONTO]])</f>
        <v/>
      </c>
      <c r="AA332" s="64">
        <f>(Table_1[[#This Row],[PREÇO JUSTO GORDON]]-Table_1[[#This Row],[PREÇO]])/Table_1[[#This Row],[PREÇO JUSTO GORDON]]</f>
        <v/>
      </c>
      <c r="AB332" s="130">
        <f>Table_1[[#This Row],[DPA]]*(1+Table_1[[#This Row],[MÉDIA DE CRESCIMENTO]])</f>
        <v/>
      </c>
      <c r="AC332" s="130">
        <f>Table_1[[#This Row],[D1]]/(Table_1[[#This Row],[RISCO]]-Table_1[[#This Row],[MÉDIA DE CRESCIMENTO]])</f>
        <v/>
      </c>
      <c r="AD332" s="130">
        <f>Table_1[[#This Row],[PREÇO JUSTO GORDON]]/(1+Table_1[[#This Row],[MARGEM DE DESCONTO]])</f>
        <v/>
      </c>
      <c r="AE332" s="78">
        <f>Table_1[[#This Row],[P/L]]/Table_1[[#This Row],[MÉDIA DE CRESCIMENTO]]</f>
        <v/>
      </c>
    </row>
    <row r="333" ht="15.75" customHeight="1">
      <c r="B333" s="77">
        <f>'Dados Status Invest'!A319</f>
        <v/>
      </c>
      <c r="C333" s="60">
        <f>VLOOKUP(Table_1[[#This Row],[AÇÕES]],'Classificação B3'!A:B,2,0)</f>
        <v/>
      </c>
      <c r="D333" s="60">
        <f>VLOOKUP(Table_1[[#This Row],[AÇÕES]],'Classificação B3'!A:D,4,0)</f>
        <v/>
      </c>
      <c r="E333" s="60">
        <f>VLOOKUP(Table_1[[#This Row],[AÇÕES]],'Classificação B3'!A:F,6,0)</f>
        <v/>
      </c>
      <c r="F333" s="60">
        <f>VLOOKUP(Table_1[[#This Row],[AÇÕES]],'Classificação B3'!A:G,7,0)</f>
        <v/>
      </c>
      <c r="G333" s="61">
        <f>VLOOKUP(Table_1[[#This Row],[AÇÕES]],'Dados Status Invest'!A:B,2,0)</f>
        <v/>
      </c>
      <c r="H333" s="62">
        <f>VLOOKUP(Table_1[[#This Row],[AÇÕES]],'Dados Status Invest'!A:C,3,0)/100</f>
        <v/>
      </c>
      <c r="I333" s="62">
        <f>VLOOKUP(Table_1[[#This Row],[AÇÕES]],'Dados Status Invest'!A:D,4,0)/100</f>
        <v/>
      </c>
      <c r="J333" s="63">
        <f>VLOOKUP(Table_1[[#This Row],[AÇÕES]],'Dados Status Invest'!A:AB,28,0)</f>
        <v/>
      </c>
      <c r="K333" s="63">
        <f>VLOOKUP(Table_1[[#This Row],[AÇÕES]],'Dados Status Invest'!A:AA,27,0)</f>
        <v/>
      </c>
      <c r="L333" s="63">
        <f>Table_1[[#This Row],[PREÇO]]*Table_1[[#This Row],[DY]]</f>
        <v/>
      </c>
      <c r="M333" s="62">
        <f>$E$13</f>
        <v/>
      </c>
      <c r="N333" s="62" t="n">
        <v>0.3</v>
      </c>
      <c r="O333" s="62">
        <f>Table_1[[#This Row],[DPA]]/Table_1[[#This Row],[LPA]]</f>
        <v/>
      </c>
      <c r="P333" s="62">
        <f>IF(Table_1[[#This Row],[PAYOUT]]&lt;=40%,"CRESCIMENTO",IF(Table_1[[#This Row],[PAYOUT]]&lt;=60%,"INDEFINIDO","DIVIDENDOS"))</f>
        <v/>
      </c>
      <c r="Q333" s="62">
        <f>VLOOKUP(Table_1[[#This Row],[AÇÕES]],'Dados Status Invest'!A:R,18,0)/100</f>
        <v/>
      </c>
      <c r="R333" s="62">
        <f>VLOOKUP(Table_1[[#This Row],[AÇÕES]],'Dados Status Invest'!A:Y,25,0)/100</f>
        <v/>
      </c>
      <c r="S333" s="62">
        <f>(1-Table_1[[#This Row],[PAYOUT]])*Table_1[[#This Row],[ROE]]</f>
        <v/>
      </c>
      <c r="T333" s="98">
        <f>AVERAGE(Table_1[[#This Row],[CAGR LUCRO 5A]],Table_1[[#This Row],[CRESCIMENTO DAMODARAN]])</f>
        <v/>
      </c>
      <c r="U333" s="64">
        <f>(Table_1[[#This Row],[PREÇO JUSTO BAZIN]]-Table_1[[#This Row],[PREÇO]])/Table_1[[#This Row],[PREÇO JUSTO BAZIN]]</f>
        <v/>
      </c>
      <c r="V333" s="129">
        <f>Table_1[[#This Row],[DPA]]/6%</f>
        <v/>
      </c>
      <c r="W333" s="129">
        <f>Table_1[[#This Row],[PREÇO JUSTO BAZIN]]/(1+Table_1[[#This Row],[MARGEM DE DESCONTO]])</f>
        <v/>
      </c>
      <c r="X333" s="64">
        <f>(Table_1[[#This Row],[PREÇO JUSTO GRAHAM]]-Table_1[[#This Row],[PREÇO]])/Table_1[[#This Row],[PREÇO JUSTO GRAHAM]]</f>
        <v/>
      </c>
      <c r="Y333" s="129">
        <f>(22.5*Table_1[[#This Row],[LPA]]*Table_1[[#This Row],[VPA]])^0.5</f>
        <v/>
      </c>
      <c r="Z333" s="129">
        <f>Table_1[[#This Row],[PREÇO JUSTO GRAHAM]]/(1+Table_1[[#This Row],[MARGEM DE DESCONTO]])</f>
        <v/>
      </c>
      <c r="AA333" s="64">
        <f>(Table_1[[#This Row],[PREÇO JUSTO GORDON]]-Table_1[[#This Row],[PREÇO]])/Table_1[[#This Row],[PREÇO JUSTO GORDON]]</f>
        <v/>
      </c>
      <c r="AB333" s="130">
        <f>Table_1[[#This Row],[DPA]]*(1+Table_1[[#This Row],[MÉDIA DE CRESCIMENTO]])</f>
        <v/>
      </c>
      <c r="AC333" s="130">
        <f>Table_1[[#This Row],[D1]]/(Table_1[[#This Row],[RISCO]]-Table_1[[#This Row],[MÉDIA DE CRESCIMENTO]])</f>
        <v/>
      </c>
      <c r="AD333" s="130">
        <f>Table_1[[#This Row],[PREÇO JUSTO GORDON]]/(1+Table_1[[#This Row],[MARGEM DE DESCONTO]])</f>
        <v/>
      </c>
      <c r="AE333" s="78">
        <f>Table_1[[#This Row],[P/L]]/Table_1[[#This Row],[MÉDIA DE CRESCIMENTO]]</f>
        <v/>
      </c>
    </row>
    <row r="334" ht="15.75" customHeight="1">
      <c r="B334" s="77">
        <f>'Dados Status Invest'!A320</f>
        <v/>
      </c>
      <c r="C334" s="60">
        <f>VLOOKUP(Table_1[[#This Row],[AÇÕES]],'Classificação B3'!A:B,2,0)</f>
        <v/>
      </c>
      <c r="D334" s="60">
        <f>VLOOKUP(Table_1[[#This Row],[AÇÕES]],'Classificação B3'!A:D,4,0)</f>
        <v/>
      </c>
      <c r="E334" s="60">
        <f>VLOOKUP(Table_1[[#This Row],[AÇÕES]],'Classificação B3'!A:F,6,0)</f>
        <v/>
      </c>
      <c r="F334" s="60">
        <f>VLOOKUP(Table_1[[#This Row],[AÇÕES]],'Classificação B3'!A:G,7,0)</f>
        <v/>
      </c>
      <c r="G334" s="61">
        <f>VLOOKUP(Table_1[[#This Row],[AÇÕES]],'Dados Status Invest'!A:B,2,0)</f>
        <v/>
      </c>
      <c r="H334" s="62">
        <f>VLOOKUP(Table_1[[#This Row],[AÇÕES]],'Dados Status Invest'!A:C,3,0)/100</f>
        <v/>
      </c>
      <c r="I334" s="62">
        <f>VLOOKUP(Table_1[[#This Row],[AÇÕES]],'Dados Status Invest'!A:D,4,0)/100</f>
        <v/>
      </c>
      <c r="J334" s="63">
        <f>VLOOKUP(Table_1[[#This Row],[AÇÕES]],'Dados Status Invest'!A:AB,28,0)</f>
        <v/>
      </c>
      <c r="K334" s="63">
        <f>VLOOKUP(Table_1[[#This Row],[AÇÕES]],'Dados Status Invest'!A:AA,27,0)</f>
        <v/>
      </c>
      <c r="L334" s="63">
        <f>Table_1[[#This Row],[PREÇO]]*Table_1[[#This Row],[DY]]</f>
        <v/>
      </c>
      <c r="M334" s="62">
        <f>$E$13</f>
        <v/>
      </c>
      <c r="N334" s="62" t="n">
        <v>0.3</v>
      </c>
      <c r="O334" s="62">
        <f>Table_1[[#This Row],[DPA]]/Table_1[[#This Row],[LPA]]</f>
        <v/>
      </c>
      <c r="P334" s="62">
        <f>IF(Table_1[[#This Row],[PAYOUT]]&lt;=40%,"CRESCIMENTO",IF(Table_1[[#This Row],[PAYOUT]]&lt;=60%,"INDEFINIDO","DIVIDENDOS"))</f>
        <v/>
      </c>
      <c r="Q334" s="62">
        <f>VLOOKUP(Table_1[[#This Row],[AÇÕES]],'Dados Status Invest'!A:R,18,0)/100</f>
        <v/>
      </c>
      <c r="R334" s="62">
        <f>VLOOKUP(Table_1[[#This Row],[AÇÕES]],'Dados Status Invest'!A:Y,25,0)/100</f>
        <v/>
      </c>
      <c r="S334" s="62">
        <f>(1-Table_1[[#This Row],[PAYOUT]])*Table_1[[#This Row],[ROE]]</f>
        <v/>
      </c>
      <c r="T334" s="98">
        <f>AVERAGE(Table_1[[#This Row],[CAGR LUCRO 5A]],Table_1[[#This Row],[CRESCIMENTO DAMODARAN]])</f>
        <v/>
      </c>
      <c r="U334" s="64">
        <f>(Table_1[[#This Row],[PREÇO JUSTO BAZIN]]-Table_1[[#This Row],[PREÇO]])/Table_1[[#This Row],[PREÇO JUSTO BAZIN]]</f>
        <v/>
      </c>
      <c r="V334" s="129">
        <f>Table_1[[#This Row],[DPA]]/6%</f>
        <v/>
      </c>
      <c r="W334" s="129">
        <f>Table_1[[#This Row],[PREÇO JUSTO BAZIN]]/(1+Table_1[[#This Row],[MARGEM DE DESCONTO]])</f>
        <v/>
      </c>
      <c r="X334" s="64">
        <f>(Table_1[[#This Row],[PREÇO JUSTO GRAHAM]]-Table_1[[#This Row],[PREÇO]])/Table_1[[#This Row],[PREÇO JUSTO GRAHAM]]</f>
        <v/>
      </c>
      <c r="Y334" s="129">
        <f>(22.5*Table_1[[#This Row],[LPA]]*Table_1[[#This Row],[VPA]])^0.5</f>
        <v/>
      </c>
      <c r="Z334" s="129">
        <f>Table_1[[#This Row],[PREÇO JUSTO GRAHAM]]/(1+Table_1[[#This Row],[MARGEM DE DESCONTO]])</f>
        <v/>
      </c>
      <c r="AA334" s="64">
        <f>(Table_1[[#This Row],[PREÇO JUSTO GORDON]]-Table_1[[#This Row],[PREÇO]])/Table_1[[#This Row],[PREÇO JUSTO GORDON]]</f>
        <v/>
      </c>
      <c r="AB334" s="130">
        <f>Table_1[[#This Row],[DPA]]*(1+Table_1[[#This Row],[MÉDIA DE CRESCIMENTO]])</f>
        <v/>
      </c>
      <c r="AC334" s="130">
        <f>Table_1[[#This Row],[D1]]/(Table_1[[#This Row],[RISCO]]-Table_1[[#This Row],[MÉDIA DE CRESCIMENTO]])</f>
        <v/>
      </c>
      <c r="AD334" s="130">
        <f>Table_1[[#This Row],[PREÇO JUSTO GORDON]]/(1+Table_1[[#This Row],[MARGEM DE DESCONTO]])</f>
        <v/>
      </c>
      <c r="AE334" s="78">
        <f>Table_1[[#This Row],[P/L]]/Table_1[[#This Row],[MÉDIA DE CRESCIMENTO]]</f>
        <v/>
      </c>
    </row>
    <row r="335" ht="15.75" customHeight="1">
      <c r="B335" s="77">
        <f>'Dados Status Invest'!A321</f>
        <v/>
      </c>
      <c r="C335" s="60">
        <f>VLOOKUP(Table_1[[#This Row],[AÇÕES]],'Classificação B3'!A:B,2,0)</f>
        <v/>
      </c>
      <c r="D335" s="60">
        <f>VLOOKUP(Table_1[[#This Row],[AÇÕES]],'Classificação B3'!A:D,4,0)</f>
        <v/>
      </c>
      <c r="E335" s="60">
        <f>VLOOKUP(Table_1[[#This Row],[AÇÕES]],'Classificação B3'!A:F,6,0)</f>
        <v/>
      </c>
      <c r="F335" s="60">
        <f>VLOOKUP(Table_1[[#This Row],[AÇÕES]],'Classificação B3'!A:G,7,0)</f>
        <v/>
      </c>
      <c r="G335" s="61">
        <f>VLOOKUP(Table_1[[#This Row],[AÇÕES]],'Dados Status Invest'!A:B,2,0)</f>
        <v/>
      </c>
      <c r="H335" s="62">
        <f>VLOOKUP(Table_1[[#This Row],[AÇÕES]],'Dados Status Invest'!A:C,3,0)/100</f>
        <v/>
      </c>
      <c r="I335" s="62">
        <f>VLOOKUP(Table_1[[#This Row],[AÇÕES]],'Dados Status Invest'!A:D,4,0)/100</f>
        <v/>
      </c>
      <c r="J335" s="63">
        <f>VLOOKUP(Table_1[[#This Row],[AÇÕES]],'Dados Status Invest'!A:AB,28,0)</f>
        <v/>
      </c>
      <c r="K335" s="63">
        <f>VLOOKUP(Table_1[[#This Row],[AÇÕES]],'Dados Status Invest'!A:AA,27,0)</f>
        <v/>
      </c>
      <c r="L335" s="63">
        <f>Table_1[[#This Row],[PREÇO]]*Table_1[[#This Row],[DY]]</f>
        <v/>
      </c>
      <c r="M335" s="62">
        <f>$E$13</f>
        <v/>
      </c>
      <c r="N335" s="62" t="n">
        <v>0.3</v>
      </c>
      <c r="O335" s="62">
        <f>Table_1[[#This Row],[DPA]]/Table_1[[#This Row],[LPA]]</f>
        <v/>
      </c>
      <c r="P335" s="62">
        <f>IF(Table_1[[#This Row],[PAYOUT]]&lt;=40%,"CRESCIMENTO",IF(Table_1[[#This Row],[PAYOUT]]&lt;=60%,"INDEFINIDO","DIVIDENDOS"))</f>
        <v/>
      </c>
      <c r="Q335" s="62">
        <f>VLOOKUP(Table_1[[#This Row],[AÇÕES]],'Dados Status Invest'!A:R,18,0)/100</f>
        <v/>
      </c>
      <c r="R335" s="62">
        <f>VLOOKUP(Table_1[[#This Row],[AÇÕES]],'Dados Status Invest'!A:Y,25,0)/100</f>
        <v/>
      </c>
      <c r="S335" s="62">
        <f>(1-Table_1[[#This Row],[PAYOUT]])*Table_1[[#This Row],[ROE]]</f>
        <v/>
      </c>
      <c r="T335" s="98">
        <f>AVERAGE(Table_1[[#This Row],[CAGR LUCRO 5A]],Table_1[[#This Row],[CRESCIMENTO DAMODARAN]])</f>
        <v/>
      </c>
      <c r="U335" s="64">
        <f>(Table_1[[#This Row],[PREÇO JUSTO BAZIN]]-Table_1[[#This Row],[PREÇO]])/Table_1[[#This Row],[PREÇO JUSTO BAZIN]]</f>
        <v/>
      </c>
      <c r="V335" s="129">
        <f>Table_1[[#This Row],[DPA]]/6%</f>
        <v/>
      </c>
      <c r="W335" s="129">
        <f>Table_1[[#This Row],[PREÇO JUSTO BAZIN]]/(1+Table_1[[#This Row],[MARGEM DE DESCONTO]])</f>
        <v/>
      </c>
      <c r="X335" s="64">
        <f>(Table_1[[#This Row],[PREÇO JUSTO GRAHAM]]-Table_1[[#This Row],[PREÇO]])/Table_1[[#This Row],[PREÇO JUSTO GRAHAM]]</f>
        <v/>
      </c>
      <c r="Y335" s="129">
        <f>(22.5*Table_1[[#This Row],[LPA]]*Table_1[[#This Row],[VPA]])^0.5</f>
        <v/>
      </c>
      <c r="Z335" s="129">
        <f>Table_1[[#This Row],[PREÇO JUSTO GRAHAM]]/(1+Table_1[[#This Row],[MARGEM DE DESCONTO]])</f>
        <v/>
      </c>
      <c r="AA335" s="64">
        <f>(Table_1[[#This Row],[PREÇO JUSTO GORDON]]-Table_1[[#This Row],[PREÇO]])/Table_1[[#This Row],[PREÇO JUSTO GORDON]]</f>
        <v/>
      </c>
      <c r="AB335" s="130">
        <f>Table_1[[#This Row],[DPA]]*(1+Table_1[[#This Row],[MÉDIA DE CRESCIMENTO]])</f>
        <v/>
      </c>
      <c r="AC335" s="130">
        <f>Table_1[[#This Row],[D1]]/(Table_1[[#This Row],[RISCO]]-Table_1[[#This Row],[MÉDIA DE CRESCIMENTO]])</f>
        <v/>
      </c>
      <c r="AD335" s="130">
        <f>Table_1[[#This Row],[PREÇO JUSTO GORDON]]/(1+Table_1[[#This Row],[MARGEM DE DESCONTO]])</f>
        <v/>
      </c>
      <c r="AE335" s="78">
        <f>Table_1[[#This Row],[P/L]]/Table_1[[#This Row],[MÉDIA DE CRESCIMENTO]]</f>
        <v/>
      </c>
    </row>
    <row r="336" ht="15.75" customHeight="1">
      <c r="B336" s="77">
        <f>'Dados Status Invest'!A322</f>
        <v/>
      </c>
      <c r="C336" s="60">
        <f>VLOOKUP(Table_1[[#This Row],[AÇÕES]],'Classificação B3'!A:B,2,0)</f>
        <v/>
      </c>
      <c r="D336" s="60">
        <f>VLOOKUP(Table_1[[#This Row],[AÇÕES]],'Classificação B3'!A:D,4,0)</f>
        <v/>
      </c>
      <c r="E336" s="60">
        <f>VLOOKUP(Table_1[[#This Row],[AÇÕES]],'Classificação B3'!A:F,6,0)</f>
        <v/>
      </c>
      <c r="F336" s="60">
        <f>VLOOKUP(Table_1[[#This Row],[AÇÕES]],'Classificação B3'!A:G,7,0)</f>
        <v/>
      </c>
      <c r="G336" s="61">
        <f>VLOOKUP(Table_1[[#This Row],[AÇÕES]],'Dados Status Invest'!A:B,2,0)</f>
        <v/>
      </c>
      <c r="H336" s="62">
        <f>VLOOKUP(Table_1[[#This Row],[AÇÕES]],'Dados Status Invest'!A:C,3,0)/100</f>
        <v/>
      </c>
      <c r="I336" s="62">
        <f>VLOOKUP(Table_1[[#This Row],[AÇÕES]],'Dados Status Invest'!A:D,4,0)/100</f>
        <v/>
      </c>
      <c r="J336" s="63">
        <f>VLOOKUP(Table_1[[#This Row],[AÇÕES]],'Dados Status Invest'!A:AB,28,0)</f>
        <v/>
      </c>
      <c r="K336" s="63">
        <f>VLOOKUP(Table_1[[#This Row],[AÇÕES]],'Dados Status Invest'!A:AA,27,0)</f>
        <v/>
      </c>
      <c r="L336" s="63">
        <f>Table_1[[#This Row],[PREÇO]]*Table_1[[#This Row],[DY]]</f>
        <v/>
      </c>
      <c r="M336" s="62">
        <f>$E$13</f>
        <v/>
      </c>
      <c r="N336" s="62" t="n">
        <v>0.3</v>
      </c>
      <c r="O336" s="62">
        <f>Table_1[[#This Row],[DPA]]/Table_1[[#This Row],[LPA]]</f>
        <v/>
      </c>
      <c r="P336" s="62">
        <f>IF(Table_1[[#This Row],[PAYOUT]]&lt;=40%,"CRESCIMENTO",IF(Table_1[[#This Row],[PAYOUT]]&lt;=60%,"INDEFINIDO","DIVIDENDOS"))</f>
        <v/>
      </c>
      <c r="Q336" s="62">
        <f>VLOOKUP(Table_1[[#This Row],[AÇÕES]],'Dados Status Invest'!A:R,18,0)/100</f>
        <v/>
      </c>
      <c r="R336" s="62">
        <f>VLOOKUP(Table_1[[#This Row],[AÇÕES]],'Dados Status Invest'!A:Y,25,0)/100</f>
        <v/>
      </c>
      <c r="S336" s="62">
        <f>(1-Table_1[[#This Row],[PAYOUT]])*Table_1[[#This Row],[ROE]]</f>
        <v/>
      </c>
      <c r="T336" s="98">
        <f>AVERAGE(Table_1[[#This Row],[CAGR LUCRO 5A]],Table_1[[#This Row],[CRESCIMENTO DAMODARAN]])</f>
        <v/>
      </c>
      <c r="U336" s="64">
        <f>(Table_1[[#This Row],[PREÇO JUSTO BAZIN]]-Table_1[[#This Row],[PREÇO]])/Table_1[[#This Row],[PREÇO JUSTO BAZIN]]</f>
        <v/>
      </c>
      <c r="V336" s="129">
        <f>Table_1[[#This Row],[DPA]]/6%</f>
        <v/>
      </c>
      <c r="W336" s="129">
        <f>Table_1[[#This Row],[PREÇO JUSTO BAZIN]]/(1+Table_1[[#This Row],[MARGEM DE DESCONTO]])</f>
        <v/>
      </c>
      <c r="X336" s="64">
        <f>(Table_1[[#This Row],[PREÇO JUSTO GRAHAM]]-Table_1[[#This Row],[PREÇO]])/Table_1[[#This Row],[PREÇO JUSTO GRAHAM]]</f>
        <v/>
      </c>
      <c r="Y336" s="129">
        <f>(22.5*Table_1[[#This Row],[LPA]]*Table_1[[#This Row],[VPA]])^0.5</f>
        <v/>
      </c>
      <c r="Z336" s="129">
        <f>Table_1[[#This Row],[PREÇO JUSTO GRAHAM]]/(1+Table_1[[#This Row],[MARGEM DE DESCONTO]])</f>
        <v/>
      </c>
      <c r="AA336" s="64">
        <f>(Table_1[[#This Row],[PREÇO JUSTO GORDON]]-Table_1[[#This Row],[PREÇO]])/Table_1[[#This Row],[PREÇO JUSTO GORDON]]</f>
        <v/>
      </c>
      <c r="AB336" s="130">
        <f>Table_1[[#This Row],[DPA]]*(1+Table_1[[#This Row],[MÉDIA DE CRESCIMENTO]])</f>
        <v/>
      </c>
      <c r="AC336" s="130">
        <f>Table_1[[#This Row],[D1]]/(Table_1[[#This Row],[RISCO]]-Table_1[[#This Row],[MÉDIA DE CRESCIMENTO]])</f>
        <v/>
      </c>
      <c r="AD336" s="130">
        <f>Table_1[[#This Row],[PREÇO JUSTO GORDON]]/(1+Table_1[[#This Row],[MARGEM DE DESCONTO]])</f>
        <v/>
      </c>
      <c r="AE336" s="78">
        <f>Table_1[[#This Row],[P/L]]/Table_1[[#This Row],[MÉDIA DE CRESCIMENTO]]</f>
        <v/>
      </c>
    </row>
    <row r="337" ht="15.75" customHeight="1">
      <c r="B337" s="77">
        <f>'Dados Status Invest'!A323</f>
        <v/>
      </c>
      <c r="C337" s="60">
        <f>VLOOKUP(Table_1[[#This Row],[AÇÕES]],'Classificação B3'!A:B,2,0)</f>
        <v/>
      </c>
      <c r="D337" s="60">
        <f>VLOOKUP(Table_1[[#This Row],[AÇÕES]],'Classificação B3'!A:D,4,0)</f>
        <v/>
      </c>
      <c r="E337" s="60">
        <f>VLOOKUP(Table_1[[#This Row],[AÇÕES]],'Classificação B3'!A:F,6,0)</f>
        <v/>
      </c>
      <c r="F337" s="60">
        <f>VLOOKUP(Table_1[[#This Row],[AÇÕES]],'Classificação B3'!A:G,7,0)</f>
        <v/>
      </c>
      <c r="G337" s="61">
        <f>VLOOKUP(Table_1[[#This Row],[AÇÕES]],'Dados Status Invest'!A:B,2,0)</f>
        <v/>
      </c>
      <c r="H337" s="62">
        <f>VLOOKUP(Table_1[[#This Row],[AÇÕES]],'Dados Status Invest'!A:C,3,0)/100</f>
        <v/>
      </c>
      <c r="I337" s="62">
        <f>VLOOKUP(Table_1[[#This Row],[AÇÕES]],'Dados Status Invest'!A:D,4,0)/100</f>
        <v/>
      </c>
      <c r="J337" s="63">
        <f>VLOOKUP(Table_1[[#This Row],[AÇÕES]],'Dados Status Invest'!A:AB,28,0)</f>
        <v/>
      </c>
      <c r="K337" s="63">
        <f>VLOOKUP(Table_1[[#This Row],[AÇÕES]],'Dados Status Invest'!A:AA,27,0)</f>
        <v/>
      </c>
      <c r="L337" s="63">
        <f>Table_1[[#This Row],[PREÇO]]*Table_1[[#This Row],[DY]]</f>
        <v/>
      </c>
      <c r="M337" s="62">
        <f>$E$13</f>
        <v/>
      </c>
      <c r="N337" s="62" t="n">
        <v>0.3</v>
      </c>
      <c r="O337" s="62">
        <f>Table_1[[#This Row],[DPA]]/Table_1[[#This Row],[LPA]]</f>
        <v/>
      </c>
      <c r="P337" s="62">
        <f>IF(Table_1[[#This Row],[PAYOUT]]&lt;=40%,"CRESCIMENTO",IF(Table_1[[#This Row],[PAYOUT]]&lt;=60%,"INDEFINIDO","DIVIDENDOS"))</f>
        <v/>
      </c>
      <c r="Q337" s="62">
        <f>VLOOKUP(Table_1[[#This Row],[AÇÕES]],'Dados Status Invest'!A:R,18,0)/100</f>
        <v/>
      </c>
      <c r="R337" s="62">
        <f>VLOOKUP(Table_1[[#This Row],[AÇÕES]],'Dados Status Invest'!A:Y,25,0)/100</f>
        <v/>
      </c>
      <c r="S337" s="62">
        <f>(1-Table_1[[#This Row],[PAYOUT]])*Table_1[[#This Row],[ROE]]</f>
        <v/>
      </c>
      <c r="T337" s="98">
        <f>AVERAGE(Table_1[[#This Row],[CAGR LUCRO 5A]],Table_1[[#This Row],[CRESCIMENTO DAMODARAN]])</f>
        <v/>
      </c>
      <c r="U337" s="64">
        <f>(Table_1[[#This Row],[PREÇO JUSTO BAZIN]]-Table_1[[#This Row],[PREÇO]])/Table_1[[#This Row],[PREÇO JUSTO BAZIN]]</f>
        <v/>
      </c>
      <c r="V337" s="129">
        <f>Table_1[[#This Row],[DPA]]/6%</f>
        <v/>
      </c>
      <c r="W337" s="129">
        <f>Table_1[[#This Row],[PREÇO JUSTO BAZIN]]/(1+Table_1[[#This Row],[MARGEM DE DESCONTO]])</f>
        <v/>
      </c>
      <c r="X337" s="64">
        <f>(Table_1[[#This Row],[PREÇO JUSTO GRAHAM]]-Table_1[[#This Row],[PREÇO]])/Table_1[[#This Row],[PREÇO JUSTO GRAHAM]]</f>
        <v/>
      </c>
      <c r="Y337" s="129">
        <f>(22.5*Table_1[[#This Row],[LPA]]*Table_1[[#This Row],[VPA]])^0.5</f>
        <v/>
      </c>
      <c r="Z337" s="129">
        <f>Table_1[[#This Row],[PREÇO JUSTO GRAHAM]]/(1+Table_1[[#This Row],[MARGEM DE DESCONTO]])</f>
        <v/>
      </c>
      <c r="AA337" s="64">
        <f>(Table_1[[#This Row],[PREÇO JUSTO GORDON]]-Table_1[[#This Row],[PREÇO]])/Table_1[[#This Row],[PREÇO JUSTO GORDON]]</f>
        <v/>
      </c>
      <c r="AB337" s="130">
        <f>Table_1[[#This Row],[DPA]]*(1+Table_1[[#This Row],[MÉDIA DE CRESCIMENTO]])</f>
        <v/>
      </c>
      <c r="AC337" s="130">
        <f>Table_1[[#This Row],[D1]]/(Table_1[[#This Row],[RISCO]]-Table_1[[#This Row],[MÉDIA DE CRESCIMENTO]])</f>
        <v/>
      </c>
      <c r="AD337" s="130">
        <f>Table_1[[#This Row],[PREÇO JUSTO GORDON]]/(1+Table_1[[#This Row],[MARGEM DE DESCONTO]])</f>
        <v/>
      </c>
      <c r="AE337" s="78">
        <f>Table_1[[#This Row],[P/L]]/Table_1[[#This Row],[MÉDIA DE CRESCIMENTO]]</f>
        <v/>
      </c>
    </row>
    <row r="338" ht="15.75" customHeight="1">
      <c r="B338" s="77">
        <f>'Dados Status Invest'!A324</f>
        <v/>
      </c>
      <c r="C338" s="60">
        <f>VLOOKUP(Table_1[[#This Row],[AÇÕES]],'Classificação B3'!A:B,2,0)</f>
        <v/>
      </c>
      <c r="D338" s="60">
        <f>VLOOKUP(Table_1[[#This Row],[AÇÕES]],'Classificação B3'!A:D,4,0)</f>
        <v/>
      </c>
      <c r="E338" s="60">
        <f>VLOOKUP(Table_1[[#This Row],[AÇÕES]],'Classificação B3'!A:F,6,0)</f>
        <v/>
      </c>
      <c r="F338" s="60">
        <f>VLOOKUP(Table_1[[#This Row],[AÇÕES]],'Classificação B3'!A:G,7,0)</f>
        <v/>
      </c>
      <c r="G338" s="61">
        <f>VLOOKUP(Table_1[[#This Row],[AÇÕES]],'Dados Status Invest'!A:B,2,0)</f>
        <v/>
      </c>
      <c r="H338" s="62">
        <f>VLOOKUP(Table_1[[#This Row],[AÇÕES]],'Dados Status Invest'!A:C,3,0)/100</f>
        <v/>
      </c>
      <c r="I338" s="62">
        <f>VLOOKUP(Table_1[[#This Row],[AÇÕES]],'Dados Status Invest'!A:D,4,0)/100</f>
        <v/>
      </c>
      <c r="J338" s="63">
        <f>VLOOKUP(Table_1[[#This Row],[AÇÕES]],'Dados Status Invest'!A:AB,28,0)</f>
        <v/>
      </c>
      <c r="K338" s="63">
        <f>VLOOKUP(Table_1[[#This Row],[AÇÕES]],'Dados Status Invest'!A:AA,27,0)</f>
        <v/>
      </c>
      <c r="L338" s="63">
        <f>Table_1[[#This Row],[PREÇO]]*Table_1[[#This Row],[DY]]</f>
        <v/>
      </c>
      <c r="M338" s="62">
        <f>$E$13</f>
        <v/>
      </c>
      <c r="N338" s="62" t="n">
        <v>0.3</v>
      </c>
      <c r="O338" s="62">
        <f>Table_1[[#This Row],[DPA]]/Table_1[[#This Row],[LPA]]</f>
        <v/>
      </c>
      <c r="P338" s="62">
        <f>IF(Table_1[[#This Row],[PAYOUT]]&lt;=40%,"CRESCIMENTO",IF(Table_1[[#This Row],[PAYOUT]]&lt;=60%,"INDEFINIDO","DIVIDENDOS"))</f>
        <v/>
      </c>
      <c r="Q338" s="62">
        <f>VLOOKUP(Table_1[[#This Row],[AÇÕES]],'Dados Status Invest'!A:R,18,0)/100</f>
        <v/>
      </c>
      <c r="R338" s="62">
        <f>VLOOKUP(Table_1[[#This Row],[AÇÕES]],'Dados Status Invest'!A:Y,25,0)/100</f>
        <v/>
      </c>
      <c r="S338" s="62">
        <f>(1-Table_1[[#This Row],[PAYOUT]])*Table_1[[#This Row],[ROE]]</f>
        <v/>
      </c>
      <c r="T338" s="98">
        <f>AVERAGE(Table_1[[#This Row],[CAGR LUCRO 5A]],Table_1[[#This Row],[CRESCIMENTO DAMODARAN]])</f>
        <v/>
      </c>
      <c r="U338" s="64">
        <f>(Table_1[[#This Row],[PREÇO JUSTO BAZIN]]-Table_1[[#This Row],[PREÇO]])/Table_1[[#This Row],[PREÇO JUSTO BAZIN]]</f>
        <v/>
      </c>
      <c r="V338" s="129">
        <f>Table_1[[#This Row],[DPA]]/6%</f>
        <v/>
      </c>
      <c r="W338" s="129">
        <f>Table_1[[#This Row],[PREÇO JUSTO BAZIN]]/(1+Table_1[[#This Row],[MARGEM DE DESCONTO]])</f>
        <v/>
      </c>
      <c r="X338" s="64">
        <f>(Table_1[[#This Row],[PREÇO JUSTO GRAHAM]]-Table_1[[#This Row],[PREÇO]])/Table_1[[#This Row],[PREÇO JUSTO GRAHAM]]</f>
        <v/>
      </c>
      <c r="Y338" s="129">
        <f>(22.5*Table_1[[#This Row],[LPA]]*Table_1[[#This Row],[VPA]])^0.5</f>
        <v/>
      </c>
      <c r="Z338" s="129">
        <f>Table_1[[#This Row],[PREÇO JUSTO GRAHAM]]/(1+Table_1[[#This Row],[MARGEM DE DESCONTO]])</f>
        <v/>
      </c>
      <c r="AA338" s="64">
        <f>(Table_1[[#This Row],[PREÇO JUSTO GORDON]]-Table_1[[#This Row],[PREÇO]])/Table_1[[#This Row],[PREÇO JUSTO GORDON]]</f>
        <v/>
      </c>
      <c r="AB338" s="130">
        <f>Table_1[[#This Row],[DPA]]*(1+Table_1[[#This Row],[MÉDIA DE CRESCIMENTO]])</f>
        <v/>
      </c>
      <c r="AC338" s="130">
        <f>Table_1[[#This Row],[D1]]/(Table_1[[#This Row],[RISCO]]-Table_1[[#This Row],[MÉDIA DE CRESCIMENTO]])</f>
        <v/>
      </c>
      <c r="AD338" s="130">
        <f>Table_1[[#This Row],[PREÇO JUSTO GORDON]]/(1+Table_1[[#This Row],[MARGEM DE DESCONTO]])</f>
        <v/>
      </c>
      <c r="AE338" s="78">
        <f>Table_1[[#This Row],[P/L]]/Table_1[[#This Row],[MÉDIA DE CRESCIMENTO]]</f>
        <v/>
      </c>
    </row>
    <row r="339" ht="15.75" customHeight="1">
      <c r="B339" s="77">
        <f>'Dados Status Invest'!A325</f>
        <v/>
      </c>
      <c r="C339" s="60">
        <f>VLOOKUP(Table_1[[#This Row],[AÇÕES]],'Classificação B3'!A:B,2,0)</f>
        <v/>
      </c>
      <c r="D339" s="60">
        <f>VLOOKUP(Table_1[[#This Row],[AÇÕES]],'Classificação B3'!A:D,4,0)</f>
        <v/>
      </c>
      <c r="E339" s="60">
        <f>VLOOKUP(Table_1[[#This Row],[AÇÕES]],'Classificação B3'!A:F,6,0)</f>
        <v/>
      </c>
      <c r="F339" s="60">
        <f>VLOOKUP(Table_1[[#This Row],[AÇÕES]],'Classificação B3'!A:G,7,0)</f>
        <v/>
      </c>
      <c r="G339" s="61">
        <f>VLOOKUP(Table_1[[#This Row],[AÇÕES]],'Dados Status Invest'!A:B,2,0)</f>
        <v/>
      </c>
      <c r="H339" s="62">
        <f>VLOOKUP(Table_1[[#This Row],[AÇÕES]],'Dados Status Invest'!A:C,3,0)/100</f>
        <v/>
      </c>
      <c r="I339" s="62">
        <f>VLOOKUP(Table_1[[#This Row],[AÇÕES]],'Dados Status Invest'!A:D,4,0)/100</f>
        <v/>
      </c>
      <c r="J339" s="63">
        <f>VLOOKUP(Table_1[[#This Row],[AÇÕES]],'Dados Status Invest'!A:AB,28,0)</f>
        <v/>
      </c>
      <c r="K339" s="63">
        <f>VLOOKUP(Table_1[[#This Row],[AÇÕES]],'Dados Status Invest'!A:AA,27,0)</f>
        <v/>
      </c>
      <c r="L339" s="63">
        <f>Table_1[[#This Row],[PREÇO]]*Table_1[[#This Row],[DY]]</f>
        <v/>
      </c>
      <c r="M339" s="62">
        <f>$E$13</f>
        <v/>
      </c>
      <c r="N339" s="62" t="n">
        <v>0.3</v>
      </c>
      <c r="O339" s="62">
        <f>Table_1[[#This Row],[DPA]]/Table_1[[#This Row],[LPA]]</f>
        <v/>
      </c>
      <c r="P339" s="62">
        <f>IF(Table_1[[#This Row],[PAYOUT]]&lt;=40%,"CRESCIMENTO",IF(Table_1[[#This Row],[PAYOUT]]&lt;=60%,"INDEFINIDO","DIVIDENDOS"))</f>
        <v/>
      </c>
      <c r="Q339" s="62">
        <f>VLOOKUP(Table_1[[#This Row],[AÇÕES]],'Dados Status Invest'!A:R,18,0)/100</f>
        <v/>
      </c>
      <c r="R339" s="62">
        <f>VLOOKUP(Table_1[[#This Row],[AÇÕES]],'Dados Status Invest'!A:Y,25,0)/100</f>
        <v/>
      </c>
      <c r="S339" s="62">
        <f>(1-Table_1[[#This Row],[PAYOUT]])*Table_1[[#This Row],[ROE]]</f>
        <v/>
      </c>
      <c r="T339" s="98">
        <f>AVERAGE(Table_1[[#This Row],[CAGR LUCRO 5A]],Table_1[[#This Row],[CRESCIMENTO DAMODARAN]])</f>
        <v/>
      </c>
      <c r="U339" s="64">
        <f>(Table_1[[#This Row],[PREÇO JUSTO BAZIN]]-Table_1[[#This Row],[PREÇO]])/Table_1[[#This Row],[PREÇO JUSTO BAZIN]]</f>
        <v/>
      </c>
      <c r="V339" s="129">
        <f>Table_1[[#This Row],[DPA]]/6%</f>
        <v/>
      </c>
      <c r="W339" s="129">
        <f>Table_1[[#This Row],[PREÇO JUSTO BAZIN]]/(1+Table_1[[#This Row],[MARGEM DE DESCONTO]])</f>
        <v/>
      </c>
      <c r="X339" s="64">
        <f>(Table_1[[#This Row],[PREÇO JUSTO GRAHAM]]-Table_1[[#This Row],[PREÇO]])/Table_1[[#This Row],[PREÇO JUSTO GRAHAM]]</f>
        <v/>
      </c>
      <c r="Y339" s="129">
        <f>(22.5*Table_1[[#This Row],[LPA]]*Table_1[[#This Row],[VPA]])^0.5</f>
        <v/>
      </c>
      <c r="Z339" s="129">
        <f>Table_1[[#This Row],[PREÇO JUSTO GRAHAM]]/(1+Table_1[[#This Row],[MARGEM DE DESCONTO]])</f>
        <v/>
      </c>
      <c r="AA339" s="64">
        <f>(Table_1[[#This Row],[PREÇO JUSTO GORDON]]-Table_1[[#This Row],[PREÇO]])/Table_1[[#This Row],[PREÇO JUSTO GORDON]]</f>
        <v/>
      </c>
      <c r="AB339" s="130">
        <f>Table_1[[#This Row],[DPA]]*(1+Table_1[[#This Row],[MÉDIA DE CRESCIMENTO]])</f>
        <v/>
      </c>
      <c r="AC339" s="130">
        <f>Table_1[[#This Row],[D1]]/(Table_1[[#This Row],[RISCO]]-Table_1[[#This Row],[MÉDIA DE CRESCIMENTO]])</f>
        <v/>
      </c>
      <c r="AD339" s="130">
        <f>Table_1[[#This Row],[PREÇO JUSTO GORDON]]/(1+Table_1[[#This Row],[MARGEM DE DESCONTO]])</f>
        <v/>
      </c>
      <c r="AE339" s="78">
        <f>Table_1[[#This Row],[P/L]]/Table_1[[#This Row],[MÉDIA DE CRESCIMENTO]]</f>
        <v/>
      </c>
    </row>
    <row r="340" ht="15.75" customHeight="1">
      <c r="B340" s="77">
        <f>'Dados Status Invest'!A326</f>
        <v/>
      </c>
      <c r="C340" s="60">
        <f>VLOOKUP(Table_1[[#This Row],[AÇÕES]],'Classificação B3'!A:B,2,0)</f>
        <v/>
      </c>
      <c r="D340" s="60">
        <f>VLOOKUP(Table_1[[#This Row],[AÇÕES]],'Classificação B3'!A:D,4,0)</f>
        <v/>
      </c>
      <c r="E340" s="60">
        <f>VLOOKUP(Table_1[[#This Row],[AÇÕES]],'Classificação B3'!A:F,6,0)</f>
        <v/>
      </c>
      <c r="F340" s="60">
        <f>VLOOKUP(Table_1[[#This Row],[AÇÕES]],'Classificação B3'!A:G,7,0)</f>
        <v/>
      </c>
      <c r="G340" s="61">
        <f>VLOOKUP(Table_1[[#This Row],[AÇÕES]],'Dados Status Invest'!A:B,2,0)</f>
        <v/>
      </c>
      <c r="H340" s="62">
        <f>VLOOKUP(Table_1[[#This Row],[AÇÕES]],'Dados Status Invest'!A:C,3,0)/100</f>
        <v/>
      </c>
      <c r="I340" s="62">
        <f>VLOOKUP(Table_1[[#This Row],[AÇÕES]],'Dados Status Invest'!A:D,4,0)/100</f>
        <v/>
      </c>
      <c r="J340" s="63">
        <f>VLOOKUP(Table_1[[#This Row],[AÇÕES]],'Dados Status Invest'!A:AB,28,0)</f>
        <v/>
      </c>
      <c r="K340" s="63">
        <f>VLOOKUP(Table_1[[#This Row],[AÇÕES]],'Dados Status Invest'!A:AA,27,0)</f>
        <v/>
      </c>
      <c r="L340" s="63">
        <f>Table_1[[#This Row],[PREÇO]]*Table_1[[#This Row],[DY]]</f>
        <v/>
      </c>
      <c r="M340" s="62">
        <f>$E$13</f>
        <v/>
      </c>
      <c r="N340" s="62" t="n">
        <v>0.3</v>
      </c>
      <c r="O340" s="62">
        <f>Table_1[[#This Row],[DPA]]/Table_1[[#This Row],[LPA]]</f>
        <v/>
      </c>
      <c r="P340" s="62">
        <f>IF(Table_1[[#This Row],[PAYOUT]]&lt;=40%,"CRESCIMENTO",IF(Table_1[[#This Row],[PAYOUT]]&lt;=60%,"INDEFINIDO","DIVIDENDOS"))</f>
        <v/>
      </c>
      <c r="Q340" s="62">
        <f>VLOOKUP(Table_1[[#This Row],[AÇÕES]],'Dados Status Invest'!A:R,18,0)/100</f>
        <v/>
      </c>
      <c r="R340" s="62">
        <f>VLOOKUP(Table_1[[#This Row],[AÇÕES]],'Dados Status Invest'!A:Y,25,0)/100</f>
        <v/>
      </c>
      <c r="S340" s="62">
        <f>(1-Table_1[[#This Row],[PAYOUT]])*Table_1[[#This Row],[ROE]]</f>
        <v/>
      </c>
      <c r="T340" s="98">
        <f>AVERAGE(Table_1[[#This Row],[CAGR LUCRO 5A]],Table_1[[#This Row],[CRESCIMENTO DAMODARAN]])</f>
        <v/>
      </c>
      <c r="U340" s="64">
        <f>(Table_1[[#This Row],[PREÇO JUSTO BAZIN]]-Table_1[[#This Row],[PREÇO]])/Table_1[[#This Row],[PREÇO JUSTO BAZIN]]</f>
        <v/>
      </c>
      <c r="V340" s="129">
        <f>Table_1[[#This Row],[DPA]]/6%</f>
        <v/>
      </c>
      <c r="W340" s="129">
        <f>Table_1[[#This Row],[PREÇO JUSTO BAZIN]]/(1+Table_1[[#This Row],[MARGEM DE DESCONTO]])</f>
        <v/>
      </c>
      <c r="X340" s="64">
        <f>(Table_1[[#This Row],[PREÇO JUSTO GRAHAM]]-Table_1[[#This Row],[PREÇO]])/Table_1[[#This Row],[PREÇO JUSTO GRAHAM]]</f>
        <v/>
      </c>
      <c r="Y340" s="129">
        <f>(22.5*Table_1[[#This Row],[LPA]]*Table_1[[#This Row],[VPA]])^0.5</f>
        <v/>
      </c>
      <c r="Z340" s="129">
        <f>Table_1[[#This Row],[PREÇO JUSTO GRAHAM]]/(1+Table_1[[#This Row],[MARGEM DE DESCONTO]])</f>
        <v/>
      </c>
      <c r="AA340" s="64">
        <f>(Table_1[[#This Row],[PREÇO JUSTO GORDON]]-Table_1[[#This Row],[PREÇO]])/Table_1[[#This Row],[PREÇO JUSTO GORDON]]</f>
        <v/>
      </c>
      <c r="AB340" s="130">
        <f>Table_1[[#This Row],[DPA]]*(1+Table_1[[#This Row],[MÉDIA DE CRESCIMENTO]])</f>
        <v/>
      </c>
      <c r="AC340" s="130">
        <f>Table_1[[#This Row],[D1]]/(Table_1[[#This Row],[RISCO]]-Table_1[[#This Row],[MÉDIA DE CRESCIMENTO]])</f>
        <v/>
      </c>
      <c r="AD340" s="130">
        <f>Table_1[[#This Row],[PREÇO JUSTO GORDON]]/(1+Table_1[[#This Row],[MARGEM DE DESCONTO]])</f>
        <v/>
      </c>
      <c r="AE340" s="78">
        <f>Table_1[[#This Row],[P/L]]/Table_1[[#This Row],[MÉDIA DE CRESCIMENTO]]</f>
        <v/>
      </c>
    </row>
    <row r="341" ht="15.75" customHeight="1">
      <c r="B341" s="77">
        <f>'Dados Status Invest'!A327</f>
        <v/>
      </c>
      <c r="C341" s="60">
        <f>VLOOKUP(Table_1[[#This Row],[AÇÕES]],'Classificação B3'!A:B,2,0)</f>
        <v/>
      </c>
      <c r="D341" s="60">
        <f>VLOOKUP(Table_1[[#This Row],[AÇÕES]],'Classificação B3'!A:D,4,0)</f>
        <v/>
      </c>
      <c r="E341" s="60">
        <f>VLOOKUP(Table_1[[#This Row],[AÇÕES]],'Classificação B3'!A:F,6,0)</f>
        <v/>
      </c>
      <c r="F341" s="60">
        <f>VLOOKUP(Table_1[[#This Row],[AÇÕES]],'Classificação B3'!A:G,7,0)</f>
        <v/>
      </c>
      <c r="G341" s="61">
        <f>VLOOKUP(Table_1[[#This Row],[AÇÕES]],'Dados Status Invest'!A:B,2,0)</f>
        <v/>
      </c>
      <c r="H341" s="62">
        <f>VLOOKUP(Table_1[[#This Row],[AÇÕES]],'Dados Status Invest'!A:C,3,0)/100</f>
        <v/>
      </c>
      <c r="I341" s="62">
        <f>VLOOKUP(Table_1[[#This Row],[AÇÕES]],'Dados Status Invest'!A:D,4,0)/100</f>
        <v/>
      </c>
      <c r="J341" s="63">
        <f>VLOOKUP(Table_1[[#This Row],[AÇÕES]],'Dados Status Invest'!A:AB,28,0)</f>
        <v/>
      </c>
      <c r="K341" s="63">
        <f>VLOOKUP(Table_1[[#This Row],[AÇÕES]],'Dados Status Invest'!A:AA,27,0)</f>
        <v/>
      </c>
      <c r="L341" s="63">
        <f>Table_1[[#This Row],[PREÇO]]*Table_1[[#This Row],[DY]]</f>
        <v/>
      </c>
      <c r="M341" s="62">
        <f>$E$13</f>
        <v/>
      </c>
      <c r="N341" s="62" t="n">
        <v>0.3</v>
      </c>
      <c r="O341" s="62">
        <f>Table_1[[#This Row],[DPA]]/Table_1[[#This Row],[LPA]]</f>
        <v/>
      </c>
      <c r="P341" s="62">
        <f>IF(Table_1[[#This Row],[PAYOUT]]&lt;=40%,"CRESCIMENTO",IF(Table_1[[#This Row],[PAYOUT]]&lt;=60%,"INDEFINIDO","DIVIDENDOS"))</f>
        <v/>
      </c>
      <c r="Q341" s="62">
        <f>VLOOKUP(Table_1[[#This Row],[AÇÕES]],'Dados Status Invest'!A:R,18,0)/100</f>
        <v/>
      </c>
      <c r="R341" s="62">
        <f>VLOOKUP(Table_1[[#This Row],[AÇÕES]],'Dados Status Invest'!A:Y,25,0)/100</f>
        <v/>
      </c>
      <c r="S341" s="62">
        <f>(1-Table_1[[#This Row],[PAYOUT]])*Table_1[[#This Row],[ROE]]</f>
        <v/>
      </c>
      <c r="T341" s="98">
        <f>AVERAGE(Table_1[[#This Row],[CAGR LUCRO 5A]],Table_1[[#This Row],[CRESCIMENTO DAMODARAN]])</f>
        <v/>
      </c>
      <c r="U341" s="64">
        <f>(Table_1[[#This Row],[PREÇO JUSTO BAZIN]]-Table_1[[#This Row],[PREÇO]])/Table_1[[#This Row],[PREÇO JUSTO BAZIN]]</f>
        <v/>
      </c>
      <c r="V341" s="129">
        <f>Table_1[[#This Row],[DPA]]/6%</f>
        <v/>
      </c>
      <c r="W341" s="129">
        <f>Table_1[[#This Row],[PREÇO JUSTO BAZIN]]/(1+Table_1[[#This Row],[MARGEM DE DESCONTO]])</f>
        <v/>
      </c>
      <c r="X341" s="64">
        <f>(Table_1[[#This Row],[PREÇO JUSTO GRAHAM]]-Table_1[[#This Row],[PREÇO]])/Table_1[[#This Row],[PREÇO JUSTO GRAHAM]]</f>
        <v/>
      </c>
      <c r="Y341" s="129">
        <f>(22.5*Table_1[[#This Row],[LPA]]*Table_1[[#This Row],[VPA]])^0.5</f>
        <v/>
      </c>
      <c r="Z341" s="129">
        <f>Table_1[[#This Row],[PREÇO JUSTO GRAHAM]]/(1+Table_1[[#This Row],[MARGEM DE DESCONTO]])</f>
        <v/>
      </c>
      <c r="AA341" s="64">
        <f>(Table_1[[#This Row],[PREÇO JUSTO GORDON]]-Table_1[[#This Row],[PREÇO]])/Table_1[[#This Row],[PREÇO JUSTO GORDON]]</f>
        <v/>
      </c>
      <c r="AB341" s="130">
        <f>Table_1[[#This Row],[DPA]]*(1+Table_1[[#This Row],[MÉDIA DE CRESCIMENTO]])</f>
        <v/>
      </c>
      <c r="AC341" s="130">
        <f>Table_1[[#This Row],[D1]]/(Table_1[[#This Row],[RISCO]]-Table_1[[#This Row],[MÉDIA DE CRESCIMENTO]])</f>
        <v/>
      </c>
      <c r="AD341" s="130">
        <f>Table_1[[#This Row],[PREÇO JUSTO GORDON]]/(1+Table_1[[#This Row],[MARGEM DE DESCONTO]])</f>
        <v/>
      </c>
      <c r="AE341" s="78">
        <f>Table_1[[#This Row],[P/L]]/Table_1[[#This Row],[MÉDIA DE CRESCIMENTO]]</f>
        <v/>
      </c>
    </row>
    <row r="342" ht="15.75" customHeight="1">
      <c r="B342" s="77">
        <f>'Dados Status Invest'!A328</f>
        <v/>
      </c>
      <c r="C342" s="60">
        <f>VLOOKUP(Table_1[[#This Row],[AÇÕES]],'Classificação B3'!A:B,2,0)</f>
        <v/>
      </c>
      <c r="D342" s="60">
        <f>VLOOKUP(Table_1[[#This Row],[AÇÕES]],'Classificação B3'!A:D,4,0)</f>
        <v/>
      </c>
      <c r="E342" s="60">
        <f>VLOOKUP(Table_1[[#This Row],[AÇÕES]],'Classificação B3'!A:F,6,0)</f>
        <v/>
      </c>
      <c r="F342" s="60">
        <f>VLOOKUP(Table_1[[#This Row],[AÇÕES]],'Classificação B3'!A:G,7,0)</f>
        <v/>
      </c>
      <c r="G342" s="61">
        <f>VLOOKUP(Table_1[[#This Row],[AÇÕES]],'Dados Status Invest'!A:B,2,0)</f>
        <v/>
      </c>
      <c r="H342" s="62">
        <f>VLOOKUP(Table_1[[#This Row],[AÇÕES]],'Dados Status Invest'!A:C,3,0)/100</f>
        <v/>
      </c>
      <c r="I342" s="62">
        <f>VLOOKUP(Table_1[[#This Row],[AÇÕES]],'Dados Status Invest'!A:D,4,0)/100</f>
        <v/>
      </c>
      <c r="J342" s="63">
        <f>VLOOKUP(Table_1[[#This Row],[AÇÕES]],'Dados Status Invest'!A:AB,28,0)</f>
        <v/>
      </c>
      <c r="K342" s="63">
        <f>VLOOKUP(Table_1[[#This Row],[AÇÕES]],'Dados Status Invest'!A:AA,27,0)</f>
        <v/>
      </c>
      <c r="L342" s="63">
        <f>Table_1[[#This Row],[PREÇO]]*Table_1[[#This Row],[DY]]</f>
        <v/>
      </c>
      <c r="M342" s="62">
        <f>$E$13</f>
        <v/>
      </c>
      <c r="N342" s="62" t="n">
        <v>0.3</v>
      </c>
      <c r="O342" s="62">
        <f>Table_1[[#This Row],[DPA]]/Table_1[[#This Row],[LPA]]</f>
        <v/>
      </c>
      <c r="P342" s="62">
        <f>IF(Table_1[[#This Row],[PAYOUT]]&lt;=40%,"CRESCIMENTO",IF(Table_1[[#This Row],[PAYOUT]]&lt;=60%,"INDEFINIDO","DIVIDENDOS"))</f>
        <v/>
      </c>
      <c r="Q342" s="62">
        <f>VLOOKUP(Table_1[[#This Row],[AÇÕES]],'Dados Status Invest'!A:R,18,0)/100</f>
        <v/>
      </c>
      <c r="R342" s="62">
        <f>VLOOKUP(Table_1[[#This Row],[AÇÕES]],'Dados Status Invest'!A:Y,25,0)/100</f>
        <v/>
      </c>
      <c r="S342" s="62">
        <f>(1-Table_1[[#This Row],[PAYOUT]])*Table_1[[#This Row],[ROE]]</f>
        <v/>
      </c>
      <c r="T342" s="98">
        <f>AVERAGE(Table_1[[#This Row],[CAGR LUCRO 5A]],Table_1[[#This Row],[CRESCIMENTO DAMODARAN]])</f>
        <v/>
      </c>
      <c r="U342" s="64">
        <f>(Table_1[[#This Row],[PREÇO JUSTO BAZIN]]-Table_1[[#This Row],[PREÇO]])/Table_1[[#This Row],[PREÇO JUSTO BAZIN]]</f>
        <v/>
      </c>
      <c r="V342" s="129">
        <f>Table_1[[#This Row],[DPA]]/6%</f>
        <v/>
      </c>
      <c r="W342" s="129">
        <f>Table_1[[#This Row],[PREÇO JUSTO BAZIN]]/(1+Table_1[[#This Row],[MARGEM DE DESCONTO]])</f>
        <v/>
      </c>
      <c r="X342" s="64">
        <f>(Table_1[[#This Row],[PREÇO JUSTO GRAHAM]]-Table_1[[#This Row],[PREÇO]])/Table_1[[#This Row],[PREÇO JUSTO GRAHAM]]</f>
        <v/>
      </c>
      <c r="Y342" s="129">
        <f>(22.5*Table_1[[#This Row],[LPA]]*Table_1[[#This Row],[VPA]])^0.5</f>
        <v/>
      </c>
      <c r="Z342" s="129">
        <f>Table_1[[#This Row],[PREÇO JUSTO GRAHAM]]/(1+Table_1[[#This Row],[MARGEM DE DESCONTO]])</f>
        <v/>
      </c>
      <c r="AA342" s="64">
        <f>(Table_1[[#This Row],[PREÇO JUSTO GORDON]]-Table_1[[#This Row],[PREÇO]])/Table_1[[#This Row],[PREÇO JUSTO GORDON]]</f>
        <v/>
      </c>
      <c r="AB342" s="130">
        <f>Table_1[[#This Row],[DPA]]*(1+Table_1[[#This Row],[MÉDIA DE CRESCIMENTO]])</f>
        <v/>
      </c>
      <c r="AC342" s="130">
        <f>Table_1[[#This Row],[D1]]/(Table_1[[#This Row],[RISCO]]-Table_1[[#This Row],[MÉDIA DE CRESCIMENTO]])</f>
        <v/>
      </c>
      <c r="AD342" s="130">
        <f>Table_1[[#This Row],[PREÇO JUSTO GORDON]]/(1+Table_1[[#This Row],[MARGEM DE DESCONTO]])</f>
        <v/>
      </c>
      <c r="AE342" s="78">
        <f>Table_1[[#This Row],[P/L]]/Table_1[[#This Row],[MÉDIA DE CRESCIMENTO]]</f>
        <v/>
      </c>
    </row>
    <row r="343" ht="15.75" customHeight="1">
      <c r="B343" s="77">
        <f>'Dados Status Invest'!A329</f>
        <v/>
      </c>
      <c r="C343" s="60">
        <f>VLOOKUP(Table_1[[#This Row],[AÇÕES]],'Classificação B3'!A:B,2,0)</f>
        <v/>
      </c>
      <c r="D343" s="60">
        <f>VLOOKUP(Table_1[[#This Row],[AÇÕES]],'Classificação B3'!A:D,4,0)</f>
        <v/>
      </c>
      <c r="E343" s="60">
        <f>VLOOKUP(Table_1[[#This Row],[AÇÕES]],'Classificação B3'!A:F,6,0)</f>
        <v/>
      </c>
      <c r="F343" s="60">
        <f>VLOOKUP(Table_1[[#This Row],[AÇÕES]],'Classificação B3'!A:G,7,0)</f>
        <v/>
      </c>
      <c r="G343" s="61">
        <f>VLOOKUP(Table_1[[#This Row],[AÇÕES]],'Dados Status Invest'!A:B,2,0)</f>
        <v/>
      </c>
      <c r="H343" s="62">
        <f>VLOOKUP(Table_1[[#This Row],[AÇÕES]],'Dados Status Invest'!A:C,3,0)/100</f>
        <v/>
      </c>
      <c r="I343" s="62">
        <f>VLOOKUP(Table_1[[#This Row],[AÇÕES]],'Dados Status Invest'!A:D,4,0)/100</f>
        <v/>
      </c>
      <c r="J343" s="63">
        <f>VLOOKUP(Table_1[[#This Row],[AÇÕES]],'Dados Status Invest'!A:AB,28,0)</f>
        <v/>
      </c>
      <c r="K343" s="63">
        <f>VLOOKUP(Table_1[[#This Row],[AÇÕES]],'Dados Status Invest'!A:AA,27,0)</f>
        <v/>
      </c>
      <c r="L343" s="63">
        <f>Table_1[[#This Row],[PREÇO]]*Table_1[[#This Row],[DY]]</f>
        <v/>
      </c>
      <c r="M343" s="62">
        <f>$E$13</f>
        <v/>
      </c>
      <c r="N343" s="62" t="n">
        <v>0.3</v>
      </c>
      <c r="O343" s="62">
        <f>Table_1[[#This Row],[DPA]]/Table_1[[#This Row],[LPA]]</f>
        <v/>
      </c>
      <c r="P343" s="62">
        <f>IF(Table_1[[#This Row],[PAYOUT]]&lt;=40%,"CRESCIMENTO",IF(Table_1[[#This Row],[PAYOUT]]&lt;=60%,"INDEFINIDO","DIVIDENDOS"))</f>
        <v/>
      </c>
      <c r="Q343" s="62">
        <f>VLOOKUP(Table_1[[#This Row],[AÇÕES]],'Dados Status Invest'!A:R,18,0)/100</f>
        <v/>
      </c>
      <c r="R343" s="62">
        <f>VLOOKUP(Table_1[[#This Row],[AÇÕES]],'Dados Status Invest'!A:Y,25,0)/100</f>
        <v/>
      </c>
      <c r="S343" s="62">
        <f>(1-Table_1[[#This Row],[PAYOUT]])*Table_1[[#This Row],[ROE]]</f>
        <v/>
      </c>
      <c r="T343" s="98">
        <f>AVERAGE(Table_1[[#This Row],[CAGR LUCRO 5A]],Table_1[[#This Row],[CRESCIMENTO DAMODARAN]])</f>
        <v/>
      </c>
      <c r="U343" s="64">
        <f>(Table_1[[#This Row],[PREÇO JUSTO BAZIN]]-Table_1[[#This Row],[PREÇO]])/Table_1[[#This Row],[PREÇO JUSTO BAZIN]]</f>
        <v/>
      </c>
      <c r="V343" s="129">
        <f>Table_1[[#This Row],[DPA]]/6%</f>
        <v/>
      </c>
      <c r="W343" s="129">
        <f>Table_1[[#This Row],[PREÇO JUSTO BAZIN]]/(1+Table_1[[#This Row],[MARGEM DE DESCONTO]])</f>
        <v/>
      </c>
      <c r="X343" s="64">
        <f>(Table_1[[#This Row],[PREÇO JUSTO GRAHAM]]-Table_1[[#This Row],[PREÇO]])/Table_1[[#This Row],[PREÇO JUSTO GRAHAM]]</f>
        <v/>
      </c>
      <c r="Y343" s="129">
        <f>(22.5*Table_1[[#This Row],[LPA]]*Table_1[[#This Row],[VPA]])^0.5</f>
        <v/>
      </c>
      <c r="Z343" s="129">
        <f>Table_1[[#This Row],[PREÇO JUSTO GRAHAM]]/(1+Table_1[[#This Row],[MARGEM DE DESCONTO]])</f>
        <v/>
      </c>
      <c r="AA343" s="64">
        <f>(Table_1[[#This Row],[PREÇO JUSTO GORDON]]-Table_1[[#This Row],[PREÇO]])/Table_1[[#This Row],[PREÇO JUSTO GORDON]]</f>
        <v/>
      </c>
      <c r="AB343" s="130">
        <f>Table_1[[#This Row],[DPA]]*(1+Table_1[[#This Row],[MÉDIA DE CRESCIMENTO]])</f>
        <v/>
      </c>
      <c r="AC343" s="130">
        <f>Table_1[[#This Row],[D1]]/(Table_1[[#This Row],[RISCO]]-Table_1[[#This Row],[MÉDIA DE CRESCIMENTO]])</f>
        <v/>
      </c>
      <c r="AD343" s="130">
        <f>Table_1[[#This Row],[PREÇO JUSTO GORDON]]/(1+Table_1[[#This Row],[MARGEM DE DESCONTO]])</f>
        <v/>
      </c>
      <c r="AE343" s="78">
        <f>Table_1[[#This Row],[P/L]]/Table_1[[#This Row],[MÉDIA DE CRESCIMENTO]]</f>
        <v/>
      </c>
    </row>
    <row r="344" ht="15.75" customHeight="1">
      <c r="B344" s="77">
        <f>'Dados Status Invest'!A330</f>
        <v/>
      </c>
      <c r="C344" s="60">
        <f>VLOOKUP(Table_1[[#This Row],[AÇÕES]],'Classificação B3'!A:B,2,0)</f>
        <v/>
      </c>
      <c r="D344" s="60">
        <f>VLOOKUP(Table_1[[#This Row],[AÇÕES]],'Classificação B3'!A:D,4,0)</f>
        <v/>
      </c>
      <c r="E344" s="60">
        <f>VLOOKUP(Table_1[[#This Row],[AÇÕES]],'Classificação B3'!A:F,6,0)</f>
        <v/>
      </c>
      <c r="F344" s="60">
        <f>VLOOKUP(Table_1[[#This Row],[AÇÕES]],'Classificação B3'!A:G,7,0)</f>
        <v/>
      </c>
      <c r="G344" s="61">
        <f>VLOOKUP(Table_1[[#This Row],[AÇÕES]],'Dados Status Invest'!A:B,2,0)</f>
        <v/>
      </c>
      <c r="H344" s="62">
        <f>VLOOKUP(Table_1[[#This Row],[AÇÕES]],'Dados Status Invest'!A:C,3,0)/100</f>
        <v/>
      </c>
      <c r="I344" s="62">
        <f>VLOOKUP(Table_1[[#This Row],[AÇÕES]],'Dados Status Invest'!A:D,4,0)/100</f>
        <v/>
      </c>
      <c r="J344" s="63">
        <f>VLOOKUP(Table_1[[#This Row],[AÇÕES]],'Dados Status Invest'!A:AB,28,0)</f>
        <v/>
      </c>
      <c r="K344" s="63">
        <f>VLOOKUP(Table_1[[#This Row],[AÇÕES]],'Dados Status Invest'!A:AA,27,0)</f>
        <v/>
      </c>
      <c r="L344" s="63">
        <f>Table_1[[#This Row],[PREÇO]]*Table_1[[#This Row],[DY]]</f>
        <v/>
      </c>
      <c r="M344" s="62">
        <f>$E$13</f>
        <v/>
      </c>
      <c r="N344" s="62" t="n">
        <v>0.3</v>
      </c>
      <c r="O344" s="62">
        <f>Table_1[[#This Row],[DPA]]/Table_1[[#This Row],[LPA]]</f>
        <v/>
      </c>
      <c r="P344" s="62">
        <f>IF(Table_1[[#This Row],[PAYOUT]]&lt;=40%,"CRESCIMENTO",IF(Table_1[[#This Row],[PAYOUT]]&lt;=60%,"INDEFINIDO","DIVIDENDOS"))</f>
        <v/>
      </c>
      <c r="Q344" s="62">
        <f>VLOOKUP(Table_1[[#This Row],[AÇÕES]],'Dados Status Invest'!A:R,18,0)/100</f>
        <v/>
      </c>
      <c r="R344" s="62">
        <f>VLOOKUP(Table_1[[#This Row],[AÇÕES]],'Dados Status Invest'!A:Y,25,0)/100</f>
        <v/>
      </c>
      <c r="S344" s="62">
        <f>(1-Table_1[[#This Row],[PAYOUT]])*Table_1[[#This Row],[ROE]]</f>
        <v/>
      </c>
      <c r="T344" s="98">
        <f>AVERAGE(Table_1[[#This Row],[CAGR LUCRO 5A]],Table_1[[#This Row],[CRESCIMENTO DAMODARAN]])</f>
        <v/>
      </c>
      <c r="U344" s="64">
        <f>(Table_1[[#This Row],[PREÇO JUSTO BAZIN]]-Table_1[[#This Row],[PREÇO]])/Table_1[[#This Row],[PREÇO JUSTO BAZIN]]</f>
        <v/>
      </c>
      <c r="V344" s="129">
        <f>Table_1[[#This Row],[DPA]]/6%</f>
        <v/>
      </c>
      <c r="W344" s="129">
        <f>Table_1[[#This Row],[PREÇO JUSTO BAZIN]]/(1+Table_1[[#This Row],[MARGEM DE DESCONTO]])</f>
        <v/>
      </c>
      <c r="X344" s="64">
        <f>(Table_1[[#This Row],[PREÇO JUSTO GRAHAM]]-Table_1[[#This Row],[PREÇO]])/Table_1[[#This Row],[PREÇO JUSTO GRAHAM]]</f>
        <v/>
      </c>
      <c r="Y344" s="129">
        <f>(22.5*Table_1[[#This Row],[LPA]]*Table_1[[#This Row],[VPA]])^0.5</f>
        <v/>
      </c>
      <c r="Z344" s="129">
        <f>Table_1[[#This Row],[PREÇO JUSTO GRAHAM]]/(1+Table_1[[#This Row],[MARGEM DE DESCONTO]])</f>
        <v/>
      </c>
      <c r="AA344" s="64">
        <f>(Table_1[[#This Row],[PREÇO JUSTO GORDON]]-Table_1[[#This Row],[PREÇO]])/Table_1[[#This Row],[PREÇO JUSTO GORDON]]</f>
        <v/>
      </c>
      <c r="AB344" s="130">
        <f>Table_1[[#This Row],[DPA]]*(1+Table_1[[#This Row],[MÉDIA DE CRESCIMENTO]])</f>
        <v/>
      </c>
      <c r="AC344" s="130">
        <f>Table_1[[#This Row],[D1]]/(Table_1[[#This Row],[RISCO]]-Table_1[[#This Row],[MÉDIA DE CRESCIMENTO]])</f>
        <v/>
      </c>
      <c r="AD344" s="130">
        <f>Table_1[[#This Row],[PREÇO JUSTO GORDON]]/(1+Table_1[[#This Row],[MARGEM DE DESCONTO]])</f>
        <v/>
      </c>
      <c r="AE344" s="78">
        <f>Table_1[[#This Row],[P/L]]/Table_1[[#This Row],[MÉDIA DE CRESCIMENTO]]</f>
        <v/>
      </c>
    </row>
    <row r="345" ht="15.75" customHeight="1">
      <c r="B345" s="77">
        <f>'Dados Status Invest'!A331</f>
        <v/>
      </c>
      <c r="C345" s="60">
        <f>VLOOKUP(Table_1[[#This Row],[AÇÕES]],'Classificação B3'!A:B,2,0)</f>
        <v/>
      </c>
      <c r="D345" s="60">
        <f>VLOOKUP(Table_1[[#This Row],[AÇÕES]],'Classificação B3'!A:D,4,0)</f>
        <v/>
      </c>
      <c r="E345" s="60">
        <f>VLOOKUP(Table_1[[#This Row],[AÇÕES]],'Classificação B3'!A:F,6,0)</f>
        <v/>
      </c>
      <c r="F345" s="60">
        <f>VLOOKUP(Table_1[[#This Row],[AÇÕES]],'Classificação B3'!A:G,7,0)</f>
        <v/>
      </c>
      <c r="G345" s="61">
        <f>VLOOKUP(Table_1[[#This Row],[AÇÕES]],'Dados Status Invest'!A:B,2,0)</f>
        <v/>
      </c>
      <c r="H345" s="62">
        <f>VLOOKUP(Table_1[[#This Row],[AÇÕES]],'Dados Status Invest'!A:C,3,0)/100</f>
        <v/>
      </c>
      <c r="I345" s="62">
        <f>VLOOKUP(Table_1[[#This Row],[AÇÕES]],'Dados Status Invest'!A:D,4,0)/100</f>
        <v/>
      </c>
      <c r="J345" s="63">
        <f>VLOOKUP(Table_1[[#This Row],[AÇÕES]],'Dados Status Invest'!A:AB,28,0)</f>
        <v/>
      </c>
      <c r="K345" s="63">
        <f>VLOOKUP(Table_1[[#This Row],[AÇÕES]],'Dados Status Invest'!A:AA,27,0)</f>
        <v/>
      </c>
      <c r="L345" s="63">
        <f>Table_1[[#This Row],[PREÇO]]*Table_1[[#This Row],[DY]]</f>
        <v/>
      </c>
      <c r="M345" s="62">
        <f>$E$13</f>
        <v/>
      </c>
      <c r="N345" s="62" t="n">
        <v>0.3</v>
      </c>
      <c r="O345" s="62">
        <f>Table_1[[#This Row],[DPA]]/Table_1[[#This Row],[LPA]]</f>
        <v/>
      </c>
      <c r="P345" s="62">
        <f>IF(Table_1[[#This Row],[PAYOUT]]&lt;=40%,"CRESCIMENTO",IF(Table_1[[#This Row],[PAYOUT]]&lt;=60%,"INDEFINIDO","DIVIDENDOS"))</f>
        <v/>
      </c>
      <c r="Q345" s="62">
        <f>VLOOKUP(Table_1[[#This Row],[AÇÕES]],'Dados Status Invest'!A:R,18,0)/100</f>
        <v/>
      </c>
      <c r="R345" s="62">
        <f>VLOOKUP(Table_1[[#This Row],[AÇÕES]],'Dados Status Invest'!A:Y,25,0)/100</f>
        <v/>
      </c>
      <c r="S345" s="62">
        <f>(1-Table_1[[#This Row],[PAYOUT]])*Table_1[[#This Row],[ROE]]</f>
        <v/>
      </c>
      <c r="T345" s="98">
        <f>AVERAGE(Table_1[[#This Row],[CAGR LUCRO 5A]],Table_1[[#This Row],[CRESCIMENTO DAMODARAN]])</f>
        <v/>
      </c>
      <c r="U345" s="64">
        <f>(Table_1[[#This Row],[PREÇO JUSTO BAZIN]]-Table_1[[#This Row],[PREÇO]])/Table_1[[#This Row],[PREÇO JUSTO BAZIN]]</f>
        <v/>
      </c>
      <c r="V345" s="129">
        <f>Table_1[[#This Row],[DPA]]/6%</f>
        <v/>
      </c>
      <c r="W345" s="129">
        <f>Table_1[[#This Row],[PREÇO JUSTO BAZIN]]/(1+Table_1[[#This Row],[MARGEM DE DESCONTO]])</f>
        <v/>
      </c>
      <c r="X345" s="64">
        <f>(Table_1[[#This Row],[PREÇO JUSTO GRAHAM]]-Table_1[[#This Row],[PREÇO]])/Table_1[[#This Row],[PREÇO JUSTO GRAHAM]]</f>
        <v/>
      </c>
      <c r="Y345" s="129">
        <f>(22.5*Table_1[[#This Row],[LPA]]*Table_1[[#This Row],[VPA]])^0.5</f>
        <v/>
      </c>
      <c r="Z345" s="129">
        <f>Table_1[[#This Row],[PREÇO JUSTO GRAHAM]]/(1+Table_1[[#This Row],[MARGEM DE DESCONTO]])</f>
        <v/>
      </c>
      <c r="AA345" s="64">
        <f>(Table_1[[#This Row],[PREÇO JUSTO GORDON]]-Table_1[[#This Row],[PREÇO]])/Table_1[[#This Row],[PREÇO JUSTO GORDON]]</f>
        <v/>
      </c>
      <c r="AB345" s="130">
        <f>Table_1[[#This Row],[DPA]]*(1+Table_1[[#This Row],[MÉDIA DE CRESCIMENTO]])</f>
        <v/>
      </c>
      <c r="AC345" s="130">
        <f>Table_1[[#This Row],[D1]]/(Table_1[[#This Row],[RISCO]]-Table_1[[#This Row],[MÉDIA DE CRESCIMENTO]])</f>
        <v/>
      </c>
      <c r="AD345" s="130">
        <f>Table_1[[#This Row],[PREÇO JUSTO GORDON]]/(1+Table_1[[#This Row],[MARGEM DE DESCONTO]])</f>
        <v/>
      </c>
      <c r="AE345" s="78">
        <f>Table_1[[#This Row],[P/L]]/Table_1[[#This Row],[MÉDIA DE CRESCIMENTO]]</f>
        <v/>
      </c>
    </row>
    <row r="346" ht="15.75" customHeight="1">
      <c r="B346" s="77">
        <f>'Dados Status Invest'!A332</f>
        <v/>
      </c>
      <c r="C346" s="60">
        <f>VLOOKUP(Table_1[[#This Row],[AÇÕES]],'Classificação B3'!A:B,2,0)</f>
        <v/>
      </c>
      <c r="D346" s="60">
        <f>VLOOKUP(Table_1[[#This Row],[AÇÕES]],'Classificação B3'!A:D,4,0)</f>
        <v/>
      </c>
      <c r="E346" s="60">
        <f>VLOOKUP(Table_1[[#This Row],[AÇÕES]],'Classificação B3'!A:F,6,0)</f>
        <v/>
      </c>
      <c r="F346" s="60">
        <f>VLOOKUP(Table_1[[#This Row],[AÇÕES]],'Classificação B3'!A:G,7,0)</f>
        <v/>
      </c>
      <c r="G346" s="61">
        <f>VLOOKUP(Table_1[[#This Row],[AÇÕES]],'Dados Status Invest'!A:B,2,0)</f>
        <v/>
      </c>
      <c r="H346" s="62">
        <f>VLOOKUP(Table_1[[#This Row],[AÇÕES]],'Dados Status Invest'!A:C,3,0)/100</f>
        <v/>
      </c>
      <c r="I346" s="62">
        <f>VLOOKUP(Table_1[[#This Row],[AÇÕES]],'Dados Status Invest'!A:D,4,0)/100</f>
        <v/>
      </c>
      <c r="J346" s="63">
        <f>VLOOKUP(Table_1[[#This Row],[AÇÕES]],'Dados Status Invest'!A:AB,28,0)</f>
        <v/>
      </c>
      <c r="K346" s="63">
        <f>VLOOKUP(Table_1[[#This Row],[AÇÕES]],'Dados Status Invest'!A:AA,27,0)</f>
        <v/>
      </c>
      <c r="L346" s="63">
        <f>Table_1[[#This Row],[PREÇO]]*Table_1[[#This Row],[DY]]</f>
        <v/>
      </c>
      <c r="M346" s="62">
        <f>$E$13</f>
        <v/>
      </c>
      <c r="N346" s="62" t="n">
        <v>0.3</v>
      </c>
      <c r="O346" s="62">
        <f>Table_1[[#This Row],[DPA]]/Table_1[[#This Row],[LPA]]</f>
        <v/>
      </c>
      <c r="P346" s="62">
        <f>IF(Table_1[[#This Row],[PAYOUT]]&lt;=40%,"CRESCIMENTO",IF(Table_1[[#This Row],[PAYOUT]]&lt;=60%,"INDEFINIDO","DIVIDENDOS"))</f>
        <v/>
      </c>
      <c r="Q346" s="62">
        <f>VLOOKUP(Table_1[[#This Row],[AÇÕES]],'Dados Status Invest'!A:R,18,0)/100</f>
        <v/>
      </c>
      <c r="R346" s="62">
        <f>VLOOKUP(Table_1[[#This Row],[AÇÕES]],'Dados Status Invest'!A:Y,25,0)/100</f>
        <v/>
      </c>
      <c r="S346" s="62">
        <f>(1-Table_1[[#This Row],[PAYOUT]])*Table_1[[#This Row],[ROE]]</f>
        <v/>
      </c>
      <c r="T346" s="98">
        <f>AVERAGE(Table_1[[#This Row],[CAGR LUCRO 5A]],Table_1[[#This Row],[CRESCIMENTO DAMODARAN]])</f>
        <v/>
      </c>
      <c r="U346" s="64">
        <f>(Table_1[[#This Row],[PREÇO JUSTO BAZIN]]-Table_1[[#This Row],[PREÇO]])/Table_1[[#This Row],[PREÇO JUSTO BAZIN]]</f>
        <v/>
      </c>
      <c r="V346" s="129">
        <f>Table_1[[#This Row],[DPA]]/6%</f>
        <v/>
      </c>
      <c r="W346" s="129">
        <f>Table_1[[#This Row],[PREÇO JUSTO BAZIN]]/(1+Table_1[[#This Row],[MARGEM DE DESCONTO]])</f>
        <v/>
      </c>
      <c r="X346" s="64">
        <f>(Table_1[[#This Row],[PREÇO JUSTO GRAHAM]]-Table_1[[#This Row],[PREÇO]])/Table_1[[#This Row],[PREÇO JUSTO GRAHAM]]</f>
        <v/>
      </c>
      <c r="Y346" s="129">
        <f>(22.5*Table_1[[#This Row],[LPA]]*Table_1[[#This Row],[VPA]])^0.5</f>
        <v/>
      </c>
      <c r="Z346" s="129">
        <f>Table_1[[#This Row],[PREÇO JUSTO GRAHAM]]/(1+Table_1[[#This Row],[MARGEM DE DESCONTO]])</f>
        <v/>
      </c>
      <c r="AA346" s="64">
        <f>(Table_1[[#This Row],[PREÇO JUSTO GORDON]]-Table_1[[#This Row],[PREÇO]])/Table_1[[#This Row],[PREÇO JUSTO GORDON]]</f>
        <v/>
      </c>
      <c r="AB346" s="130">
        <f>Table_1[[#This Row],[DPA]]*(1+Table_1[[#This Row],[MÉDIA DE CRESCIMENTO]])</f>
        <v/>
      </c>
      <c r="AC346" s="130">
        <f>Table_1[[#This Row],[D1]]/(Table_1[[#This Row],[RISCO]]-Table_1[[#This Row],[MÉDIA DE CRESCIMENTO]])</f>
        <v/>
      </c>
      <c r="AD346" s="130">
        <f>Table_1[[#This Row],[PREÇO JUSTO GORDON]]/(1+Table_1[[#This Row],[MARGEM DE DESCONTO]])</f>
        <v/>
      </c>
      <c r="AE346" s="78">
        <f>Table_1[[#This Row],[P/L]]/Table_1[[#This Row],[MÉDIA DE CRESCIMENTO]]</f>
        <v/>
      </c>
    </row>
    <row r="347" ht="15.75" customHeight="1">
      <c r="B347" s="77">
        <f>'Dados Status Invest'!A333</f>
        <v/>
      </c>
      <c r="C347" s="60">
        <f>VLOOKUP(Table_1[[#This Row],[AÇÕES]],'Classificação B3'!A:B,2,0)</f>
        <v/>
      </c>
      <c r="D347" s="60">
        <f>VLOOKUP(Table_1[[#This Row],[AÇÕES]],'Classificação B3'!A:D,4,0)</f>
        <v/>
      </c>
      <c r="E347" s="60">
        <f>VLOOKUP(Table_1[[#This Row],[AÇÕES]],'Classificação B3'!A:F,6,0)</f>
        <v/>
      </c>
      <c r="F347" s="60">
        <f>VLOOKUP(Table_1[[#This Row],[AÇÕES]],'Classificação B3'!A:G,7,0)</f>
        <v/>
      </c>
      <c r="G347" s="61">
        <f>VLOOKUP(Table_1[[#This Row],[AÇÕES]],'Dados Status Invest'!A:B,2,0)</f>
        <v/>
      </c>
      <c r="H347" s="62">
        <f>VLOOKUP(Table_1[[#This Row],[AÇÕES]],'Dados Status Invest'!A:C,3,0)/100</f>
        <v/>
      </c>
      <c r="I347" s="62">
        <f>VLOOKUP(Table_1[[#This Row],[AÇÕES]],'Dados Status Invest'!A:D,4,0)/100</f>
        <v/>
      </c>
      <c r="J347" s="63">
        <f>VLOOKUP(Table_1[[#This Row],[AÇÕES]],'Dados Status Invest'!A:AB,28,0)</f>
        <v/>
      </c>
      <c r="K347" s="63">
        <f>VLOOKUP(Table_1[[#This Row],[AÇÕES]],'Dados Status Invest'!A:AA,27,0)</f>
        <v/>
      </c>
      <c r="L347" s="63">
        <f>Table_1[[#This Row],[PREÇO]]*Table_1[[#This Row],[DY]]</f>
        <v/>
      </c>
      <c r="M347" s="62">
        <f>$E$13</f>
        <v/>
      </c>
      <c r="N347" s="62" t="n">
        <v>0.3</v>
      </c>
      <c r="O347" s="62">
        <f>Table_1[[#This Row],[DPA]]/Table_1[[#This Row],[LPA]]</f>
        <v/>
      </c>
      <c r="P347" s="62">
        <f>IF(Table_1[[#This Row],[PAYOUT]]&lt;=40%,"CRESCIMENTO",IF(Table_1[[#This Row],[PAYOUT]]&lt;=60%,"INDEFINIDO","DIVIDENDOS"))</f>
        <v/>
      </c>
      <c r="Q347" s="62">
        <f>VLOOKUP(Table_1[[#This Row],[AÇÕES]],'Dados Status Invest'!A:R,18,0)/100</f>
        <v/>
      </c>
      <c r="R347" s="62">
        <f>VLOOKUP(Table_1[[#This Row],[AÇÕES]],'Dados Status Invest'!A:Y,25,0)/100</f>
        <v/>
      </c>
      <c r="S347" s="62">
        <f>(1-Table_1[[#This Row],[PAYOUT]])*Table_1[[#This Row],[ROE]]</f>
        <v/>
      </c>
      <c r="T347" s="98">
        <f>AVERAGE(Table_1[[#This Row],[CAGR LUCRO 5A]],Table_1[[#This Row],[CRESCIMENTO DAMODARAN]])</f>
        <v/>
      </c>
      <c r="U347" s="64">
        <f>(Table_1[[#This Row],[PREÇO JUSTO BAZIN]]-Table_1[[#This Row],[PREÇO]])/Table_1[[#This Row],[PREÇO JUSTO BAZIN]]</f>
        <v/>
      </c>
      <c r="V347" s="129">
        <f>Table_1[[#This Row],[DPA]]/6%</f>
        <v/>
      </c>
      <c r="W347" s="129">
        <f>Table_1[[#This Row],[PREÇO JUSTO BAZIN]]/(1+Table_1[[#This Row],[MARGEM DE DESCONTO]])</f>
        <v/>
      </c>
      <c r="X347" s="64">
        <f>(Table_1[[#This Row],[PREÇO JUSTO GRAHAM]]-Table_1[[#This Row],[PREÇO]])/Table_1[[#This Row],[PREÇO JUSTO GRAHAM]]</f>
        <v/>
      </c>
      <c r="Y347" s="129">
        <f>(22.5*Table_1[[#This Row],[LPA]]*Table_1[[#This Row],[VPA]])^0.5</f>
        <v/>
      </c>
      <c r="Z347" s="129">
        <f>Table_1[[#This Row],[PREÇO JUSTO GRAHAM]]/(1+Table_1[[#This Row],[MARGEM DE DESCONTO]])</f>
        <v/>
      </c>
      <c r="AA347" s="64">
        <f>(Table_1[[#This Row],[PREÇO JUSTO GORDON]]-Table_1[[#This Row],[PREÇO]])/Table_1[[#This Row],[PREÇO JUSTO GORDON]]</f>
        <v/>
      </c>
      <c r="AB347" s="130">
        <f>Table_1[[#This Row],[DPA]]*(1+Table_1[[#This Row],[MÉDIA DE CRESCIMENTO]])</f>
        <v/>
      </c>
      <c r="AC347" s="130">
        <f>Table_1[[#This Row],[D1]]/(Table_1[[#This Row],[RISCO]]-Table_1[[#This Row],[MÉDIA DE CRESCIMENTO]])</f>
        <v/>
      </c>
      <c r="AD347" s="130">
        <f>Table_1[[#This Row],[PREÇO JUSTO GORDON]]/(1+Table_1[[#This Row],[MARGEM DE DESCONTO]])</f>
        <v/>
      </c>
      <c r="AE347" s="78">
        <f>Table_1[[#This Row],[P/L]]/Table_1[[#This Row],[MÉDIA DE CRESCIMENTO]]</f>
        <v/>
      </c>
    </row>
    <row r="348" ht="15.75" customHeight="1">
      <c r="B348" s="77">
        <f>'Dados Status Invest'!A334</f>
        <v/>
      </c>
      <c r="C348" s="60">
        <f>VLOOKUP(Table_1[[#This Row],[AÇÕES]],'Classificação B3'!A:B,2,0)</f>
        <v/>
      </c>
      <c r="D348" s="60">
        <f>VLOOKUP(Table_1[[#This Row],[AÇÕES]],'Classificação B3'!A:D,4,0)</f>
        <v/>
      </c>
      <c r="E348" s="60">
        <f>VLOOKUP(Table_1[[#This Row],[AÇÕES]],'Classificação B3'!A:F,6,0)</f>
        <v/>
      </c>
      <c r="F348" s="60">
        <f>VLOOKUP(Table_1[[#This Row],[AÇÕES]],'Classificação B3'!A:G,7,0)</f>
        <v/>
      </c>
      <c r="G348" s="61">
        <f>VLOOKUP(Table_1[[#This Row],[AÇÕES]],'Dados Status Invest'!A:B,2,0)</f>
        <v/>
      </c>
      <c r="H348" s="62">
        <f>VLOOKUP(Table_1[[#This Row],[AÇÕES]],'Dados Status Invest'!A:C,3,0)/100</f>
        <v/>
      </c>
      <c r="I348" s="62">
        <f>VLOOKUP(Table_1[[#This Row],[AÇÕES]],'Dados Status Invest'!A:D,4,0)/100</f>
        <v/>
      </c>
      <c r="J348" s="63">
        <f>VLOOKUP(Table_1[[#This Row],[AÇÕES]],'Dados Status Invest'!A:AB,28,0)</f>
        <v/>
      </c>
      <c r="K348" s="63">
        <f>VLOOKUP(Table_1[[#This Row],[AÇÕES]],'Dados Status Invest'!A:AA,27,0)</f>
        <v/>
      </c>
      <c r="L348" s="63">
        <f>Table_1[[#This Row],[PREÇO]]*Table_1[[#This Row],[DY]]</f>
        <v/>
      </c>
      <c r="M348" s="62">
        <f>$E$13</f>
        <v/>
      </c>
      <c r="N348" s="62" t="n">
        <v>0.3</v>
      </c>
      <c r="O348" s="62">
        <f>Table_1[[#This Row],[DPA]]/Table_1[[#This Row],[LPA]]</f>
        <v/>
      </c>
      <c r="P348" s="62">
        <f>IF(Table_1[[#This Row],[PAYOUT]]&lt;=40%,"CRESCIMENTO",IF(Table_1[[#This Row],[PAYOUT]]&lt;=60%,"INDEFINIDO","DIVIDENDOS"))</f>
        <v/>
      </c>
      <c r="Q348" s="62">
        <f>VLOOKUP(Table_1[[#This Row],[AÇÕES]],'Dados Status Invest'!A:R,18,0)/100</f>
        <v/>
      </c>
      <c r="R348" s="62">
        <f>VLOOKUP(Table_1[[#This Row],[AÇÕES]],'Dados Status Invest'!A:Y,25,0)/100</f>
        <v/>
      </c>
      <c r="S348" s="62">
        <f>(1-Table_1[[#This Row],[PAYOUT]])*Table_1[[#This Row],[ROE]]</f>
        <v/>
      </c>
      <c r="T348" s="98">
        <f>AVERAGE(Table_1[[#This Row],[CAGR LUCRO 5A]],Table_1[[#This Row],[CRESCIMENTO DAMODARAN]])</f>
        <v/>
      </c>
      <c r="U348" s="64">
        <f>(Table_1[[#This Row],[PREÇO JUSTO BAZIN]]-Table_1[[#This Row],[PREÇO]])/Table_1[[#This Row],[PREÇO JUSTO BAZIN]]</f>
        <v/>
      </c>
      <c r="V348" s="129">
        <f>Table_1[[#This Row],[DPA]]/6%</f>
        <v/>
      </c>
      <c r="W348" s="129">
        <f>Table_1[[#This Row],[PREÇO JUSTO BAZIN]]/(1+Table_1[[#This Row],[MARGEM DE DESCONTO]])</f>
        <v/>
      </c>
      <c r="X348" s="64">
        <f>(Table_1[[#This Row],[PREÇO JUSTO GRAHAM]]-Table_1[[#This Row],[PREÇO]])/Table_1[[#This Row],[PREÇO JUSTO GRAHAM]]</f>
        <v/>
      </c>
      <c r="Y348" s="129">
        <f>(22.5*Table_1[[#This Row],[LPA]]*Table_1[[#This Row],[VPA]])^0.5</f>
        <v/>
      </c>
      <c r="Z348" s="129">
        <f>Table_1[[#This Row],[PREÇO JUSTO GRAHAM]]/(1+Table_1[[#This Row],[MARGEM DE DESCONTO]])</f>
        <v/>
      </c>
      <c r="AA348" s="64">
        <f>(Table_1[[#This Row],[PREÇO JUSTO GORDON]]-Table_1[[#This Row],[PREÇO]])/Table_1[[#This Row],[PREÇO JUSTO GORDON]]</f>
        <v/>
      </c>
      <c r="AB348" s="130">
        <f>Table_1[[#This Row],[DPA]]*(1+Table_1[[#This Row],[MÉDIA DE CRESCIMENTO]])</f>
        <v/>
      </c>
      <c r="AC348" s="130">
        <f>Table_1[[#This Row],[D1]]/(Table_1[[#This Row],[RISCO]]-Table_1[[#This Row],[MÉDIA DE CRESCIMENTO]])</f>
        <v/>
      </c>
      <c r="AD348" s="130">
        <f>Table_1[[#This Row],[PREÇO JUSTO GORDON]]/(1+Table_1[[#This Row],[MARGEM DE DESCONTO]])</f>
        <v/>
      </c>
      <c r="AE348" s="78">
        <f>Table_1[[#This Row],[P/L]]/Table_1[[#This Row],[MÉDIA DE CRESCIMENTO]]</f>
        <v/>
      </c>
    </row>
    <row r="349" ht="15.75" customHeight="1">
      <c r="B349" s="77">
        <f>'Dados Status Invest'!A335</f>
        <v/>
      </c>
      <c r="C349" s="60">
        <f>VLOOKUP(Table_1[[#This Row],[AÇÕES]],'Classificação B3'!A:B,2,0)</f>
        <v/>
      </c>
      <c r="D349" s="60">
        <f>VLOOKUP(Table_1[[#This Row],[AÇÕES]],'Classificação B3'!A:D,4,0)</f>
        <v/>
      </c>
      <c r="E349" s="60">
        <f>VLOOKUP(Table_1[[#This Row],[AÇÕES]],'Classificação B3'!A:F,6,0)</f>
        <v/>
      </c>
      <c r="F349" s="60">
        <f>VLOOKUP(Table_1[[#This Row],[AÇÕES]],'Classificação B3'!A:G,7,0)</f>
        <v/>
      </c>
      <c r="G349" s="61">
        <f>VLOOKUP(Table_1[[#This Row],[AÇÕES]],'Dados Status Invest'!A:B,2,0)</f>
        <v/>
      </c>
      <c r="H349" s="62">
        <f>VLOOKUP(Table_1[[#This Row],[AÇÕES]],'Dados Status Invest'!A:C,3,0)/100</f>
        <v/>
      </c>
      <c r="I349" s="62">
        <f>VLOOKUP(Table_1[[#This Row],[AÇÕES]],'Dados Status Invest'!A:D,4,0)/100</f>
        <v/>
      </c>
      <c r="J349" s="63">
        <f>VLOOKUP(Table_1[[#This Row],[AÇÕES]],'Dados Status Invest'!A:AB,28,0)</f>
        <v/>
      </c>
      <c r="K349" s="63">
        <f>VLOOKUP(Table_1[[#This Row],[AÇÕES]],'Dados Status Invest'!A:AA,27,0)</f>
        <v/>
      </c>
      <c r="L349" s="63">
        <f>Table_1[[#This Row],[PREÇO]]*Table_1[[#This Row],[DY]]</f>
        <v/>
      </c>
      <c r="M349" s="62">
        <f>$E$13</f>
        <v/>
      </c>
      <c r="N349" s="62" t="n">
        <v>0.3</v>
      </c>
      <c r="O349" s="62">
        <f>Table_1[[#This Row],[DPA]]/Table_1[[#This Row],[LPA]]</f>
        <v/>
      </c>
      <c r="P349" s="62">
        <f>IF(Table_1[[#This Row],[PAYOUT]]&lt;=40%,"CRESCIMENTO",IF(Table_1[[#This Row],[PAYOUT]]&lt;=60%,"INDEFINIDO","DIVIDENDOS"))</f>
        <v/>
      </c>
      <c r="Q349" s="62">
        <f>VLOOKUP(Table_1[[#This Row],[AÇÕES]],'Dados Status Invest'!A:R,18,0)/100</f>
        <v/>
      </c>
      <c r="R349" s="62">
        <f>VLOOKUP(Table_1[[#This Row],[AÇÕES]],'Dados Status Invest'!A:Y,25,0)/100</f>
        <v/>
      </c>
      <c r="S349" s="62">
        <f>(1-Table_1[[#This Row],[PAYOUT]])*Table_1[[#This Row],[ROE]]</f>
        <v/>
      </c>
      <c r="T349" s="98">
        <f>AVERAGE(Table_1[[#This Row],[CAGR LUCRO 5A]],Table_1[[#This Row],[CRESCIMENTO DAMODARAN]])</f>
        <v/>
      </c>
      <c r="U349" s="64">
        <f>(Table_1[[#This Row],[PREÇO JUSTO BAZIN]]-Table_1[[#This Row],[PREÇO]])/Table_1[[#This Row],[PREÇO JUSTO BAZIN]]</f>
        <v/>
      </c>
      <c r="V349" s="129">
        <f>Table_1[[#This Row],[DPA]]/6%</f>
        <v/>
      </c>
      <c r="W349" s="129">
        <f>Table_1[[#This Row],[PREÇO JUSTO BAZIN]]/(1+Table_1[[#This Row],[MARGEM DE DESCONTO]])</f>
        <v/>
      </c>
      <c r="X349" s="64">
        <f>(Table_1[[#This Row],[PREÇO JUSTO GRAHAM]]-Table_1[[#This Row],[PREÇO]])/Table_1[[#This Row],[PREÇO JUSTO GRAHAM]]</f>
        <v/>
      </c>
      <c r="Y349" s="129">
        <f>(22.5*Table_1[[#This Row],[LPA]]*Table_1[[#This Row],[VPA]])^0.5</f>
        <v/>
      </c>
      <c r="Z349" s="129">
        <f>Table_1[[#This Row],[PREÇO JUSTO GRAHAM]]/(1+Table_1[[#This Row],[MARGEM DE DESCONTO]])</f>
        <v/>
      </c>
      <c r="AA349" s="64">
        <f>(Table_1[[#This Row],[PREÇO JUSTO GORDON]]-Table_1[[#This Row],[PREÇO]])/Table_1[[#This Row],[PREÇO JUSTO GORDON]]</f>
        <v/>
      </c>
      <c r="AB349" s="130">
        <f>Table_1[[#This Row],[DPA]]*(1+Table_1[[#This Row],[MÉDIA DE CRESCIMENTO]])</f>
        <v/>
      </c>
      <c r="AC349" s="130">
        <f>Table_1[[#This Row],[D1]]/(Table_1[[#This Row],[RISCO]]-Table_1[[#This Row],[MÉDIA DE CRESCIMENTO]])</f>
        <v/>
      </c>
      <c r="AD349" s="130">
        <f>Table_1[[#This Row],[PREÇO JUSTO GORDON]]/(1+Table_1[[#This Row],[MARGEM DE DESCONTO]])</f>
        <v/>
      </c>
      <c r="AE349" s="78">
        <f>Table_1[[#This Row],[P/L]]/Table_1[[#This Row],[MÉDIA DE CRESCIMENTO]]</f>
        <v/>
      </c>
    </row>
    <row r="350" ht="15.75" customHeight="1">
      <c r="B350" s="77">
        <f>'Dados Status Invest'!A336</f>
        <v/>
      </c>
      <c r="C350" s="60">
        <f>VLOOKUP(Table_1[[#This Row],[AÇÕES]],'Classificação B3'!A:B,2,0)</f>
        <v/>
      </c>
      <c r="D350" s="60">
        <f>VLOOKUP(Table_1[[#This Row],[AÇÕES]],'Classificação B3'!A:D,4,0)</f>
        <v/>
      </c>
      <c r="E350" s="60">
        <f>VLOOKUP(Table_1[[#This Row],[AÇÕES]],'Classificação B3'!A:F,6,0)</f>
        <v/>
      </c>
      <c r="F350" s="60">
        <f>VLOOKUP(Table_1[[#This Row],[AÇÕES]],'Classificação B3'!A:G,7,0)</f>
        <v/>
      </c>
      <c r="G350" s="61">
        <f>VLOOKUP(Table_1[[#This Row],[AÇÕES]],'Dados Status Invest'!A:B,2,0)</f>
        <v/>
      </c>
      <c r="H350" s="62">
        <f>VLOOKUP(Table_1[[#This Row],[AÇÕES]],'Dados Status Invest'!A:C,3,0)/100</f>
        <v/>
      </c>
      <c r="I350" s="62">
        <f>VLOOKUP(Table_1[[#This Row],[AÇÕES]],'Dados Status Invest'!A:D,4,0)/100</f>
        <v/>
      </c>
      <c r="J350" s="63">
        <f>VLOOKUP(Table_1[[#This Row],[AÇÕES]],'Dados Status Invest'!A:AB,28,0)</f>
        <v/>
      </c>
      <c r="K350" s="63">
        <f>VLOOKUP(Table_1[[#This Row],[AÇÕES]],'Dados Status Invest'!A:AA,27,0)</f>
        <v/>
      </c>
      <c r="L350" s="63">
        <f>Table_1[[#This Row],[PREÇO]]*Table_1[[#This Row],[DY]]</f>
        <v/>
      </c>
      <c r="M350" s="62">
        <f>$E$13</f>
        <v/>
      </c>
      <c r="N350" s="62" t="n">
        <v>0.3</v>
      </c>
      <c r="O350" s="62">
        <f>Table_1[[#This Row],[DPA]]/Table_1[[#This Row],[LPA]]</f>
        <v/>
      </c>
      <c r="P350" s="62">
        <f>IF(Table_1[[#This Row],[PAYOUT]]&lt;=40%,"CRESCIMENTO",IF(Table_1[[#This Row],[PAYOUT]]&lt;=60%,"INDEFINIDO","DIVIDENDOS"))</f>
        <v/>
      </c>
      <c r="Q350" s="62">
        <f>VLOOKUP(Table_1[[#This Row],[AÇÕES]],'Dados Status Invest'!A:R,18,0)/100</f>
        <v/>
      </c>
      <c r="R350" s="62">
        <f>VLOOKUP(Table_1[[#This Row],[AÇÕES]],'Dados Status Invest'!A:Y,25,0)/100</f>
        <v/>
      </c>
      <c r="S350" s="62">
        <f>(1-Table_1[[#This Row],[PAYOUT]])*Table_1[[#This Row],[ROE]]</f>
        <v/>
      </c>
      <c r="T350" s="98">
        <f>AVERAGE(Table_1[[#This Row],[CAGR LUCRO 5A]],Table_1[[#This Row],[CRESCIMENTO DAMODARAN]])</f>
        <v/>
      </c>
      <c r="U350" s="64">
        <f>(Table_1[[#This Row],[PREÇO JUSTO BAZIN]]-Table_1[[#This Row],[PREÇO]])/Table_1[[#This Row],[PREÇO JUSTO BAZIN]]</f>
        <v/>
      </c>
      <c r="V350" s="129">
        <f>Table_1[[#This Row],[DPA]]/6%</f>
        <v/>
      </c>
      <c r="W350" s="129">
        <f>Table_1[[#This Row],[PREÇO JUSTO BAZIN]]/(1+Table_1[[#This Row],[MARGEM DE DESCONTO]])</f>
        <v/>
      </c>
      <c r="X350" s="64">
        <f>(Table_1[[#This Row],[PREÇO JUSTO GRAHAM]]-Table_1[[#This Row],[PREÇO]])/Table_1[[#This Row],[PREÇO JUSTO GRAHAM]]</f>
        <v/>
      </c>
      <c r="Y350" s="129">
        <f>(22.5*Table_1[[#This Row],[LPA]]*Table_1[[#This Row],[VPA]])^0.5</f>
        <v/>
      </c>
      <c r="Z350" s="129">
        <f>Table_1[[#This Row],[PREÇO JUSTO GRAHAM]]/(1+Table_1[[#This Row],[MARGEM DE DESCONTO]])</f>
        <v/>
      </c>
      <c r="AA350" s="64">
        <f>(Table_1[[#This Row],[PREÇO JUSTO GORDON]]-Table_1[[#This Row],[PREÇO]])/Table_1[[#This Row],[PREÇO JUSTO GORDON]]</f>
        <v/>
      </c>
      <c r="AB350" s="130">
        <f>Table_1[[#This Row],[DPA]]*(1+Table_1[[#This Row],[MÉDIA DE CRESCIMENTO]])</f>
        <v/>
      </c>
      <c r="AC350" s="130">
        <f>Table_1[[#This Row],[D1]]/(Table_1[[#This Row],[RISCO]]-Table_1[[#This Row],[MÉDIA DE CRESCIMENTO]])</f>
        <v/>
      </c>
      <c r="AD350" s="130">
        <f>Table_1[[#This Row],[PREÇO JUSTO GORDON]]/(1+Table_1[[#This Row],[MARGEM DE DESCONTO]])</f>
        <v/>
      </c>
      <c r="AE350" s="78">
        <f>Table_1[[#This Row],[P/L]]/Table_1[[#This Row],[MÉDIA DE CRESCIMENTO]]</f>
        <v/>
      </c>
    </row>
    <row r="351" ht="15.75" customHeight="1">
      <c r="B351" s="77">
        <f>'Dados Status Invest'!A337</f>
        <v/>
      </c>
      <c r="C351" s="60">
        <f>VLOOKUP(Table_1[[#This Row],[AÇÕES]],'Classificação B3'!A:B,2,0)</f>
        <v/>
      </c>
      <c r="D351" s="60">
        <f>VLOOKUP(Table_1[[#This Row],[AÇÕES]],'Classificação B3'!A:D,4,0)</f>
        <v/>
      </c>
      <c r="E351" s="60">
        <f>VLOOKUP(Table_1[[#This Row],[AÇÕES]],'Classificação B3'!A:F,6,0)</f>
        <v/>
      </c>
      <c r="F351" s="60">
        <f>VLOOKUP(Table_1[[#This Row],[AÇÕES]],'Classificação B3'!A:G,7,0)</f>
        <v/>
      </c>
      <c r="G351" s="61">
        <f>VLOOKUP(Table_1[[#This Row],[AÇÕES]],'Dados Status Invest'!A:B,2,0)</f>
        <v/>
      </c>
      <c r="H351" s="62">
        <f>VLOOKUP(Table_1[[#This Row],[AÇÕES]],'Dados Status Invest'!A:C,3,0)/100</f>
        <v/>
      </c>
      <c r="I351" s="62">
        <f>VLOOKUP(Table_1[[#This Row],[AÇÕES]],'Dados Status Invest'!A:D,4,0)/100</f>
        <v/>
      </c>
      <c r="J351" s="63">
        <f>VLOOKUP(Table_1[[#This Row],[AÇÕES]],'Dados Status Invest'!A:AB,28,0)</f>
        <v/>
      </c>
      <c r="K351" s="63">
        <f>VLOOKUP(Table_1[[#This Row],[AÇÕES]],'Dados Status Invest'!A:AA,27,0)</f>
        <v/>
      </c>
      <c r="L351" s="63">
        <f>Table_1[[#This Row],[PREÇO]]*Table_1[[#This Row],[DY]]</f>
        <v/>
      </c>
      <c r="M351" s="62">
        <f>$E$13</f>
        <v/>
      </c>
      <c r="N351" s="62" t="n">
        <v>0.3</v>
      </c>
      <c r="O351" s="62">
        <f>Table_1[[#This Row],[DPA]]/Table_1[[#This Row],[LPA]]</f>
        <v/>
      </c>
      <c r="P351" s="62">
        <f>IF(Table_1[[#This Row],[PAYOUT]]&lt;=40%,"CRESCIMENTO",IF(Table_1[[#This Row],[PAYOUT]]&lt;=60%,"INDEFINIDO","DIVIDENDOS"))</f>
        <v/>
      </c>
      <c r="Q351" s="62">
        <f>VLOOKUP(Table_1[[#This Row],[AÇÕES]],'Dados Status Invest'!A:R,18,0)/100</f>
        <v/>
      </c>
      <c r="R351" s="62">
        <f>VLOOKUP(Table_1[[#This Row],[AÇÕES]],'Dados Status Invest'!A:Y,25,0)/100</f>
        <v/>
      </c>
      <c r="S351" s="62">
        <f>(1-Table_1[[#This Row],[PAYOUT]])*Table_1[[#This Row],[ROE]]</f>
        <v/>
      </c>
      <c r="T351" s="98">
        <f>AVERAGE(Table_1[[#This Row],[CAGR LUCRO 5A]],Table_1[[#This Row],[CRESCIMENTO DAMODARAN]])</f>
        <v/>
      </c>
      <c r="U351" s="64">
        <f>(Table_1[[#This Row],[PREÇO JUSTO BAZIN]]-Table_1[[#This Row],[PREÇO]])/Table_1[[#This Row],[PREÇO JUSTO BAZIN]]</f>
        <v/>
      </c>
      <c r="V351" s="129">
        <f>Table_1[[#This Row],[DPA]]/6%</f>
        <v/>
      </c>
      <c r="W351" s="129">
        <f>Table_1[[#This Row],[PREÇO JUSTO BAZIN]]/(1+Table_1[[#This Row],[MARGEM DE DESCONTO]])</f>
        <v/>
      </c>
      <c r="X351" s="64">
        <f>(Table_1[[#This Row],[PREÇO JUSTO GRAHAM]]-Table_1[[#This Row],[PREÇO]])/Table_1[[#This Row],[PREÇO JUSTO GRAHAM]]</f>
        <v/>
      </c>
      <c r="Y351" s="129">
        <f>(22.5*Table_1[[#This Row],[LPA]]*Table_1[[#This Row],[VPA]])^0.5</f>
        <v/>
      </c>
      <c r="Z351" s="129">
        <f>Table_1[[#This Row],[PREÇO JUSTO GRAHAM]]/(1+Table_1[[#This Row],[MARGEM DE DESCONTO]])</f>
        <v/>
      </c>
      <c r="AA351" s="64">
        <f>(Table_1[[#This Row],[PREÇO JUSTO GORDON]]-Table_1[[#This Row],[PREÇO]])/Table_1[[#This Row],[PREÇO JUSTO GORDON]]</f>
        <v/>
      </c>
      <c r="AB351" s="130">
        <f>Table_1[[#This Row],[DPA]]*(1+Table_1[[#This Row],[MÉDIA DE CRESCIMENTO]])</f>
        <v/>
      </c>
      <c r="AC351" s="130">
        <f>Table_1[[#This Row],[D1]]/(Table_1[[#This Row],[RISCO]]-Table_1[[#This Row],[MÉDIA DE CRESCIMENTO]])</f>
        <v/>
      </c>
      <c r="AD351" s="130">
        <f>Table_1[[#This Row],[PREÇO JUSTO GORDON]]/(1+Table_1[[#This Row],[MARGEM DE DESCONTO]])</f>
        <v/>
      </c>
      <c r="AE351" s="78">
        <f>Table_1[[#This Row],[P/L]]/Table_1[[#This Row],[MÉDIA DE CRESCIMENTO]]</f>
        <v/>
      </c>
    </row>
    <row r="352" ht="15.75" customHeight="1">
      <c r="B352" s="77">
        <f>'Dados Status Invest'!A338</f>
        <v/>
      </c>
      <c r="C352" s="60">
        <f>VLOOKUP(Table_1[[#This Row],[AÇÕES]],'Classificação B3'!A:B,2,0)</f>
        <v/>
      </c>
      <c r="D352" s="60">
        <f>VLOOKUP(Table_1[[#This Row],[AÇÕES]],'Classificação B3'!A:D,4,0)</f>
        <v/>
      </c>
      <c r="E352" s="60">
        <f>VLOOKUP(Table_1[[#This Row],[AÇÕES]],'Classificação B3'!A:F,6,0)</f>
        <v/>
      </c>
      <c r="F352" s="60">
        <f>VLOOKUP(Table_1[[#This Row],[AÇÕES]],'Classificação B3'!A:G,7,0)</f>
        <v/>
      </c>
      <c r="G352" s="61">
        <f>VLOOKUP(Table_1[[#This Row],[AÇÕES]],'Dados Status Invest'!A:B,2,0)</f>
        <v/>
      </c>
      <c r="H352" s="62">
        <f>VLOOKUP(Table_1[[#This Row],[AÇÕES]],'Dados Status Invest'!A:C,3,0)/100</f>
        <v/>
      </c>
      <c r="I352" s="62">
        <f>VLOOKUP(Table_1[[#This Row],[AÇÕES]],'Dados Status Invest'!A:D,4,0)/100</f>
        <v/>
      </c>
      <c r="J352" s="63">
        <f>VLOOKUP(Table_1[[#This Row],[AÇÕES]],'Dados Status Invest'!A:AB,28,0)</f>
        <v/>
      </c>
      <c r="K352" s="63">
        <f>VLOOKUP(Table_1[[#This Row],[AÇÕES]],'Dados Status Invest'!A:AA,27,0)</f>
        <v/>
      </c>
      <c r="L352" s="63">
        <f>Table_1[[#This Row],[PREÇO]]*Table_1[[#This Row],[DY]]</f>
        <v/>
      </c>
      <c r="M352" s="62">
        <f>$E$13</f>
        <v/>
      </c>
      <c r="N352" s="62" t="n">
        <v>0.3</v>
      </c>
      <c r="O352" s="62">
        <f>Table_1[[#This Row],[DPA]]/Table_1[[#This Row],[LPA]]</f>
        <v/>
      </c>
      <c r="P352" s="62">
        <f>IF(Table_1[[#This Row],[PAYOUT]]&lt;=40%,"CRESCIMENTO",IF(Table_1[[#This Row],[PAYOUT]]&lt;=60%,"INDEFINIDO","DIVIDENDOS"))</f>
        <v/>
      </c>
      <c r="Q352" s="62">
        <f>VLOOKUP(Table_1[[#This Row],[AÇÕES]],'Dados Status Invest'!A:R,18,0)/100</f>
        <v/>
      </c>
      <c r="R352" s="62">
        <f>VLOOKUP(Table_1[[#This Row],[AÇÕES]],'Dados Status Invest'!A:Y,25,0)/100</f>
        <v/>
      </c>
      <c r="S352" s="62">
        <f>(1-Table_1[[#This Row],[PAYOUT]])*Table_1[[#This Row],[ROE]]</f>
        <v/>
      </c>
      <c r="T352" s="98">
        <f>AVERAGE(Table_1[[#This Row],[CAGR LUCRO 5A]],Table_1[[#This Row],[CRESCIMENTO DAMODARAN]])</f>
        <v/>
      </c>
      <c r="U352" s="64">
        <f>(Table_1[[#This Row],[PREÇO JUSTO BAZIN]]-Table_1[[#This Row],[PREÇO]])/Table_1[[#This Row],[PREÇO JUSTO BAZIN]]</f>
        <v/>
      </c>
      <c r="V352" s="129">
        <f>Table_1[[#This Row],[DPA]]/6%</f>
        <v/>
      </c>
      <c r="W352" s="129">
        <f>Table_1[[#This Row],[PREÇO JUSTO BAZIN]]/(1+Table_1[[#This Row],[MARGEM DE DESCONTO]])</f>
        <v/>
      </c>
      <c r="X352" s="64">
        <f>(Table_1[[#This Row],[PREÇO JUSTO GRAHAM]]-Table_1[[#This Row],[PREÇO]])/Table_1[[#This Row],[PREÇO JUSTO GRAHAM]]</f>
        <v/>
      </c>
      <c r="Y352" s="129">
        <f>(22.5*Table_1[[#This Row],[LPA]]*Table_1[[#This Row],[VPA]])^0.5</f>
        <v/>
      </c>
      <c r="Z352" s="129">
        <f>Table_1[[#This Row],[PREÇO JUSTO GRAHAM]]/(1+Table_1[[#This Row],[MARGEM DE DESCONTO]])</f>
        <v/>
      </c>
      <c r="AA352" s="64">
        <f>(Table_1[[#This Row],[PREÇO JUSTO GORDON]]-Table_1[[#This Row],[PREÇO]])/Table_1[[#This Row],[PREÇO JUSTO GORDON]]</f>
        <v/>
      </c>
      <c r="AB352" s="130">
        <f>Table_1[[#This Row],[DPA]]*(1+Table_1[[#This Row],[MÉDIA DE CRESCIMENTO]])</f>
        <v/>
      </c>
      <c r="AC352" s="130">
        <f>Table_1[[#This Row],[D1]]/(Table_1[[#This Row],[RISCO]]-Table_1[[#This Row],[MÉDIA DE CRESCIMENTO]])</f>
        <v/>
      </c>
      <c r="AD352" s="130">
        <f>Table_1[[#This Row],[PREÇO JUSTO GORDON]]/(1+Table_1[[#This Row],[MARGEM DE DESCONTO]])</f>
        <v/>
      </c>
      <c r="AE352" s="78">
        <f>Table_1[[#This Row],[P/L]]/Table_1[[#This Row],[MÉDIA DE CRESCIMENTO]]</f>
        <v/>
      </c>
    </row>
    <row r="353" ht="15.75" customHeight="1">
      <c r="B353" s="77">
        <f>'Dados Status Invest'!A339</f>
        <v/>
      </c>
      <c r="C353" s="60">
        <f>VLOOKUP(Table_1[[#This Row],[AÇÕES]],'Classificação B3'!A:B,2,0)</f>
        <v/>
      </c>
      <c r="D353" s="60">
        <f>VLOOKUP(Table_1[[#This Row],[AÇÕES]],'Classificação B3'!A:D,4,0)</f>
        <v/>
      </c>
      <c r="E353" s="60">
        <f>VLOOKUP(Table_1[[#This Row],[AÇÕES]],'Classificação B3'!A:F,6,0)</f>
        <v/>
      </c>
      <c r="F353" s="60">
        <f>VLOOKUP(Table_1[[#This Row],[AÇÕES]],'Classificação B3'!A:G,7,0)</f>
        <v/>
      </c>
      <c r="G353" s="61">
        <f>VLOOKUP(Table_1[[#This Row],[AÇÕES]],'Dados Status Invest'!A:B,2,0)</f>
        <v/>
      </c>
      <c r="H353" s="62">
        <f>VLOOKUP(Table_1[[#This Row],[AÇÕES]],'Dados Status Invest'!A:C,3,0)/100</f>
        <v/>
      </c>
      <c r="I353" s="62">
        <f>VLOOKUP(Table_1[[#This Row],[AÇÕES]],'Dados Status Invest'!A:D,4,0)/100</f>
        <v/>
      </c>
      <c r="J353" s="63">
        <f>VLOOKUP(Table_1[[#This Row],[AÇÕES]],'Dados Status Invest'!A:AB,28,0)</f>
        <v/>
      </c>
      <c r="K353" s="63">
        <f>VLOOKUP(Table_1[[#This Row],[AÇÕES]],'Dados Status Invest'!A:AA,27,0)</f>
        <v/>
      </c>
      <c r="L353" s="63">
        <f>Table_1[[#This Row],[PREÇO]]*Table_1[[#This Row],[DY]]</f>
        <v/>
      </c>
      <c r="M353" s="62">
        <f>$E$13</f>
        <v/>
      </c>
      <c r="N353" s="62" t="n">
        <v>0.3</v>
      </c>
      <c r="O353" s="62">
        <f>Table_1[[#This Row],[DPA]]/Table_1[[#This Row],[LPA]]</f>
        <v/>
      </c>
      <c r="P353" s="62">
        <f>IF(Table_1[[#This Row],[PAYOUT]]&lt;=40%,"CRESCIMENTO",IF(Table_1[[#This Row],[PAYOUT]]&lt;=60%,"INDEFINIDO","DIVIDENDOS"))</f>
        <v/>
      </c>
      <c r="Q353" s="62">
        <f>VLOOKUP(Table_1[[#This Row],[AÇÕES]],'Dados Status Invest'!A:R,18,0)/100</f>
        <v/>
      </c>
      <c r="R353" s="62">
        <f>VLOOKUP(Table_1[[#This Row],[AÇÕES]],'Dados Status Invest'!A:Y,25,0)/100</f>
        <v/>
      </c>
      <c r="S353" s="62">
        <f>(1-Table_1[[#This Row],[PAYOUT]])*Table_1[[#This Row],[ROE]]</f>
        <v/>
      </c>
      <c r="T353" s="98">
        <f>AVERAGE(Table_1[[#This Row],[CAGR LUCRO 5A]],Table_1[[#This Row],[CRESCIMENTO DAMODARAN]])</f>
        <v/>
      </c>
      <c r="U353" s="64">
        <f>(Table_1[[#This Row],[PREÇO JUSTO BAZIN]]-Table_1[[#This Row],[PREÇO]])/Table_1[[#This Row],[PREÇO JUSTO BAZIN]]</f>
        <v/>
      </c>
      <c r="V353" s="129">
        <f>Table_1[[#This Row],[DPA]]/6%</f>
        <v/>
      </c>
      <c r="W353" s="129">
        <f>Table_1[[#This Row],[PREÇO JUSTO BAZIN]]/(1+Table_1[[#This Row],[MARGEM DE DESCONTO]])</f>
        <v/>
      </c>
      <c r="X353" s="64">
        <f>(Table_1[[#This Row],[PREÇO JUSTO GRAHAM]]-Table_1[[#This Row],[PREÇO]])/Table_1[[#This Row],[PREÇO JUSTO GRAHAM]]</f>
        <v/>
      </c>
      <c r="Y353" s="129">
        <f>(22.5*Table_1[[#This Row],[LPA]]*Table_1[[#This Row],[VPA]])^0.5</f>
        <v/>
      </c>
      <c r="Z353" s="129">
        <f>Table_1[[#This Row],[PREÇO JUSTO GRAHAM]]/(1+Table_1[[#This Row],[MARGEM DE DESCONTO]])</f>
        <v/>
      </c>
      <c r="AA353" s="64">
        <f>(Table_1[[#This Row],[PREÇO JUSTO GORDON]]-Table_1[[#This Row],[PREÇO]])/Table_1[[#This Row],[PREÇO JUSTO GORDON]]</f>
        <v/>
      </c>
      <c r="AB353" s="130">
        <f>Table_1[[#This Row],[DPA]]*(1+Table_1[[#This Row],[MÉDIA DE CRESCIMENTO]])</f>
        <v/>
      </c>
      <c r="AC353" s="130">
        <f>Table_1[[#This Row],[D1]]/(Table_1[[#This Row],[RISCO]]-Table_1[[#This Row],[MÉDIA DE CRESCIMENTO]])</f>
        <v/>
      </c>
      <c r="AD353" s="130">
        <f>Table_1[[#This Row],[PREÇO JUSTO GORDON]]/(1+Table_1[[#This Row],[MARGEM DE DESCONTO]])</f>
        <v/>
      </c>
      <c r="AE353" s="78">
        <f>Table_1[[#This Row],[P/L]]/Table_1[[#This Row],[MÉDIA DE CRESCIMENTO]]</f>
        <v/>
      </c>
    </row>
    <row r="354" ht="15.75" customHeight="1">
      <c r="B354" s="77">
        <f>'Dados Status Invest'!A340</f>
        <v/>
      </c>
      <c r="C354" s="60">
        <f>VLOOKUP(Table_1[[#This Row],[AÇÕES]],'Classificação B3'!A:B,2,0)</f>
        <v/>
      </c>
      <c r="D354" s="60">
        <f>VLOOKUP(Table_1[[#This Row],[AÇÕES]],'Classificação B3'!A:D,4,0)</f>
        <v/>
      </c>
      <c r="E354" s="60">
        <f>VLOOKUP(Table_1[[#This Row],[AÇÕES]],'Classificação B3'!A:F,6,0)</f>
        <v/>
      </c>
      <c r="F354" s="60">
        <f>VLOOKUP(Table_1[[#This Row],[AÇÕES]],'Classificação B3'!A:G,7,0)</f>
        <v/>
      </c>
      <c r="G354" s="61">
        <f>VLOOKUP(Table_1[[#This Row],[AÇÕES]],'Dados Status Invest'!A:B,2,0)</f>
        <v/>
      </c>
      <c r="H354" s="62">
        <f>VLOOKUP(Table_1[[#This Row],[AÇÕES]],'Dados Status Invest'!A:C,3,0)/100</f>
        <v/>
      </c>
      <c r="I354" s="62">
        <f>VLOOKUP(Table_1[[#This Row],[AÇÕES]],'Dados Status Invest'!A:D,4,0)/100</f>
        <v/>
      </c>
      <c r="J354" s="63">
        <f>VLOOKUP(Table_1[[#This Row],[AÇÕES]],'Dados Status Invest'!A:AB,28,0)</f>
        <v/>
      </c>
      <c r="K354" s="63">
        <f>VLOOKUP(Table_1[[#This Row],[AÇÕES]],'Dados Status Invest'!A:AA,27,0)</f>
        <v/>
      </c>
      <c r="L354" s="63">
        <f>Table_1[[#This Row],[PREÇO]]*Table_1[[#This Row],[DY]]</f>
        <v/>
      </c>
      <c r="M354" s="62">
        <f>$E$13</f>
        <v/>
      </c>
      <c r="N354" s="62" t="n">
        <v>0.3</v>
      </c>
      <c r="O354" s="62">
        <f>Table_1[[#This Row],[DPA]]/Table_1[[#This Row],[LPA]]</f>
        <v/>
      </c>
      <c r="P354" s="62">
        <f>IF(Table_1[[#This Row],[PAYOUT]]&lt;=40%,"CRESCIMENTO",IF(Table_1[[#This Row],[PAYOUT]]&lt;=60%,"INDEFINIDO","DIVIDENDOS"))</f>
        <v/>
      </c>
      <c r="Q354" s="62">
        <f>VLOOKUP(Table_1[[#This Row],[AÇÕES]],'Dados Status Invest'!A:R,18,0)/100</f>
        <v/>
      </c>
      <c r="R354" s="62">
        <f>VLOOKUP(Table_1[[#This Row],[AÇÕES]],'Dados Status Invest'!A:Y,25,0)/100</f>
        <v/>
      </c>
      <c r="S354" s="62">
        <f>(1-Table_1[[#This Row],[PAYOUT]])*Table_1[[#This Row],[ROE]]</f>
        <v/>
      </c>
      <c r="T354" s="98">
        <f>AVERAGE(Table_1[[#This Row],[CAGR LUCRO 5A]],Table_1[[#This Row],[CRESCIMENTO DAMODARAN]])</f>
        <v/>
      </c>
      <c r="U354" s="64">
        <f>(Table_1[[#This Row],[PREÇO JUSTO BAZIN]]-Table_1[[#This Row],[PREÇO]])/Table_1[[#This Row],[PREÇO JUSTO BAZIN]]</f>
        <v/>
      </c>
      <c r="V354" s="129">
        <f>Table_1[[#This Row],[DPA]]/6%</f>
        <v/>
      </c>
      <c r="W354" s="129">
        <f>Table_1[[#This Row],[PREÇO JUSTO BAZIN]]/(1+Table_1[[#This Row],[MARGEM DE DESCONTO]])</f>
        <v/>
      </c>
      <c r="X354" s="64">
        <f>(Table_1[[#This Row],[PREÇO JUSTO GRAHAM]]-Table_1[[#This Row],[PREÇO]])/Table_1[[#This Row],[PREÇO JUSTO GRAHAM]]</f>
        <v/>
      </c>
      <c r="Y354" s="129">
        <f>(22.5*Table_1[[#This Row],[LPA]]*Table_1[[#This Row],[VPA]])^0.5</f>
        <v/>
      </c>
      <c r="Z354" s="129">
        <f>Table_1[[#This Row],[PREÇO JUSTO GRAHAM]]/(1+Table_1[[#This Row],[MARGEM DE DESCONTO]])</f>
        <v/>
      </c>
      <c r="AA354" s="64">
        <f>(Table_1[[#This Row],[PREÇO JUSTO GORDON]]-Table_1[[#This Row],[PREÇO]])/Table_1[[#This Row],[PREÇO JUSTO GORDON]]</f>
        <v/>
      </c>
      <c r="AB354" s="130">
        <f>Table_1[[#This Row],[DPA]]*(1+Table_1[[#This Row],[MÉDIA DE CRESCIMENTO]])</f>
        <v/>
      </c>
      <c r="AC354" s="130">
        <f>Table_1[[#This Row],[D1]]/(Table_1[[#This Row],[RISCO]]-Table_1[[#This Row],[MÉDIA DE CRESCIMENTO]])</f>
        <v/>
      </c>
      <c r="AD354" s="130">
        <f>Table_1[[#This Row],[PREÇO JUSTO GORDON]]/(1+Table_1[[#This Row],[MARGEM DE DESCONTO]])</f>
        <v/>
      </c>
      <c r="AE354" s="78">
        <f>Table_1[[#This Row],[P/L]]/Table_1[[#This Row],[MÉDIA DE CRESCIMENTO]]</f>
        <v/>
      </c>
    </row>
    <row r="355" ht="15.75" customHeight="1">
      <c r="B355" s="77">
        <f>'Dados Status Invest'!A341</f>
        <v/>
      </c>
      <c r="C355" s="60">
        <f>VLOOKUP(Table_1[[#This Row],[AÇÕES]],'Classificação B3'!A:B,2,0)</f>
        <v/>
      </c>
      <c r="D355" s="60">
        <f>VLOOKUP(Table_1[[#This Row],[AÇÕES]],'Classificação B3'!A:D,4,0)</f>
        <v/>
      </c>
      <c r="E355" s="60">
        <f>VLOOKUP(Table_1[[#This Row],[AÇÕES]],'Classificação B3'!A:F,6,0)</f>
        <v/>
      </c>
      <c r="F355" s="60">
        <f>VLOOKUP(Table_1[[#This Row],[AÇÕES]],'Classificação B3'!A:G,7,0)</f>
        <v/>
      </c>
      <c r="G355" s="61">
        <f>VLOOKUP(Table_1[[#This Row],[AÇÕES]],'Dados Status Invest'!A:B,2,0)</f>
        <v/>
      </c>
      <c r="H355" s="62">
        <f>VLOOKUP(Table_1[[#This Row],[AÇÕES]],'Dados Status Invest'!A:C,3,0)/100</f>
        <v/>
      </c>
      <c r="I355" s="62">
        <f>VLOOKUP(Table_1[[#This Row],[AÇÕES]],'Dados Status Invest'!A:D,4,0)/100</f>
        <v/>
      </c>
      <c r="J355" s="63">
        <f>VLOOKUP(Table_1[[#This Row],[AÇÕES]],'Dados Status Invest'!A:AB,28,0)</f>
        <v/>
      </c>
      <c r="K355" s="63">
        <f>VLOOKUP(Table_1[[#This Row],[AÇÕES]],'Dados Status Invest'!A:AA,27,0)</f>
        <v/>
      </c>
      <c r="L355" s="63">
        <f>Table_1[[#This Row],[PREÇO]]*Table_1[[#This Row],[DY]]</f>
        <v/>
      </c>
      <c r="M355" s="62">
        <f>$E$13</f>
        <v/>
      </c>
      <c r="N355" s="62" t="n">
        <v>0.3</v>
      </c>
      <c r="O355" s="62">
        <f>Table_1[[#This Row],[DPA]]/Table_1[[#This Row],[LPA]]</f>
        <v/>
      </c>
      <c r="P355" s="62">
        <f>IF(Table_1[[#This Row],[PAYOUT]]&lt;=40%,"CRESCIMENTO",IF(Table_1[[#This Row],[PAYOUT]]&lt;=60%,"INDEFINIDO","DIVIDENDOS"))</f>
        <v/>
      </c>
      <c r="Q355" s="62">
        <f>VLOOKUP(Table_1[[#This Row],[AÇÕES]],'Dados Status Invest'!A:R,18,0)/100</f>
        <v/>
      </c>
      <c r="R355" s="62">
        <f>VLOOKUP(Table_1[[#This Row],[AÇÕES]],'Dados Status Invest'!A:Y,25,0)/100</f>
        <v/>
      </c>
      <c r="S355" s="62">
        <f>(1-Table_1[[#This Row],[PAYOUT]])*Table_1[[#This Row],[ROE]]</f>
        <v/>
      </c>
      <c r="T355" s="98">
        <f>AVERAGE(Table_1[[#This Row],[CAGR LUCRO 5A]],Table_1[[#This Row],[CRESCIMENTO DAMODARAN]])</f>
        <v/>
      </c>
      <c r="U355" s="64">
        <f>(Table_1[[#This Row],[PREÇO JUSTO BAZIN]]-Table_1[[#This Row],[PREÇO]])/Table_1[[#This Row],[PREÇO JUSTO BAZIN]]</f>
        <v/>
      </c>
      <c r="V355" s="129">
        <f>Table_1[[#This Row],[DPA]]/6%</f>
        <v/>
      </c>
      <c r="W355" s="129">
        <f>Table_1[[#This Row],[PREÇO JUSTO BAZIN]]/(1+Table_1[[#This Row],[MARGEM DE DESCONTO]])</f>
        <v/>
      </c>
      <c r="X355" s="64">
        <f>(Table_1[[#This Row],[PREÇO JUSTO GRAHAM]]-Table_1[[#This Row],[PREÇO]])/Table_1[[#This Row],[PREÇO JUSTO GRAHAM]]</f>
        <v/>
      </c>
      <c r="Y355" s="129">
        <f>(22.5*Table_1[[#This Row],[LPA]]*Table_1[[#This Row],[VPA]])^0.5</f>
        <v/>
      </c>
      <c r="Z355" s="129">
        <f>Table_1[[#This Row],[PREÇO JUSTO GRAHAM]]/(1+Table_1[[#This Row],[MARGEM DE DESCONTO]])</f>
        <v/>
      </c>
      <c r="AA355" s="64">
        <f>(Table_1[[#This Row],[PREÇO JUSTO GORDON]]-Table_1[[#This Row],[PREÇO]])/Table_1[[#This Row],[PREÇO JUSTO GORDON]]</f>
        <v/>
      </c>
      <c r="AB355" s="130">
        <f>Table_1[[#This Row],[DPA]]*(1+Table_1[[#This Row],[MÉDIA DE CRESCIMENTO]])</f>
        <v/>
      </c>
      <c r="AC355" s="130">
        <f>Table_1[[#This Row],[D1]]/(Table_1[[#This Row],[RISCO]]-Table_1[[#This Row],[MÉDIA DE CRESCIMENTO]])</f>
        <v/>
      </c>
      <c r="AD355" s="130">
        <f>Table_1[[#This Row],[PREÇO JUSTO GORDON]]/(1+Table_1[[#This Row],[MARGEM DE DESCONTO]])</f>
        <v/>
      </c>
      <c r="AE355" s="78">
        <f>Table_1[[#This Row],[P/L]]/Table_1[[#This Row],[MÉDIA DE CRESCIMENTO]]</f>
        <v/>
      </c>
    </row>
    <row r="356" ht="15.75" customHeight="1">
      <c r="B356" s="77">
        <f>'Dados Status Invest'!A342</f>
        <v/>
      </c>
      <c r="C356" s="60">
        <f>VLOOKUP(Table_1[[#This Row],[AÇÕES]],'Classificação B3'!A:B,2,0)</f>
        <v/>
      </c>
      <c r="D356" s="60">
        <f>VLOOKUP(Table_1[[#This Row],[AÇÕES]],'Classificação B3'!A:D,4,0)</f>
        <v/>
      </c>
      <c r="E356" s="60">
        <f>VLOOKUP(Table_1[[#This Row],[AÇÕES]],'Classificação B3'!A:F,6,0)</f>
        <v/>
      </c>
      <c r="F356" s="60">
        <f>VLOOKUP(Table_1[[#This Row],[AÇÕES]],'Classificação B3'!A:G,7,0)</f>
        <v/>
      </c>
      <c r="G356" s="61">
        <f>VLOOKUP(Table_1[[#This Row],[AÇÕES]],'Dados Status Invest'!A:B,2,0)</f>
        <v/>
      </c>
      <c r="H356" s="62">
        <f>VLOOKUP(Table_1[[#This Row],[AÇÕES]],'Dados Status Invest'!A:C,3,0)/100</f>
        <v/>
      </c>
      <c r="I356" s="62">
        <f>VLOOKUP(Table_1[[#This Row],[AÇÕES]],'Dados Status Invest'!A:D,4,0)/100</f>
        <v/>
      </c>
      <c r="J356" s="63">
        <f>VLOOKUP(Table_1[[#This Row],[AÇÕES]],'Dados Status Invest'!A:AB,28,0)</f>
        <v/>
      </c>
      <c r="K356" s="63">
        <f>VLOOKUP(Table_1[[#This Row],[AÇÕES]],'Dados Status Invest'!A:AA,27,0)</f>
        <v/>
      </c>
      <c r="L356" s="63">
        <f>Table_1[[#This Row],[PREÇO]]*Table_1[[#This Row],[DY]]</f>
        <v/>
      </c>
      <c r="M356" s="62">
        <f>$E$13</f>
        <v/>
      </c>
      <c r="N356" s="62" t="n">
        <v>0.3</v>
      </c>
      <c r="O356" s="62">
        <f>Table_1[[#This Row],[DPA]]/Table_1[[#This Row],[LPA]]</f>
        <v/>
      </c>
      <c r="P356" s="62">
        <f>IF(Table_1[[#This Row],[PAYOUT]]&lt;=40%,"CRESCIMENTO",IF(Table_1[[#This Row],[PAYOUT]]&lt;=60%,"INDEFINIDO","DIVIDENDOS"))</f>
        <v/>
      </c>
      <c r="Q356" s="62">
        <f>VLOOKUP(Table_1[[#This Row],[AÇÕES]],'Dados Status Invest'!A:R,18,0)/100</f>
        <v/>
      </c>
      <c r="R356" s="62">
        <f>VLOOKUP(Table_1[[#This Row],[AÇÕES]],'Dados Status Invest'!A:Y,25,0)/100</f>
        <v/>
      </c>
      <c r="S356" s="62">
        <f>(1-Table_1[[#This Row],[PAYOUT]])*Table_1[[#This Row],[ROE]]</f>
        <v/>
      </c>
      <c r="T356" s="98">
        <f>AVERAGE(Table_1[[#This Row],[CAGR LUCRO 5A]],Table_1[[#This Row],[CRESCIMENTO DAMODARAN]])</f>
        <v/>
      </c>
      <c r="U356" s="64">
        <f>(Table_1[[#This Row],[PREÇO JUSTO BAZIN]]-Table_1[[#This Row],[PREÇO]])/Table_1[[#This Row],[PREÇO JUSTO BAZIN]]</f>
        <v/>
      </c>
      <c r="V356" s="129">
        <f>Table_1[[#This Row],[DPA]]/6%</f>
        <v/>
      </c>
      <c r="W356" s="129">
        <f>Table_1[[#This Row],[PREÇO JUSTO BAZIN]]/(1+Table_1[[#This Row],[MARGEM DE DESCONTO]])</f>
        <v/>
      </c>
      <c r="X356" s="64">
        <f>(Table_1[[#This Row],[PREÇO JUSTO GRAHAM]]-Table_1[[#This Row],[PREÇO]])/Table_1[[#This Row],[PREÇO JUSTO GRAHAM]]</f>
        <v/>
      </c>
      <c r="Y356" s="129">
        <f>(22.5*Table_1[[#This Row],[LPA]]*Table_1[[#This Row],[VPA]])^0.5</f>
        <v/>
      </c>
      <c r="Z356" s="129">
        <f>Table_1[[#This Row],[PREÇO JUSTO GRAHAM]]/(1+Table_1[[#This Row],[MARGEM DE DESCONTO]])</f>
        <v/>
      </c>
      <c r="AA356" s="64">
        <f>(Table_1[[#This Row],[PREÇO JUSTO GORDON]]-Table_1[[#This Row],[PREÇO]])/Table_1[[#This Row],[PREÇO JUSTO GORDON]]</f>
        <v/>
      </c>
      <c r="AB356" s="130">
        <f>Table_1[[#This Row],[DPA]]*(1+Table_1[[#This Row],[MÉDIA DE CRESCIMENTO]])</f>
        <v/>
      </c>
      <c r="AC356" s="130">
        <f>Table_1[[#This Row],[D1]]/(Table_1[[#This Row],[RISCO]]-Table_1[[#This Row],[MÉDIA DE CRESCIMENTO]])</f>
        <v/>
      </c>
      <c r="AD356" s="130">
        <f>Table_1[[#This Row],[PREÇO JUSTO GORDON]]/(1+Table_1[[#This Row],[MARGEM DE DESCONTO]])</f>
        <v/>
      </c>
      <c r="AE356" s="78">
        <f>Table_1[[#This Row],[P/L]]/Table_1[[#This Row],[MÉDIA DE CRESCIMENTO]]</f>
        <v/>
      </c>
    </row>
    <row r="357" ht="15.75" customHeight="1">
      <c r="B357" s="77">
        <f>'Dados Status Invest'!A343</f>
        <v/>
      </c>
      <c r="C357" s="60">
        <f>VLOOKUP(Table_1[[#This Row],[AÇÕES]],'Classificação B3'!A:B,2,0)</f>
        <v/>
      </c>
      <c r="D357" s="60">
        <f>VLOOKUP(Table_1[[#This Row],[AÇÕES]],'Classificação B3'!A:D,4,0)</f>
        <v/>
      </c>
      <c r="E357" s="60">
        <f>VLOOKUP(Table_1[[#This Row],[AÇÕES]],'Classificação B3'!A:F,6,0)</f>
        <v/>
      </c>
      <c r="F357" s="60">
        <f>VLOOKUP(Table_1[[#This Row],[AÇÕES]],'Classificação B3'!A:G,7,0)</f>
        <v/>
      </c>
      <c r="G357" s="61">
        <f>VLOOKUP(Table_1[[#This Row],[AÇÕES]],'Dados Status Invest'!A:B,2,0)</f>
        <v/>
      </c>
      <c r="H357" s="62">
        <f>VLOOKUP(Table_1[[#This Row],[AÇÕES]],'Dados Status Invest'!A:C,3,0)/100</f>
        <v/>
      </c>
      <c r="I357" s="62">
        <f>VLOOKUP(Table_1[[#This Row],[AÇÕES]],'Dados Status Invest'!A:D,4,0)/100</f>
        <v/>
      </c>
      <c r="J357" s="63">
        <f>VLOOKUP(Table_1[[#This Row],[AÇÕES]],'Dados Status Invest'!A:AB,28,0)</f>
        <v/>
      </c>
      <c r="K357" s="63">
        <f>VLOOKUP(Table_1[[#This Row],[AÇÕES]],'Dados Status Invest'!A:AA,27,0)</f>
        <v/>
      </c>
      <c r="L357" s="63">
        <f>Table_1[[#This Row],[PREÇO]]*Table_1[[#This Row],[DY]]</f>
        <v/>
      </c>
      <c r="M357" s="62">
        <f>$E$13</f>
        <v/>
      </c>
      <c r="N357" s="62" t="n">
        <v>0.3</v>
      </c>
      <c r="O357" s="62">
        <f>Table_1[[#This Row],[DPA]]/Table_1[[#This Row],[LPA]]</f>
        <v/>
      </c>
      <c r="P357" s="62">
        <f>IF(Table_1[[#This Row],[PAYOUT]]&lt;=40%,"CRESCIMENTO",IF(Table_1[[#This Row],[PAYOUT]]&lt;=60%,"INDEFINIDO","DIVIDENDOS"))</f>
        <v/>
      </c>
      <c r="Q357" s="62">
        <f>VLOOKUP(Table_1[[#This Row],[AÇÕES]],'Dados Status Invest'!A:R,18,0)/100</f>
        <v/>
      </c>
      <c r="R357" s="62">
        <f>VLOOKUP(Table_1[[#This Row],[AÇÕES]],'Dados Status Invest'!A:Y,25,0)/100</f>
        <v/>
      </c>
      <c r="S357" s="62">
        <f>(1-Table_1[[#This Row],[PAYOUT]])*Table_1[[#This Row],[ROE]]</f>
        <v/>
      </c>
      <c r="T357" s="98">
        <f>AVERAGE(Table_1[[#This Row],[CAGR LUCRO 5A]],Table_1[[#This Row],[CRESCIMENTO DAMODARAN]])</f>
        <v/>
      </c>
      <c r="U357" s="64">
        <f>(Table_1[[#This Row],[PREÇO JUSTO BAZIN]]-Table_1[[#This Row],[PREÇO]])/Table_1[[#This Row],[PREÇO JUSTO BAZIN]]</f>
        <v/>
      </c>
      <c r="V357" s="129">
        <f>Table_1[[#This Row],[DPA]]/6%</f>
        <v/>
      </c>
      <c r="W357" s="129">
        <f>Table_1[[#This Row],[PREÇO JUSTO BAZIN]]/(1+Table_1[[#This Row],[MARGEM DE DESCONTO]])</f>
        <v/>
      </c>
      <c r="X357" s="64">
        <f>(Table_1[[#This Row],[PREÇO JUSTO GRAHAM]]-Table_1[[#This Row],[PREÇO]])/Table_1[[#This Row],[PREÇO JUSTO GRAHAM]]</f>
        <v/>
      </c>
      <c r="Y357" s="129">
        <f>(22.5*Table_1[[#This Row],[LPA]]*Table_1[[#This Row],[VPA]])^0.5</f>
        <v/>
      </c>
      <c r="Z357" s="129">
        <f>Table_1[[#This Row],[PREÇO JUSTO GRAHAM]]/(1+Table_1[[#This Row],[MARGEM DE DESCONTO]])</f>
        <v/>
      </c>
      <c r="AA357" s="64">
        <f>(Table_1[[#This Row],[PREÇO JUSTO GORDON]]-Table_1[[#This Row],[PREÇO]])/Table_1[[#This Row],[PREÇO JUSTO GORDON]]</f>
        <v/>
      </c>
      <c r="AB357" s="130">
        <f>Table_1[[#This Row],[DPA]]*(1+Table_1[[#This Row],[MÉDIA DE CRESCIMENTO]])</f>
        <v/>
      </c>
      <c r="AC357" s="130">
        <f>Table_1[[#This Row],[D1]]/(Table_1[[#This Row],[RISCO]]-Table_1[[#This Row],[MÉDIA DE CRESCIMENTO]])</f>
        <v/>
      </c>
      <c r="AD357" s="130">
        <f>Table_1[[#This Row],[PREÇO JUSTO GORDON]]/(1+Table_1[[#This Row],[MARGEM DE DESCONTO]])</f>
        <v/>
      </c>
      <c r="AE357" s="78">
        <f>Table_1[[#This Row],[P/L]]/Table_1[[#This Row],[MÉDIA DE CRESCIMENTO]]</f>
        <v/>
      </c>
    </row>
    <row r="358" ht="15.75" customHeight="1">
      <c r="B358" s="77">
        <f>'Dados Status Invest'!A344</f>
        <v/>
      </c>
      <c r="C358" s="60">
        <f>VLOOKUP(Table_1[[#This Row],[AÇÕES]],'Classificação B3'!A:B,2,0)</f>
        <v/>
      </c>
      <c r="D358" s="60">
        <f>VLOOKUP(Table_1[[#This Row],[AÇÕES]],'Classificação B3'!A:D,4,0)</f>
        <v/>
      </c>
      <c r="E358" s="60">
        <f>VLOOKUP(Table_1[[#This Row],[AÇÕES]],'Classificação B3'!A:F,6,0)</f>
        <v/>
      </c>
      <c r="F358" s="60">
        <f>VLOOKUP(Table_1[[#This Row],[AÇÕES]],'Classificação B3'!A:G,7,0)</f>
        <v/>
      </c>
      <c r="G358" s="61">
        <f>VLOOKUP(Table_1[[#This Row],[AÇÕES]],'Dados Status Invest'!A:B,2,0)</f>
        <v/>
      </c>
      <c r="H358" s="62">
        <f>VLOOKUP(Table_1[[#This Row],[AÇÕES]],'Dados Status Invest'!A:C,3,0)/100</f>
        <v/>
      </c>
      <c r="I358" s="62">
        <f>VLOOKUP(Table_1[[#This Row],[AÇÕES]],'Dados Status Invest'!A:D,4,0)/100</f>
        <v/>
      </c>
      <c r="J358" s="63">
        <f>VLOOKUP(Table_1[[#This Row],[AÇÕES]],'Dados Status Invest'!A:AB,28,0)</f>
        <v/>
      </c>
      <c r="K358" s="63">
        <f>VLOOKUP(Table_1[[#This Row],[AÇÕES]],'Dados Status Invest'!A:AA,27,0)</f>
        <v/>
      </c>
      <c r="L358" s="63">
        <f>Table_1[[#This Row],[PREÇO]]*Table_1[[#This Row],[DY]]</f>
        <v/>
      </c>
      <c r="M358" s="62">
        <f>$E$13</f>
        <v/>
      </c>
      <c r="N358" s="62" t="n">
        <v>0.3</v>
      </c>
      <c r="O358" s="62">
        <f>Table_1[[#This Row],[DPA]]/Table_1[[#This Row],[LPA]]</f>
        <v/>
      </c>
      <c r="P358" s="62">
        <f>IF(Table_1[[#This Row],[PAYOUT]]&lt;=40%,"CRESCIMENTO",IF(Table_1[[#This Row],[PAYOUT]]&lt;=60%,"INDEFINIDO","DIVIDENDOS"))</f>
        <v/>
      </c>
      <c r="Q358" s="62">
        <f>VLOOKUP(Table_1[[#This Row],[AÇÕES]],'Dados Status Invest'!A:R,18,0)/100</f>
        <v/>
      </c>
      <c r="R358" s="62">
        <f>VLOOKUP(Table_1[[#This Row],[AÇÕES]],'Dados Status Invest'!A:Y,25,0)/100</f>
        <v/>
      </c>
      <c r="S358" s="62">
        <f>(1-Table_1[[#This Row],[PAYOUT]])*Table_1[[#This Row],[ROE]]</f>
        <v/>
      </c>
      <c r="T358" s="98">
        <f>AVERAGE(Table_1[[#This Row],[CAGR LUCRO 5A]],Table_1[[#This Row],[CRESCIMENTO DAMODARAN]])</f>
        <v/>
      </c>
      <c r="U358" s="64">
        <f>(Table_1[[#This Row],[PREÇO JUSTO BAZIN]]-Table_1[[#This Row],[PREÇO]])/Table_1[[#This Row],[PREÇO JUSTO BAZIN]]</f>
        <v/>
      </c>
      <c r="V358" s="129">
        <f>Table_1[[#This Row],[DPA]]/6%</f>
        <v/>
      </c>
      <c r="W358" s="129">
        <f>Table_1[[#This Row],[PREÇO JUSTO BAZIN]]/(1+Table_1[[#This Row],[MARGEM DE DESCONTO]])</f>
        <v/>
      </c>
      <c r="X358" s="64">
        <f>(Table_1[[#This Row],[PREÇO JUSTO GRAHAM]]-Table_1[[#This Row],[PREÇO]])/Table_1[[#This Row],[PREÇO JUSTO GRAHAM]]</f>
        <v/>
      </c>
      <c r="Y358" s="129">
        <f>(22.5*Table_1[[#This Row],[LPA]]*Table_1[[#This Row],[VPA]])^0.5</f>
        <v/>
      </c>
      <c r="Z358" s="129">
        <f>Table_1[[#This Row],[PREÇO JUSTO GRAHAM]]/(1+Table_1[[#This Row],[MARGEM DE DESCONTO]])</f>
        <v/>
      </c>
      <c r="AA358" s="64">
        <f>(Table_1[[#This Row],[PREÇO JUSTO GORDON]]-Table_1[[#This Row],[PREÇO]])/Table_1[[#This Row],[PREÇO JUSTO GORDON]]</f>
        <v/>
      </c>
      <c r="AB358" s="130">
        <f>Table_1[[#This Row],[DPA]]*(1+Table_1[[#This Row],[MÉDIA DE CRESCIMENTO]])</f>
        <v/>
      </c>
      <c r="AC358" s="130">
        <f>Table_1[[#This Row],[D1]]/(Table_1[[#This Row],[RISCO]]-Table_1[[#This Row],[MÉDIA DE CRESCIMENTO]])</f>
        <v/>
      </c>
      <c r="AD358" s="130">
        <f>Table_1[[#This Row],[PREÇO JUSTO GORDON]]/(1+Table_1[[#This Row],[MARGEM DE DESCONTO]])</f>
        <v/>
      </c>
      <c r="AE358" s="78">
        <f>Table_1[[#This Row],[P/L]]/Table_1[[#This Row],[MÉDIA DE CRESCIMENTO]]</f>
        <v/>
      </c>
    </row>
    <row r="359" ht="15.75" customHeight="1">
      <c r="B359" s="77">
        <f>'Dados Status Invest'!A345</f>
        <v/>
      </c>
      <c r="C359" s="60">
        <f>VLOOKUP(Table_1[[#This Row],[AÇÕES]],'Classificação B3'!A:B,2,0)</f>
        <v/>
      </c>
      <c r="D359" s="60">
        <f>VLOOKUP(Table_1[[#This Row],[AÇÕES]],'Classificação B3'!A:D,4,0)</f>
        <v/>
      </c>
      <c r="E359" s="60">
        <f>VLOOKUP(Table_1[[#This Row],[AÇÕES]],'Classificação B3'!A:F,6,0)</f>
        <v/>
      </c>
      <c r="F359" s="60">
        <f>VLOOKUP(Table_1[[#This Row],[AÇÕES]],'Classificação B3'!A:G,7,0)</f>
        <v/>
      </c>
      <c r="G359" s="61">
        <f>VLOOKUP(Table_1[[#This Row],[AÇÕES]],'Dados Status Invest'!A:B,2,0)</f>
        <v/>
      </c>
      <c r="H359" s="62">
        <f>VLOOKUP(Table_1[[#This Row],[AÇÕES]],'Dados Status Invest'!A:C,3,0)/100</f>
        <v/>
      </c>
      <c r="I359" s="62">
        <f>VLOOKUP(Table_1[[#This Row],[AÇÕES]],'Dados Status Invest'!A:D,4,0)/100</f>
        <v/>
      </c>
      <c r="J359" s="63">
        <f>VLOOKUP(Table_1[[#This Row],[AÇÕES]],'Dados Status Invest'!A:AB,28,0)</f>
        <v/>
      </c>
      <c r="K359" s="63">
        <f>VLOOKUP(Table_1[[#This Row],[AÇÕES]],'Dados Status Invest'!A:AA,27,0)</f>
        <v/>
      </c>
      <c r="L359" s="63">
        <f>Table_1[[#This Row],[PREÇO]]*Table_1[[#This Row],[DY]]</f>
        <v/>
      </c>
      <c r="M359" s="62">
        <f>$E$13</f>
        <v/>
      </c>
      <c r="N359" s="62" t="n">
        <v>0.3</v>
      </c>
      <c r="O359" s="62">
        <f>Table_1[[#This Row],[DPA]]/Table_1[[#This Row],[LPA]]</f>
        <v/>
      </c>
      <c r="P359" s="62">
        <f>IF(Table_1[[#This Row],[PAYOUT]]&lt;=40%,"CRESCIMENTO",IF(Table_1[[#This Row],[PAYOUT]]&lt;=60%,"INDEFINIDO","DIVIDENDOS"))</f>
        <v/>
      </c>
      <c r="Q359" s="62">
        <f>VLOOKUP(Table_1[[#This Row],[AÇÕES]],'Dados Status Invest'!A:R,18,0)/100</f>
        <v/>
      </c>
      <c r="R359" s="62">
        <f>VLOOKUP(Table_1[[#This Row],[AÇÕES]],'Dados Status Invest'!A:Y,25,0)/100</f>
        <v/>
      </c>
      <c r="S359" s="62">
        <f>(1-Table_1[[#This Row],[PAYOUT]])*Table_1[[#This Row],[ROE]]</f>
        <v/>
      </c>
      <c r="T359" s="98">
        <f>AVERAGE(Table_1[[#This Row],[CAGR LUCRO 5A]],Table_1[[#This Row],[CRESCIMENTO DAMODARAN]])</f>
        <v/>
      </c>
      <c r="U359" s="64">
        <f>(Table_1[[#This Row],[PREÇO JUSTO BAZIN]]-Table_1[[#This Row],[PREÇO]])/Table_1[[#This Row],[PREÇO JUSTO BAZIN]]</f>
        <v/>
      </c>
      <c r="V359" s="129">
        <f>Table_1[[#This Row],[DPA]]/6%</f>
        <v/>
      </c>
      <c r="W359" s="129">
        <f>Table_1[[#This Row],[PREÇO JUSTO BAZIN]]/(1+Table_1[[#This Row],[MARGEM DE DESCONTO]])</f>
        <v/>
      </c>
      <c r="X359" s="64">
        <f>(Table_1[[#This Row],[PREÇO JUSTO GRAHAM]]-Table_1[[#This Row],[PREÇO]])/Table_1[[#This Row],[PREÇO JUSTO GRAHAM]]</f>
        <v/>
      </c>
      <c r="Y359" s="129">
        <f>(22.5*Table_1[[#This Row],[LPA]]*Table_1[[#This Row],[VPA]])^0.5</f>
        <v/>
      </c>
      <c r="Z359" s="129">
        <f>Table_1[[#This Row],[PREÇO JUSTO GRAHAM]]/(1+Table_1[[#This Row],[MARGEM DE DESCONTO]])</f>
        <v/>
      </c>
      <c r="AA359" s="64">
        <f>(Table_1[[#This Row],[PREÇO JUSTO GORDON]]-Table_1[[#This Row],[PREÇO]])/Table_1[[#This Row],[PREÇO JUSTO GORDON]]</f>
        <v/>
      </c>
      <c r="AB359" s="130">
        <f>Table_1[[#This Row],[DPA]]*(1+Table_1[[#This Row],[MÉDIA DE CRESCIMENTO]])</f>
        <v/>
      </c>
      <c r="AC359" s="130">
        <f>Table_1[[#This Row],[D1]]/(Table_1[[#This Row],[RISCO]]-Table_1[[#This Row],[MÉDIA DE CRESCIMENTO]])</f>
        <v/>
      </c>
      <c r="AD359" s="130">
        <f>Table_1[[#This Row],[PREÇO JUSTO GORDON]]/(1+Table_1[[#This Row],[MARGEM DE DESCONTO]])</f>
        <v/>
      </c>
      <c r="AE359" s="78">
        <f>Table_1[[#This Row],[P/L]]/Table_1[[#This Row],[MÉDIA DE CRESCIMENTO]]</f>
        <v/>
      </c>
    </row>
    <row r="360" ht="15.75" customHeight="1">
      <c r="B360" s="77">
        <f>'Dados Status Invest'!A346</f>
        <v/>
      </c>
      <c r="C360" s="60">
        <f>VLOOKUP(Table_1[[#This Row],[AÇÕES]],'Classificação B3'!A:B,2,0)</f>
        <v/>
      </c>
      <c r="D360" s="60">
        <f>VLOOKUP(Table_1[[#This Row],[AÇÕES]],'Classificação B3'!A:D,4,0)</f>
        <v/>
      </c>
      <c r="E360" s="60">
        <f>VLOOKUP(Table_1[[#This Row],[AÇÕES]],'Classificação B3'!A:F,6,0)</f>
        <v/>
      </c>
      <c r="F360" s="60">
        <f>VLOOKUP(Table_1[[#This Row],[AÇÕES]],'Classificação B3'!A:G,7,0)</f>
        <v/>
      </c>
      <c r="G360" s="61">
        <f>VLOOKUP(Table_1[[#This Row],[AÇÕES]],'Dados Status Invest'!A:B,2,0)</f>
        <v/>
      </c>
      <c r="H360" s="62">
        <f>VLOOKUP(Table_1[[#This Row],[AÇÕES]],'Dados Status Invest'!A:C,3,0)/100</f>
        <v/>
      </c>
      <c r="I360" s="62">
        <f>VLOOKUP(Table_1[[#This Row],[AÇÕES]],'Dados Status Invest'!A:D,4,0)/100</f>
        <v/>
      </c>
      <c r="J360" s="63">
        <f>VLOOKUP(Table_1[[#This Row],[AÇÕES]],'Dados Status Invest'!A:AB,28,0)</f>
        <v/>
      </c>
      <c r="K360" s="63">
        <f>VLOOKUP(Table_1[[#This Row],[AÇÕES]],'Dados Status Invest'!A:AA,27,0)</f>
        <v/>
      </c>
      <c r="L360" s="63">
        <f>Table_1[[#This Row],[PREÇO]]*Table_1[[#This Row],[DY]]</f>
        <v/>
      </c>
      <c r="M360" s="62">
        <f>$E$13</f>
        <v/>
      </c>
      <c r="N360" s="62" t="n">
        <v>0.3</v>
      </c>
      <c r="O360" s="62">
        <f>Table_1[[#This Row],[DPA]]/Table_1[[#This Row],[LPA]]</f>
        <v/>
      </c>
      <c r="P360" s="62">
        <f>IF(Table_1[[#This Row],[PAYOUT]]&lt;=40%,"CRESCIMENTO",IF(Table_1[[#This Row],[PAYOUT]]&lt;=60%,"INDEFINIDO","DIVIDENDOS"))</f>
        <v/>
      </c>
      <c r="Q360" s="62">
        <f>VLOOKUP(Table_1[[#This Row],[AÇÕES]],'Dados Status Invest'!A:R,18,0)/100</f>
        <v/>
      </c>
      <c r="R360" s="62">
        <f>VLOOKUP(Table_1[[#This Row],[AÇÕES]],'Dados Status Invest'!A:Y,25,0)/100</f>
        <v/>
      </c>
      <c r="S360" s="62">
        <f>(1-Table_1[[#This Row],[PAYOUT]])*Table_1[[#This Row],[ROE]]</f>
        <v/>
      </c>
      <c r="T360" s="98">
        <f>AVERAGE(Table_1[[#This Row],[CAGR LUCRO 5A]],Table_1[[#This Row],[CRESCIMENTO DAMODARAN]])</f>
        <v/>
      </c>
      <c r="U360" s="64">
        <f>(Table_1[[#This Row],[PREÇO JUSTO BAZIN]]-Table_1[[#This Row],[PREÇO]])/Table_1[[#This Row],[PREÇO JUSTO BAZIN]]</f>
        <v/>
      </c>
      <c r="V360" s="129">
        <f>Table_1[[#This Row],[DPA]]/6%</f>
        <v/>
      </c>
      <c r="W360" s="129">
        <f>Table_1[[#This Row],[PREÇO JUSTO BAZIN]]/(1+Table_1[[#This Row],[MARGEM DE DESCONTO]])</f>
        <v/>
      </c>
      <c r="X360" s="64">
        <f>(Table_1[[#This Row],[PREÇO JUSTO GRAHAM]]-Table_1[[#This Row],[PREÇO]])/Table_1[[#This Row],[PREÇO JUSTO GRAHAM]]</f>
        <v/>
      </c>
      <c r="Y360" s="129">
        <f>(22.5*Table_1[[#This Row],[LPA]]*Table_1[[#This Row],[VPA]])^0.5</f>
        <v/>
      </c>
      <c r="Z360" s="129">
        <f>Table_1[[#This Row],[PREÇO JUSTO GRAHAM]]/(1+Table_1[[#This Row],[MARGEM DE DESCONTO]])</f>
        <v/>
      </c>
      <c r="AA360" s="64">
        <f>(Table_1[[#This Row],[PREÇO JUSTO GORDON]]-Table_1[[#This Row],[PREÇO]])/Table_1[[#This Row],[PREÇO JUSTO GORDON]]</f>
        <v/>
      </c>
      <c r="AB360" s="130">
        <f>Table_1[[#This Row],[DPA]]*(1+Table_1[[#This Row],[MÉDIA DE CRESCIMENTO]])</f>
        <v/>
      </c>
      <c r="AC360" s="130">
        <f>Table_1[[#This Row],[D1]]/(Table_1[[#This Row],[RISCO]]-Table_1[[#This Row],[MÉDIA DE CRESCIMENTO]])</f>
        <v/>
      </c>
      <c r="AD360" s="130">
        <f>Table_1[[#This Row],[PREÇO JUSTO GORDON]]/(1+Table_1[[#This Row],[MARGEM DE DESCONTO]])</f>
        <v/>
      </c>
      <c r="AE360" s="78">
        <f>Table_1[[#This Row],[P/L]]/Table_1[[#This Row],[MÉDIA DE CRESCIMENTO]]</f>
        <v/>
      </c>
    </row>
    <row r="361" ht="15.75" customHeight="1">
      <c r="B361" s="77">
        <f>'Dados Status Invest'!A347</f>
        <v/>
      </c>
      <c r="C361" s="60">
        <f>VLOOKUP(Table_1[[#This Row],[AÇÕES]],'Classificação B3'!A:B,2,0)</f>
        <v/>
      </c>
      <c r="D361" s="60">
        <f>VLOOKUP(Table_1[[#This Row],[AÇÕES]],'Classificação B3'!A:D,4,0)</f>
        <v/>
      </c>
      <c r="E361" s="60">
        <f>VLOOKUP(Table_1[[#This Row],[AÇÕES]],'Classificação B3'!A:F,6,0)</f>
        <v/>
      </c>
      <c r="F361" s="60">
        <f>VLOOKUP(Table_1[[#This Row],[AÇÕES]],'Classificação B3'!A:G,7,0)</f>
        <v/>
      </c>
      <c r="G361" s="61">
        <f>VLOOKUP(Table_1[[#This Row],[AÇÕES]],'Dados Status Invest'!A:B,2,0)</f>
        <v/>
      </c>
      <c r="H361" s="62">
        <f>VLOOKUP(Table_1[[#This Row],[AÇÕES]],'Dados Status Invest'!A:C,3,0)/100</f>
        <v/>
      </c>
      <c r="I361" s="62">
        <f>VLOOKUP(Table_1[[#This Row],[AÇÕES]],'Dados Status Invest'!A:D,4,0)/100</f>
        <v/>
      </c>
      <c r="J361" s="63">
        <f>VLOOKUP(Table_1[[#This Row],[AÇÕES]],'Dados Status Invest'!A:AB,28,0)</f>
        <v/>
      </c>
      <c r="K361" s="63">
        <f>VLOOKUP(Table_1[[#This Row],[AÇÕES]],'Dados Status Invest'!A:AA,27,0)</f>
        <v/>
      </c>
      <c r="L361" s="63">
        <f>Table_1[[#This Row],[PREÇO]]*Table_1[[#This Row],[DY]]</f>
        <v/>
      </c>
      <c r="M361" s="62">
        <f>$E$13</f>
        <v/>
      </c>
      <c r="N361" s="62" t="n">
        <v>0.3</v>
      </c>
      <c r="O361" s="62">
        <f>Table_1[[#This Row],[DPA]]/Table_1[[#This Row],[LPA]]</f>
        <v/>
      </c>
      <c r="P361" s="62">
        <f>IF(Table_1[[#This Row],[PAYOUT]]&lt;=40%,"CRESCIMENTO",IF(Table_1[[#This Row],[PAYOUT]]&lt;=60%,"INDEFINIDO","DIVIDENDOS"))</f>
        <v/>
      </c>
      <c r="Q361" s="62">
        <f>VLOOKUP(Table_1[[#This Row],[AÇÕES]],'Dados Status Invest'!A:R,18,0)/100</f>
        <v/>
      </c>
      <c r="R361" s="62">
        <f>VLOOKUP(Table_1[[#This Row],[AÇÕES]],'Dados Status Invest'!A:Y,25,0)/100</f>
        <v/>
      </c>
      <c r="S361" s="62">
        <f>(1-Table_1[[#This Row],[PAYOUT]])*Table_1[[#This Row],[ROE]]</f>
        <v/>
      </c>
      <c r="T361" s="98">
        <f>AVERAGE(Table_1[[#This Row],[CAGR LUCRO 5A]],Table_1[[#This Row],[CRESCIMENTO DAMODARAN]])</f>
        <v/>
      </c>
      <c r="U361" s="64">
        <f>(Table_1[[#This Row],[PREÇO JUSTO BAZIN]]-Table_1[[#This Row],[PREÇO]])/Table_1[[#This Row],[PREÇO JUSTO BAZIN]]</f>
        <v/>
      </c>
      <c r="V361" s="129">
        <f>Table_1[[#This Row],[DPA]]/6%</f>
        <v/>
      </c>
      <c r="W361" s="129">
        <f>Table_1[[#This Row],[PREÇO JUSTO BAZIN]]/(1+Table_1[[#This Row],[MARGEM DE DESCONTO]])</f>
        <v/>
      </c>
      <c r="X361" s="64">
        <f>(Table_1[[#This Row],[PREÇO JUSTO GRAHAM]]-Table_1[[#This Row],[PREÇO]])/Table_1[[#This Row],[PREÇO JUSTO GRAHAM]]</f>
        <v/>
      </c>
      <c r="Y361" s="129">
        <f>(22.5*Table_1[[#This Row],[LPA]]*Table_1[[#This Row],[VPA]])^0.5</f>
        <v/>
      </c>
      <c r="Z361" s="129">
        <f>Table_1[[#This Row],[PREÇO JUSTO GRAHAM]]/(1+Table_1[[#This Row],[MARGEM DE DESCONTO]])</f>
        <v/>
      </c>
      <c r="AA361" s="64">
        <f>(Table_1[[#This Row],[PREÇO JUSTO GORDON]]-Table_1[[#This Row],[PREÇO]])/Table_1[[#This Row],[PREÇO JUSTO GORDON]]</f>
        <v/>
      </c>
      <c r="AB361" s="130">
        <f>Table_1[[#This Row],[DPA]]*(1+Table_1[[#This Row],[MÉDIA DE CRESCIMENTO]])</f>
        <v/>
      </c>
      <c r="AC361" s="130">
        <f>Table_1[[#This Row],[D1]]/(Table_1[[#This Row],[RISCO]]-Table_1[[#This Row],[MÉDIA DE CRESCIMENTO]])</f>
        <v/>
      </c>
      <c r="AD361" s="130">
        <f>Table_1[[#This Row],[PREÇO JUSTO GORDON]]/(1+Table_1[[#This Row],[MARGEM DE DESCONTO]])</f>
        <v/>
      </c>
      <c r="AE361" s="78">
        <f>Table_1[[#This Row],[P/L]]/Table_1[[#This Row],[MÉDIA DE CRESCIMENTO]]</f>
        <v/>
      </c>
    </row>
    <row r="362" ht="15.75" customHeight="1">
      <c r="B362" s="77">
        <f>'Dados Status Invest'!A348</f>
        <v/>
      </c>
      <c r="C362" s="60">
        <f>VLOOKUP(Table_1[[#This Row],[AÇÕES]],'Classificação B3'!A:B,2,0)</f>
        <v/>
      </c>
      <c r="D362" s="60">
        <f>VLOOKUP(Table_1[[#This Row],[AÇÕES]],'Classificação B3'!A:D,4,0)</f>
        <v/>
      </c>
      <c r="E362" s="60">
        <f>VLOOKUP(Table_1[[#This Row],[AÇÕES]],'Classificação B3'!A:F,6,0)</f>
        <v/>
      </c>
      <c r="F362" s="60">
        <f>VLOOKUP(Table_1[[#This Row],[AÇÕES]],'Classificação B3'!A:G,7,0)</f>
        <v/>
      </c>
      <c r="G362" s="61">
        <f>VLOOKUP(Table_1[[#This Row],[AÇÕES]],'Dados Status Invest'!A:B,2,0)</f>
        <v/>
      </c>
      <c r="H362" s="62">
        <f>VLOOKUP(Table_1[[#This Row],[AÇÕES]],'Dados Status Invest'!A:C,3,0)/100</f>
        <v/>
      </c>
      <c r="I362" s="62">
        <f>VLOOKUP(Table_1[[#This Row],[AÇÕES]],'Dados Status Invest'!A:D,4,0)/100</f>
        <v/>
      </c>
      <c r="J362" s="63">
        <f>VLOOKUP(Table_1[[#This Row],[AÇÕES]],'Dados Status Invest'!A:AB,28,0)</f>
        <v/>
      </c>
      <c r="K362" s="63">
        <f>VLOOKUP(Table_1[[#This Row],[AÇÕES]],'Dados Status Invest'!A:AA,27,0)</f>
        <v/>
      </c>
      <c r="L362" s="63">
        <f>Table_1[[#This Row],[PREÇO]]*Table_1[[#This Row],[DY]]</f>
        <v/>
      </c>
      <c r="M362" s="62">
        <f>$E$13</f>
        <v/>
      </c>
      <c r="N362" s="62" t="n">
        <v>0.3</v>
      </c>
      <c r="O362" s="62">
        <f>Table_1[[#This Row],[DPA]]/Table_1[[#This Row],[LPA]]</f>
        <v/>
      </c>
      <c r="P362" s="62">
        <f>IF(Table_1[[#This Row],[PAYOUT]]&lt;=40%,"CRESCIMENTO",IF(Table_1[[#This Row],[PAYOUT]]&lt;=60%,"INDEFINIDO","DIVIDENDOS"))</f>
        <v/>
      </c>
      <c r="Q362" s="62">
        <f>VLOOKUP(Table_1[[#This Row],[AÇÕES]],'Dados Status Invest'!A:R,18,0)/100</f>
        <v/>
      </c>
      <c r="R362" s="62">
        <f>VLOOKUP(Table_1[[#This Row],[AÇÕES]],'Dados Status Invest'!A:Y,25,0)/100</f>
        <v/>
      </c>
      <c r="S362" s="62">
        <f>(1-Table_1[[#This Row],[PAYOUT]])*Table_1[[#This Row],[ROE]]</f>
        <v/>
      </c>
      <c r="T362" s="98">
        <f>AVERAGE(Table_1[[#This Row],[CAGR LUCRO 5A]],Table_1[[#This Row],[CRESCIMENTO DAMODARAN]])</f>
        <v/>
      </c>
      <c r="U362" s="64">
        <f>(Table_1[[#This Row],[PREÇO JUSTO BAZIN]]-Table_1[[#This Row],[PREÇO]])/Table_1[[#This Row],[PREÇO JUSTO BAZIN]]</f>
        <v/>
      </c>
      <c r="V362" s="129">
        <f>Table_1[[#This Row],[DPA]]/6%</f>
        <v/>
      </c>
      <c r="W362" s="129">
        <f>Table_1[[#This Row],[PREÇO JUSTO BAZIN]]/(1+Table_1[[#This Row],[MARGEM DE DESCONTO]])</f>
        <v/>
      </c>
      <c r="X362" s="64">
        <f>(Table_1[[#This Row],[PREÇO JUSTO GRAHAM]]-Table_1[[#This Row],[PREÇO]])/Table_1[[#This Row],[PREÇO JUSTO GRAHAM]]</f>
        <v/>
      </c>
      <c r="Y362" s="129">
        <f>(22.5*Table_1[[#This Row],[LPA]]*Table_1[[#This Row],[VPA]])^0.5</f>
        <v/>
      </c>
      <c r="Z362" s="129">
        <f>Table_1[[#This Row],[PREÇO JUSTO GRAHAM]]/(1+Table_1[[#This Row],[MARGEM DE DESCONTO]])</f>
        <v/>
      </c>
      <c r="AA362" s="64">
        <f>(Table_1[[#This Row],[PREÇO JUSTO GORDON]]-Table_1[[#This Row],[PREÇO]])/Table_1[[#This Row],[PREÇO JUSTO GORDON]]</f>
        <v/>
      </c>
      <c r="AB362" s="130">
        <f>Table_1[[#This Row],[DPA]]*(1+Table_1[[#This Row],[MÉDIA DE CRESCIMENTO]])</f>
        <v/>
      </c>
      <c r="AC362" s="130">
        <f>Table_1[[#This Row],[D1]]/(Table_1[[#This Row],[RISCO]]-Table_1[[#This Row],[MÉDIA DE CRESCIMENTO]])</f>
        <v/>
      </c>
      <c r="AD362" s="130">
        <f>Table_1[[#This Row],[PREÇO JUSTO GORDON]]/(1+Table_1[[#This Row],[MARGEM DE DESCONTO]])</f>
        <v/>
      </c>
      <c r="AE362" s="78">
        <f>Table_1[[#This Row],[P/L]]/Table_1[[#This Row],[MÉDIA DE CRESCIMENTO]]</f>
        <v/>
      </c>
    </row>
    <row r="363" ht="15.75" customHeight="1">
      <c r="B363" s="77">
        <f>'Dados Status Invest'!A349</f>
        <v/>
      </c>
      <c r="C363" s="60">
        <f>VLOOKUP(Table_1[[#This Row],[AÇÕES]],'Classificação B3'!A:B,2,0)</f>
        <v/>
      </c>
      <c r="D363" s="60">
        <f>VLOOKUP(Table_1[[#This Row],[AÇÕES]],'Classificação B3'!A:D,4,0)</f>
        <v/>
      </c>
      <c r="E363" s="60">
        <f>VLOOKUP(Table_1[[#This Row],[AÇÕES]],'Classificação B3'!A:F,6,0)</f>
        <v/>
      </c>
      <c r="F363" s="60">
        <f>VLOOKUP(Table_1[[#This Row],[AÇÕES]],'Classificação B3'!A:G,7,0)</f>
        <v/>
      </c>
      <c r="G363" s="61">
        <f>VLOOKUP(Table_1[[#This Row],[AÇÕES]],'Dados Status Invest'!A:B,2,0)</f>
        <v/>
      </c>
      <c r="H363" s="62">
        <f>VLOOKUP(Table_1[[#This Row],[AÇÕES]],'Dados Status Invest'!A:C,3,0)/100</f>
        <v/>
      </c>
      <c r="I363" s="62">
        <f>VLOOKUP(Table_1[[#This Row],[AÇÕES]],'Dados Status Invest'!A:D,4,0)/100</f>
        <v/>
      </c>
      <c r="J363" s="63">
        <f>VLOOKUP(Table_1[[#This Row],[AÇÕES]],'Dados Status Invest'!A:AB,28,0)</f>
        <v/>
      </c>
      <c r="K363" s="63">
        <f>VLOOKUP(Table_1[[#This Row],[AÇÕES]],'Dados Status Invest'!A:AA,27,0)</f>
        <v/>
      </c>
      <c r="L363" s="63">
        <f>Table_1[[#This Row],[PREÇO]]*Table_1[[#This Row],[DY]]</f>
        <v/>
      </c>
      <c r="M363" s="62">
        <f>$E$13</f>
        <v/>
      </c>
      <c r="N363" s="62" t="n">
        <v>0.3</v>
      </c>
      <c r="O363" s="62">
        <f>Table_1[[#This Row],[DPA]]/Table_1[[#This Row],[LPA]]</f>
        <v/>
      </c>
      <c r="P363" s="62">
        <f>IF(Table_1[[#This Row],[PAYOUT]]&lt;=40%,"CRESCIMENTO",IF(Table_1[[#This Row],[PAYOUT]]&lt;=60%,"INDEFINIDO","DIVIDENDOS"))</f>
        <v/>
      </c>
      <c r="Q363" s="62">
        <f>VLOOKUP(Table_1[[#This Row],[AÇÕES]],'Dados Status Invest'!A:R,18,0)/100</f>
        <v/>
      </c>
      <c r="R363" s="62">
        <f>VLOOKUP(Table_1[[#This Row],[AÇÕES]],'Dados Status Invest'!A:Y,25,0)/100</f>
        <v/>
      </c>
      <c r="S363" s="62">
        <f>(1-Table_1[[#This Row],[PAYOUT]])*Table_1[[#This Row],[ROE]]</f>
        <v/>
      </c>
      <c r="T363" s="98">
        <f>AVERAGE(Table_1[[#This Row],[CAGR LUCRO 5A]],Table_1[[#This Row],[CRESCIMENTO DAMODARAN]])</f>
        <v/>
      </c>
      <c r="U363" s="64">
        <f>(Table_1[[#This Row],[PREÇO JUSTO BAZIN]]-Table_1[[#This Row],[PREÇO]])/Table_1[[#This Row],[PREÇO JUSTO BAZIN]]</f>
        <v/>
      </c>
      <c r="V363" s="129">
        <f>Table_1[[#This Row],[DPA]]/6%</f>
        <v/>
      </c>
      <c r="W363" s="129">
        <f>Table_1[[#This Row],[PREÇO JUSTO BAZIN]]/(1+Table_1[[#This Row],[MARGEM DE DESCONTO]])</f>
        <v/>
      </c>
      <c r="X363" s="64">
        <f>(Table_1[[#This Row],[PREÇO JUSTO GRAHAM]]-Table_1[[#This Row],[PREÇO]])/Table_1[[#This Row],[PREÇO JUSTO GRAHAM]]</f>
        <v/>
      </c>
      <c r="Y363" s="129">
        <f>(22.5*Table_1[[#This Row],[LPA]]*Table_1[[#This Row],[VPA]])^0.5</f>
        <v/>
      </c>
      <c r="Z363" s="129">
        <f>Table_1[[#This Row],[PREÇO JUSTO GRAHAM]]/(1+Table_1[[#This Row],[MARGEM DE DESCONTO]])</f>
        <v/>
      </c>
      <c r="AA363" s="64">
        <f>(Table_1[[#This Row],[PREÇO JUSTO GORDON]]-Table_1[[#This Row],[PREÇO]])/Table_1[[#This Row],[PREÇO JUSTO GORDON]]</f>
        <v/>
      </c>
      <c r="AB363" s="130">
        <f>Table_1[[#This Row],[DPA]]*(1+Table_1[[#This Row],[MÉDIA DE CRESCIMENTO]])</f>
        <v/>
      </c>
      <c r="AC363" s="130">
        <f>Table_1[[#This Row],[D1]]/(Table_1[[#This Row],[RISCO]]-Table_1[[#This Row],[MÉDIA DE CRESCIMENTO]])</f>
        <v/>
      </c>
      <c r="AD363" s="130">
        <f>Table_1[[#This Row],[PREÇO JUSTO GORDON]]/(1+Table_1[[#This Row],[MARGEM DE DESCONTO]])</f>
        <v/>
      </c>
      <c r="AE363" s="78">
        <f>Table_1[[#This Row],[P/L]]/Table_1[[#This Row],[MÉDIA DE CRESCIMENTO]]</f>
        <v/>
      </c>
    </row>
    <row r="364" ht="15.75" customHeight="1">
      <c r="B364" s="77">
        <f>'Dados Status Invest'!A350</f>
        <v/>
      </c>
      <c r="C364" s="60">
        <f>VLOOKUP(Table_1[[#This Row],[AÇÕES]],'Classificação B3'!A:B,2,0)</f>
        <v/>
      </c>
      <c r="D364" s="60">
        <f>VLOOKUP(Table_1[[#This Row],[AÇÕES]],'Classificação B3'!A:D,4,0)</f>
        <v/>
      </c>
      <c r="E364" s="60">
        <f>VLOOKUP(Table_1[[#This Row],[AÇÕES]],'Classificação B3'!A:F,6,0)</f>
        <v/>
      </c>
      <c r="F364" s="60">
        <f>VLOOKUP(Table_1[[#This Row],[AÇÕES]],'Classificação B3'!A:G,7,0)</f>
        <v/>
      </c>
      <c r="G364" s="61">
        <f>VLOOKUP(Table_1[[#This Row],[AÇÕES]],'Dados Status Invest'!A:B,2,0)</f>
        <v/>
      </c>
      <c r="H364" s="62">
        <f>VLOOKUP(Table_1[[#This Row],[AÇÕES]],'Dados Status Invest'!A:C,3,0)/100</f>
        <v/>
      </c>
      <c r="I364" s="62">
        <f>VLOOKUP(Table_1[[#This Row],[AÇÕES]],'Dados Status Invest'!A:D,4,0)/100</f>
        <v/>
      </c>
      <c r="J364" s="63">
        <f>VLOOKUP(Table_1[[#This Row],[AÇÕES]],'Dados Status Invest'!A:AB,28,0)</f>
        <v/>
      </c>
      <c r="K364" s="63">
        <f>VLOOKUP(Table_1[[#This Row],[AÇÕES]],'Dados Status Invest'!A:AA,27,0)</f>
        <v/>
      </c>
      <c r="L364" s="63">
        <f>Table_1[[#This Row],[PREÇO]]*Table_1[[#This Row],[DY]]</f>
        <v/>
      </c>
      <c r="M364" s="62">
        <f>$E$13</f>
        <v/>
      </c>
      <c r="N364" s="62" t="n">
        <v>0.3</v>
      </c>
      <c r="O364" s="62">
        <f>Table_1[[#This Row],[DPA]]/Table_1[[#This Row],[LPA]]</f>
        <v/>
      </c>
      <c r="P364" s="62">
        <f>IF(Table_1[[#This Row],[PAYOUT]]&lt;=40%,"CRESCIMENTO",IF(Table_1[[#This Row],[PAYOUT]]&lt;=60%,"INDEFINIDO","DIVIDENDOS"))</f>
        <v/>
      </c>
      <c r="Q364" s="62">
        <f>VLOOKUP(Table_1[[#This Row],[AÇÕES]],'Dados Status Invest'!A:R,18,0)/100</f>
        <v/>
      </c>
      <c r="R364" s="62">
        <f>VLOOKUP(Table_1[[#This Row],[AÇÕES]],'Dados Status Invest'!A:Y,25,0)/100</f>
        <v/>
      </c>
      <c r="S364" s="62">
        <f>(1-Table_1[[#This Row],[PAYOUT]])*Table_1[[#This Row],[ROE]]</f>
        <v/>
      </c>
      <c r="T364" s="98">
        <f>AVERAGE(Table_1[[#This Row],[CAGR LUCRO 5A]],Table_1[[#This Row],[CRESCIMENTO DAMODARAN]])</f>
        <v/>
      </c>
      <c r="U364" s="64">
        <f>(Table_1[[#This Row],[PREÇO JUSTO BAZIN]]-Table_1[[#This Row],[PREÇO]])/Table_1[[#This Row],[PREÇO JUSTO BAZIN]]</f>
        <v/>
      </c>
      <c r="V364" s="129">
        <f>Table_1[[#This Row],[DPA]]/6%</f>
        <v/>
      </c>
      <c r="W364" s="129">
        <f>Table_1[[#This Row],[PREÇO JUSTO BAZIN]]/(1+Table_1[[#This Row],[MARGEM DE DESCONTO]])</f>
        <v/>
      </c>
      <c r="X364" s="64">
        <f>(Table_1[[#This Row],[PREÇO JUSTO GRAHAM]]-Table_1[[#This Row],[PREÇO]])/Table_1[[#This Row],[PREÇO JUSTO GRAHAM]]</f>
        <v/>
      </c>
      <c r="Y364" s="129">
        <f>(22.5*Table_1[[#This Row],[LPA]]*Table_1[[#This Row],[VPA]])^0.5</f>
        <v/>
      </c>
      <c r="Z364" s="129">
        <f>Table_1[[#This Row],[PREÇO JUSTO GRAHAM]]/(1+Table_1[[#This Row],[MARGEM DE DESCONTO]])</f>
        <v/>
      </c>
      <c r="AA364" s="64">
        <f>(Table_1[[#This Row],[PREÇO JUSTO GORDON]]-Table_1[[#This Row],[PREÇO]])/Table_1[[#This Row],[PREÇO JUSTO GORDON]]</f>
        <v/>
      </c>
      <c r="AB364" s="130">
        <f>Table_1[[#This Row],[DPA]]*(1+Table_1[[#This Row],[MÉDIA DE CRESCIMENTO]])</f>
        <v/>
      </c>
      <c r="AC364" s="130">
        <f>Table_1[[#This Row],[D1]]/(Table_1[[#This Row],[RISCO]]-Table_1[[#This Row],[MÉDIA DE CRESCIMENTO]])</f>
        <v/>
      </c>
      <c r="AD364" s="130">
        <f>Table_1[[#This Row],[PREÇO JUSTO GORDON]]/(1+Table_1[[#This Row],[MARGEM DE DESCONTO]])</f>
        <v/>
      </c>
      <c r="AE364" s="78">
        <f>Table_1[[#This Row],[P/L]]/Table_1[[#This Row],[MÉDIA DE CRESCIMENTO]]</f>
        <v/>
      </c>
    </row>
    <row r="365" ht="15.75" customHeight="1">
      <c r="B365" s="77">
        <f>'Dados Status Invest'!A351</f>
        <v/>
      </c>
      <c r="C365" s="60">
        <f>VLOOKUP(Table_1[[#This Row],[AÇÕES]],'Classificação B3'!A:B,2,0)</f>
        <v/>
      </c>
      <c r="D365" s="60">
        <f>VLOOKUP(Table_1[[#This Row],[AÇÕES]],'Classificação B3'!A:D,4,0)</f>
        <v/>
      </c>
      <c r="E365" s="60">
        <f>VLOOKUP(Table_1[[#This Row],[AÇÕES]],'Classificação B3'!A:F,6,0)</f>
        <v/>
      </c>
      <c r="F365" s="60">
        <f>VLOOKUP(Table_1[[#This Row],[AÇÕES]],'Classificação B3'!A:G,7,0)</f>
        <v/>
      </c>
      <c r="G365" s="61">
        <f>VLOOKUP(Table_1[[#This Row],[AÇÕES]],'Dados Status Invest'!A:B,2,0)</f>
        <v/>
      </c>
      <c r="H365" s="62">
        <f>VLOOKUP(Table_1[[#This Row],[AÇÕES]],'Dados Status Invest'!A:C,3,0)/100</f>
        <v/>
      </c>
      <c r="I365" s="62">
        <f>VLOOKUP(Table_1[[#This Row],[AÇÕES]],'Dados Status Invest'!A:D,4,0)/100</f>
        <v/>
      </c>
      <c r="J365" s="63">
        <f>VLOOKUP(Table_1[[#This Row],[AÇÕES]],'Dados Status Invest'!A:AB,28,0)</f>
        <v/>
      </c>
      <c r="K365" s="63">
        <f>VLOOKUP(Table_1[[#This Row],[AÇÕES]],'Dados Status Invest'!A:AA,27,0)</f>
        <v/>
      </c>
      <c r="L365" s="63">
        <f>Table_1[[#This Row],[PREÇO]]*Table_1[[#This Row],[DY]]</f>
        <v/>
      </c>
      <c r="M365" s="62">
        <f>$E$13</f>
        <v/>
      </c>
      <c r="N365" s="62" t="n">
        <v>0.3</v>
      </c>
      <c r="O365" s="62">
        <f>Table_1[[#This Row],[DPA]]/Table_1[[#This Row],[LPA]]</f>
        <v/>
      </c>
      <c r="P365" s="62">
        <f>IF(Table_1[[#This Row],[PAYOUT]]&lt;=40%,"CRESCIMENTO",IF(Table_1[[#This Row],[PAYOUT]]&lt;=60%,"INDEFINIDO","DIVIDENDOS"))</f>
        <v/>
      </c>
      <c r="Q365" s="62">
        <f>VLOOKUP(Table_1[[#This Row],[AÇÕES]],'Dados Status Invest'!A:R,18,0)/100</f>
        <v/>
      </c>
      <c r="R365" s="62">
        <f>VLOOKUP(Table_1[[#This Row],[AÇÕES]],'Dados Status Invest'!A:Y,25,0)/100</f>
        <v/>
      </c>
      <c r="S365" s="62">
        <f>(1-Table_1[[#This Row],[PAYOUT]])*Table_1[[#This Row],[ROE]]</f>
        <v/>
      </c>
      <c r="T365" s="98">
        <f>AVERAGE(Table_1[[#This Row],[CAGR LUCRO 5A]],Table_1[[#This Row],[CRESCIMENTO DAMODARAN]])</f>
        <v/>
      </c>
      <c r="U365" s="64">
        <f>(Table_1[[#This Row],[PREÇO JUSTO BAZIN]]-Table_1[[#This Row],[PREÇO]])/Table_1[[#This Row],[PREÇO JUSTO BAZIN]]</f>
        <v/>
      </c>
      <c r="V365" s="129">
        <f>Table_1[[#This Row],[DPA]]/6%</f>
        <v/>
      </c>
      <c r="W365" s="129">
        <f>Table_1[[#This Row],[PREÇO JUSTO BAZIN]]/(1+Table_1[[#This Row],[MARGEM DE DESCONTO]])</f>
        <v/>
      </c>
      <c r="X365" s="64">
        <f>(Table_1[[#This Row],[PREÇO JUSTO GRAHAM]]-Table_1[[#This Row],[PREÇO]])/Table_1[[#This Row],[PREÇO JUSTO GRAHAM]]</f>
        <v/>
      </c>
      <c r="Y365" s="129">
        <f>(22.5*Table_1[[#This Row],[LPA]]*Table_1[[#This Row],[VPA]])^0.5</f>
        <v/>
      </c>
      <c r="Z365" s="129">
        <f>Table_1[[#This Row],[PREÇO JUSTO GRAHAM]]/(1+Table_1[[#This Row],[MARGEM DE DESCONTO]])</f>
        <v/>
      </c>
      <c r="AA365" s="64">
        <f>(Table_1[[#This Row],[PREÇO JUSTO GORDON]]-Table_1[[#This Row],[PREÇO]])/Table_1[[#This Row],[PREÇO JUSTO GORDON]]</f>
        <v/>
      </c>
      <c r="AB365" s="130">
        <f>Table_1[[#This Row],[DPA]]*(1+Table_1[[#This Row],[MÉDIA DE CRESCIMENTO]])</f>
        <v/>
      </c>
      <c r="AC365" s="130">
        <f>Table_1[[#This Row],[D1]]/(Table_1[[#This Row],[RISCO]]-Table_1[[#This Row],[MÉDIA DE CRESCIMENTO]])</f>
        <v/>
      </c>
      <c r="AD365" s="130">
        <f>Table_1[[#This Row],[PREÇO JUSTO GORDON]]/(1+Table_1[[#This Row],[MARGEM DE DESCONTO]])</f>
        <v/>
      </c>
      <c r="AE365" s="78">
        <f>Table_1[[#This Row],[P/L]]/Table_1[[#This Row],[MÉDIA DE CRESCIMENTO]]</f>
        <v/>
      </c>
    </row>
    <row r="366" ht="15.75" customHeight="1">
      <c r="B366" s="77">
        <f>'Dados Status Invest'!A352</f>
        <v/>
      </c>
      <c r="C366" s="60">
        <f>VLOOKUP(Table_1[[#This Row],[AÇÕES]],'Classificação B3'!A:B,2,0)</f>
        <v/>
      </c>
      <c r="D366" s="60">
        <f>VLOOKUP(Table_1[[#This Row],[AÇÕES]],'Classificação B3'!A:D,4,0)</f>
        <v/>
      </c>
      <c r="E366" s="60">
        <f>VLOOKUP(Table_1[[#This Row],[AÇÕES]],'Classificação B3'!A:F,6,0)</f>
        <v/>
      </c>
      <c r="F366" s="60">
        <f>VLOOKUP(Table_1[[#This Row],[AÇÕES]],'Classificação B3'!A:G,7,0)</f>
        <v/>
      </c>
      <c r="G366" s="61">
        <f>VLOOKUP(Table_1[[#This Row],[AÇÕES]],'Dados Status Invest'!A:B,2,0)</f>
        <v/>
      </c>
      <c r="H366" s="62">
        <f>VLOOKUP(Table_1[[#This Row],[AÇÕES]],'Dados Status Invest'!A:C,3,0)/100</f>
        <v/>
      </c>
      <c r="I366" s="62">
        <f>VLOOKUP(Table_1[[#This Row],[AÇÕES]],'Dados Status Invest'!A:D,4,0)/100</f>
        <v/>
      </c>
      <c r="J366" s="63">
        <f>VLOOKUP(Table_1[[#This Row],[AÇÕES]],'Dados Status Invest'!A:AB,28,0)</f>
        <v/>
      </c>
      <c r="K366" s="63">
        <f>VLOOKUP(Table_1[[#This Row],[AÇÕES]],'Dados Status Invest'!A:AA,27,0)</f>
        <v/>
      </c>
      <c r="L366" s="63">
        <f>Table_1[[#This Row],[PREÇO]]*Table_1[[#This Row],[DY]]</f>
        <v/>
      </c>
      <c r="M366" s="62">
        <f>$E$13</f>
        <v/>
      </c>
      <c r="N366" s="62" t="n">
        <v>0.3</v>
      </c>
      <c r="O366" s="62">
        <f>Table_1[[#This Row],[DPA]]/Table_1[[#This Row],[LPA]]</f>
        <v/>
      </c>
      <c r="P366" s="62">
        <f>IF(Table_1[[#This Row],[PAYOUT]]&lt;=40%,"CRESCIMENTO",IF(Table_1[[#This Row],[PAYOUT]]&lt;=60%,"INDEFINIDO","DIVIDENDOS"))</f>
        <v/>
      </c>
      <c r="Q366" s="62">
        <f>VLOOKUP(Table_1[[#This Row],[AÇÕES]],'Dados Status Invest'!A:R,18,0)/100</f>
        <v/>
      </c>
      <c r="R366" s="62">
        <f>VLOOKUP(Table_1[[#This Row],[AÇÕES]],'Dados Status Invest'!A:Y,25,0)/100</f>
        <v/>
      </c>
      <c r="S366" s="62">
        <f>(1-Table_1[[#This Row],[PAYOUT]])*Table_1[[#This Row],[ROE]]</f>
        <v/>
      </c>
      <c r="T366" s="98">
        <f>AVERAGE(Table_1[[#This Row],[CAGR LUCRO 5A]],Table_1[[#This Row],[CRESCIMENTO DAMODARAN]])</f>
        <v/>
      </c>
      <c r="U366" s="64">
        <f>(Table_1[[#This Row],[PREÇO JUSTO BAZIN]]-Table_1[[#This Row],[PREÇO]])/Table_1[[#This Row],[PREÇO JUSTO BAZIN]]</f>
        <v/>
      </c>
      <c r="V366" s="129">
        <f>Table_1[[#This Row],[DPA]]/6%</f>
        <v/>
      </c>
      <c r="W366" s="129">
        <f>Table_1[[#This Row],[PREÇO JUSTO BAZIN]]/(1+Table_1[[#This Row],[MARGEM DE DESCONTO]])</f>
        <v/>
      </c>
      <c r="X366" s="64">
        <f>(Table_1[[#This Row],[PREÇO JUSTO GRAHAM]]-Table_1[[#This Row],[PREÇO]])/Table_1[[#This Row],[PREÇO JUSTO GRAHAM]]</f>
        <v/>
      </c>
      <c r="Y366" s="129">
        <f>(22.5*Table_1[[#This Row],[LPA]]*Table_1[[#This Row],[VPA]])^0.5</f>
        <v/>
      </c>
      <c r="Z366" s="129">
        <f>Table_1[[#This Row],[PREÇO JUSTO GRAHAM]]/(1+Table_1[[#This Row],[MARGEM DE DESCONTO]])</f>
        <v/>
      </c>
      <c r="AA366" s="64">
        <f>(Table_1[[#This Row],[PREÇO JUSTO GORDON]]-Table_1[[#This Row],[PREÇO]])/Table_1[[#This Row],[PREÇO JUSTO GORDON]]</f>
        <v/>
      </c>
      <c r="AB366" s="130">
        <f>Table_1[[#This Row],[DPA]]*(1+Table_1[[#This Row],[MÉDIA DE CRESCIMENTO]])</f>
        <v/>
      </c>
      <c r="AC366" s="130">
        <f>Table_1[[#This Row],[D1]]/(Table_1[[#This Row],[RISCO]]-Table_1[[#This Row],[MÉDIA DE CRESCIMENTO]])</f>
        <v/>
      </c>
      <c r="AD366" s="130">
        <f>Table_1[[#This Row],[PREÇO JUSTO GORDON]]/(1+Table_1[[#This Row],[MARGEM DE DESCONTO]])</f>
        <v/>
      </c>
      <c r="AE366" s="78">
        <f>Table_1[[#This Row],[P/L]]/Table_1[[#This Row],[MÉDIA DE CRESCIMENTO]]</f>
        <v/>
      </c>
    </row>
    <row r="367" ht="15.75" customHeight="1">
      <c r="B367" s="77">
        <f>'Dados Status Invest'!A353</f>
        <v/>
      </c>
      <c r="C367" s="60">
        <f>VLOOKUP(Table_1[[#This Row],[AÇÕES]],'Classificação B3'!A:B,2,0)</f>
        <v/>
      </c>
      <c r="D367" s="60">
        <f>VLOOKUP(Table_1[[#This Row],[AÇÕES]],'Classificação B3'!A:D,4,0)</f>
        <v/>
      </c>
      <c r="E367" s="60">
        <f>VLOOKUP(Table_1[[#This Row],[AÇÕES]],'Classificação B3'!A:F,6,0)</f>
        <v/>
      </c>
      <c r="F367" s="60">
        <f>VLOOKUP(Table_1[[#This Row],[AÇÕES]],'Classificação B3'!A:G,7,0)</f>
        <v/>
      </c>
      <c r="G367" s="61">
        <f>VLOOKUP(Table_1[[#This Row],[AÇÕES]],'Dados Status Invest'!A:B,2,0)</f>
        <v/>
      </c>
      <c r="H367" s="62">
        <f>VLOOKUP(Table_1[[#This Row],[AÇÕES]],'Dados Status Invest'!A:C,3,0)/100</f>
        <v/>
      </c>
      <c r="I367" s="62">
        <f>VLOOKUP(Table_1[[#This Row],[AÇÕES]],'Dados Status Invest'!A:D,4,0)/100</f>
        <v/>
      </c>
      <c r="J367" s="63">
        <f>VLOOKUP(Table_1[[#This Row],[AÇÕES]],'Dados Status Invest'!A:AB,28,0)</f>
        <v/>
      </c>
      <c r="K367" s="63">
        <f>VLOOKUP(Table_1[[#This Row],[AÇÕES]],'Dados Status Invest'!A:AA,27,0)</f>
        <v/>
      </c>
      <c r="L367" s="63">
        <f>Table_1[[#This Row],[PREÇO]]*Table_1[[#This Row],[DY]]</f>
        <v/>
      </c>
      <c r="M367" s="62">
        <f>$E$13</f>
        <v/>
      </c>
      <c r="N367" s="62" t="n">
        <v>0.3</v>
      </c>
      <c r="O367" s="62">
        <f>Table_1[[#This Row],[DPA]]/Table_1[[#This Row],[LPA]]</f>
        <v/>
      </c>
      <c r="P367" s="62">
        <f>IF(Table_1[[#This Row],[PAYOUT]]&lt;=40%,"CRESCIMENTO",IF(Table_1[[#This Row],[PAYOUT]]&lt;=60%,"INDEFINIDO","DIVIDENDOS"))</f>
        <v/>
      </c>
      <c r="Q367" s="62">
        <f>VLOOKUP(Table_1[[#This Row],[AÇÕES]],'Dados Status Invest'!A:R,18,0)/100</f>
        <v/>
      </c>
      <c r="R367" s="62">
        <f>VLOOKUP(Table_1[[#This Row],[AÇÕES]],'Dados Status Invest'!A:Y,25,0)/100</f>
        <v/>
      </c>
      <c r="S367" s="62">
        <f>(1-Table_1[[#This Row],[PAYOUT]])*Table_1[[#This Row],[ROE]]</f>
        <v/>
      </c>
      <c r="T367" s="98">
        <f>AVERAGE(Table_1[[#This Row],[CAGR LUCRO 5A]],Table_1[[#This Row],[CRESCIMENTO DAMODARAN]])</f>
        <v/>
      </c>
      <c r="U367" s="64">
        <f>(Table_1[[#This Row],[PREÇO JUSTO BAZIN]]-Table_1[[#This Row],[PREÇO]])/Table_1[[#This Row],[PREÇO JUSTO BAZIN]]</f>
        <v/>
      </c>
      <c r="V367" s="129">
        <f>Table_1[[#This Row],[DPA]]/6%</f>
        <v/>
      </c>
      <c r="W367" s="129">
        <f>Table_1[[#This Row],[PREÇO JUSTO BAZIN]]/(1+Table_1[[#This Row],[MARGEM DE DESCONTO]])</f>
        <v/>
      </c>
      <c r="X367" s="64">
        <f>(Table_1[[#This Row],[PREÇO JUSTO GRAHAM]]-Table_1[[#This Row],[PREÇO]])/Table_1[[#This Row],[PREÇO JUSTO GRAHAM]]</f>
        <v/>
      </c>
      <c r="Y367" s="129">
        <f>(22.5*Table_1[[#This Row],[LPA]]*Table_1[[#This Row],[VPA]])^0.5</f>
        <v/>
      </c>
      <c r="Z367" s="129">
        <f>Table_1[[#This Row],[PREÇO JUSTO GRAHAM]]/(1+Table_1[[#This Row],[MARGEM DE DESCONTO]])</f>
        <v/>
      </c>
      <c r="AA367" s="64">
        <f>(Table_1[[#This Row],[PREÇO JUSTO GORDON]]-Table_1[[#This Row],[PREÇO]])/Table_1[[#This Row],[PREÇO JUSTO GORDON]]</f>
        <v/>
      </c>
      <c r="AB367" s="130">
        <f>Table_1[[#This Row],[DPA]]*(1+Table_1[[#This Row],[MÉDIA DE CRESCIMENTO]])</f>
        <v/>
      </c>
      <c r="AC367" s="130">
        <f>Table_1[[#This Row],[D1]]/(Table_1[[#This Row],[RISCO]]-Table_1[[#This Row],[MÉDIA DE CRESCIMENTO]])</f>
        <v/>
      </c>
      <c r="AD367" s="130">
        <f>Table_1[[#This Row],[PREÇO JUSTO GORDON]]/(1+Table_1[[#This Row],[MARGEM DE DESCONTO]])</f>
        <v/>
      </c>
      <c r="AE367" s="78">
        <f>Table_1[[#This Row],[P/L]]/Table_1[[#This Row],[MÉDIA DE CRESCIMENTO]]</f>
        <v/>
      </c>
    </row>
    <row r="368" ht="15.75" customHeight="1">
      <c r="B368" s="77">
        <f>'Dados Status Invest'!A354</f>
        <v/>
      </c>
      <c r="C368" s="60">
        <f>VLOOKUP(Table_1[[#This Row],[AÇÕES]],'Classificação B3'!A:B,2,0)</f>
        <v/>
      </c>
      <c r="D368" s="60">
        <f>VLOOKUP(Table_1[[#This Row],[AÇÕES]],'Classificação B3'!A:D,4,0)</f>
        <v/>
      </c>
      <c r="E368" s="60">
        <f>VLOOKUP(Table_1[[#This Row],[AÇÕES]],'Classificação B3'!A:F,6,0)</f>
        <v/>
      </c>
      <c r="F368" s="60">
        <f>VLOOKUP(Table_1[[#This Row],[AÇÕES]],'Classificação B3'!A:G,7,0)</f>
        <v/>
      </c>
      <c r="G368" s="61">
        <f>VLOOKUP(Table_1[[#This Row],[AÇÕES]],'Dados Status Invest'!A:B,2,0)</f>
        <v/>
      </c>
      <c r="H368" s="62">
        <f>VLOOKUP(Table_1[[#This Row],[AÇÕES]],'Dados Status Invest'!A:C,3,0)/100</f>
        <v/>
      </c>
      <c r="I368" s="62">
        <f>VLOOKUP(Table_1[[#This Row],[AÇÕES]],'Dados Status Invest'!A:D,4,0)/100</f>
        <v/>
      </c>
      <c r="J368" s="63">
        <f>VLOOKUP(Table_1[[#This Row],[AÇÕES]],'Dados Status Invest'!A:AB,28,0)</f>
        <v/>
      </c>
      <c r="K368" s="63">
        <f>VLOOKUP(Table_1[[#This Row],[AÇÕES]],'Dados Status Invest'!A:AA,27,0)</f>
        <v/>
      </c>
      <c r="L368" s="63">
        <f>Table_1[[#This Row],[PREÇO]]*Table_1[[#This Row],[DY]]</f>
        <v/>
      </c>
      <c r="M368" s="62">
        <f>$E$13</f>
        <v/>
      </c>
      <c r="N368" s="62" t="n">
        <v>0.3</v>
      </c>
      <c r="O368" s="62">
        <f>Table_1[[#This Row],[DPA]]/Table_1[[#This Row],[LPA]]</f>
        <v/>
      </c>
      <c r="P368" s="62">
        <f>IF(Table_1[[#This Row],[PAYOUT]]&lt;=40%,"CRESCIMENTO",IF(Table_1[[#This Row],[PAYOUT]]&lt;=60%,"INDEFINIDO","DIVIDENDOS"))</f>
        <v/>
      </c>
      <c r="Q368" s="62">
        <f>VLOOKUP(Table_1[[#This Row],[AÇÕES]],'Dados Status Invest'!A:R,18,0)/100</f>
        <v/>
      </c>
      <c r="R368" s="62">
        <f>VLOOKUP(Table_1[[#This Row],[AÇÕES]],'Dados Status Invest'!A:Y,25,0)/100</f>
        <v/>
      </c>
      <c r="S368" s="62">
        <f>(1-Table_1[[#This Row],[PAYOUT]])*Table_1[[#This Row],[ROE]]</f>
        <v/>
      </c>
      <c r="T368" s="98">
        <f>AVERAGE(Table_1[[#This Row],[CAGR LUCRO 5A]],Table_1[[#This Row],[CRESCIMENTO DAMODARAN]])</f>
        <v/>
      </c>
      <c r="U368" s="64">
        <f>(Table_1[[#This Row],[PREÇO JUSTO BAZIN]]-Table_1[[#This Row],[PREÇO]])/Table_1[[#This Row],[PREÇO JUSTO BAZIN]]</f>
        <v/>
      </c>
      <c r="V368" s="129">
        <f>Table_1[[#This Row],[DPA]]/6%</f>
        <v/>
      </c>
      <c r="W368" s="129">
        <f>Table_1[[#This Row],[PREÇO JUSTO BAZIN]]/(1+Table_1[[#This Row],[MARGEM DE DESCONTO]])</f>
        <v/>
      </c>
      <c r="X368" s="64">
        <f>(Table_1[[#This Row],[PREÇO JUSTO GRAHAM]]-Table_1[[#This Row],[PREÇO]])/Table_1[[#This Row],[PREÇO JUSTO GRAHAM]]</f>
        <v/>
      </c>
      <c r="Y368" s="129">
        <f>(22.5*Table_1[[#This Row],[LPA]]*Table_1[[#This Row],[VPA]])^0.5</f>
        <v/>
      </c>
      <c r="Z368" s="129">
        <f>Table_1[[#This Row],[PREÇO JUSTO GRAHAM]]/(1+Table_1[[#This Row],[MARGEM DE DESCONTO]])</f>
        <v/>
      </c>
      <c r="AA368" s="64">
        <f>(Table_1[[#This Row],[PREÇO JUSTO GORDON]]-Table_1[[#This Row],[PREÇO]])/Table_1[[#This Row],[PREÇO JUSTO GORDON]]</f>
        <v/>
      </c>
      <c r="AB368" s="130">
        <f>Table_1[[#This Row],[DPA]]*(1+Table_1[[#This Row],[MÉDIA DE CRESCIMENTO]])</f>
        <v/>
      </c>
      <c r="AC368" s="130">
        <f>Table_1[[#This Row],[D1]]/(Table_1[[#This Row],[RISCO]]-Table_1[[#This Row],[MÉDIA DE CRESCIMENTO]])</f>
        <v/>
      </c>
      <c r="AD368" s="130">
        <f>Table_1[[#This Row],[PREÇO JUSTO GORDON]]/(1+Table_1[[#This Row],[MARGEM DE DESCONTO]])</f>
        <v/>
      </c>
      <c r="AE368" s="78">
        <f>Table_1[[#This Row],[P/L]]/Table_1[[#This Row],[MÉDIA DE CRESCIMENTO]]</f>
        <v/>
      </c>
    </row>
    <row r="369" ht="15.75" customHeight="1">
      <c r="B369" s="77">
        <f>'Dados Status Invest'!A355</f>
        <v/>
      </c>
      <c r="C369" s="60">
        <f>VLOOKUP(Table_1[[#This Row],[AÇÕES]],'Classificação B3'!A:B,2,0)</f>
        <v/>
      </c>
      <c r="D369" s="60">
        <f>VLOOKUP(Table_1[[#This Row],[AÇÕES]],'Classificação B3'!A:D,4,0)</f>
        <v/>
      </c>
      <c r="E369" s="60">
        <f>VLOOKUP(Table_1[[#This Row],[AÇÕES]],'Classificação B3'!A:F,6,0)</f>
        <v/>
      </c>
      <c r="F369" s="60">
        <f>VLOOKUP(Table_1[[#This Row],[AÇÕES]],'Classificação B3'!A:G,7,0)</f>
        <v/>
      </c>
      <c r="G369" s="61">
        <f>VLOOKUP(Table_1[[#This Row],[AÇÕES]],'Dados Status Invest'!A:B,2,0)</f>
        <v/>
      </c>
      <c r="H369" s="62">
        <f>VLOOKUP(Table_1[[#This Row],[AÇÕES]],'Dados Status Invest'!A:C,3,0)/100</f>
        <v/>
      </c>
      <c r="I369" s="62">
        <f>VLOOKUP(Table_1[[#This Row],[AÇÕES]],'Dados Status Invest'!A:D,4,0)/100</f>
        <v/>
      </c>
      <c r="J369" s="63">
        <f>VLOOKUP(Table_1[[#This Row],[AÇÕES]],'Dados Status Invest'!A:AB,28,0)</f>
        <v/>
      </c>
      <c r="K369" s="63">
        <f>VLOOKUP(Table_1[[#This Row],[AÇÕES]],'Dados Status Invest'!A:AA,27,0)</f>
        <v/>
      </c>
      <c r="L369" s="63">
        <f>Table_1[[#This Row],[PREÇO]]*Table_1[[#This Row],[DY]]</f>
        <v/>
      </c>
      <c r="M369" s="62">
        <f>$E$13</f>
        <v/>
      </c>
      <c r="N369" s="62" t="n">
        <v>0.3</v>
      </c>
      <c r="O369" s="62">
        <f>Table_1[[#This Row],[DPA]]/Table_1[[#This Row],[LPA]]</f>
        <v/>
      </c>
      <c r="P369" s="62">
        <f>IF(Table_1[[#This Row],[PAYOUT]]&lt;=40%,"CRESCIMENTO",IF(Table_1[[#This Row],[PAYOUT]]&lt;=60%,"INDEFINIDO","DIVIDENDOS"))</f>
        <v/>
      </c>
      <c r="Q369" s="62">
        <f>VLOOKUP(Table_1[[#This Row],[AÇÕES]],'Dados Status Invest'!A:R,18,0)/100</f>
        <v/>
      </c>
      <c r="R369" s="62">
        <f>VLOOKUP(Table_1[[#This Row],[AÇÕES]],'Dados Status Invest'!A:Y,25,0)/100</f>
        <v/>
      </c>
      <c r="S369" s="62">
        <f>(1-Table_1[[#This Row],[PAYOUT]])*Table_1[[#This Row],[ROE]]</f>
        <v/>
      </c>
      <c r="T369" s="98">
        <f>AVERAGE(Table_1[[#This Row],[CAGR LUCRO 5A]],Table_1[[#This Row],[CRESCIMENTO DAMODARAN]])</f>
        <v/>
      </c>
      <c r="U369" s="64">
        <f>(Table_1[[#This Row],[PREÇO JUSTO BAZIN]]-Table_1[[#This Row],[PREÇO]])/Table_1[[#This Row],[PREÇO JUSTO BAZIN]]</f>
        <v/>
      </c>
      <c r="V369" s="129">
        <f>Table_1[[#This Row],[DPA]]/6%</f>
        <v/>
      </c>
      <c r="W369" s="129">
        <f>Table_1[[#This Row],[PREÇO JUSTO BAZIN]]/(1+Table_1[[#This Row],[MARGEM DE DESCONTO]])</f>
        <v/>
      </c>
      <c r="X369" s="64">
        <f>(Table_1[[#This Row],[PREÇO JUSTO GRAHAM]]-Table_1[[#This Row],[PREÇO]])/Table_1[[#This Row],[PREÇO JUSTO GRAHAM]]</f>
        <v/>
      </c>
      <c r="Y369" s="129">
        <f>(22.5*Table_1[[#This Row],[LPA]]*Table_1[[#This Row],[VPA]])^0.5</f>
        <v/>
      </c>
      <c r="Z369" s="129">
        <f>Table_1[[#This Row],[PREÇO JUSTO GRAHAM]]/(1+Table_1[[#This Row],[MARGEM DE DESCONTO]])</f>
        <v/>
      </c>
      <c r="AA369" s="64">
        <f>(Table_1[[#This Row],[PREÇO JUSTO GORDON]]-Table_1[[#This Row],[PREÇO]])/Table_1[[#This Row],[PREÇO JUSTO GORDON]]</f>
        <v/>
      </c>
      <c r="AB369" s="130">
        <f>Table_1[[#This Row],[DPA]]*(1+Table_1[[#This Row],[MÉDIA DE CRESCIMENTO]])</f>
        <v/>
      </c>
      <c r="AC369" s="130">
        <f>Table_1[[#This Row],[D1]]/(Table_1[[#This Row],[RISCO]]-Table_1[[#This Row],[MÉDIA DE CRESCIMENTO]])</f>
        <v/>
      </c>
      <c r="AD369" s="130">
        <f>Table_1[[#This Row],[PREÇO JUSTO GORDON]]/(1+Table_1[[#This Row],[MARGEM DE DESCONTO]])</f>
        <v/>
      </c>
      <c r="AE369" s="78">
        <f>Table_1[[#This Row],[P/L]]/Table_1[[#This Row],[MÉDIA DE CRESCIMENTO]]</f>
        <v/>
      </c>
    </row>
    <row r="370" ht="15.75" customHeight="1">
      <c r="B370" s="77">
        <f>'Dados Status Invest'!A356</f>
        <v/>
      </c>
      <c r="C370" s="60">
        <f>VLOOKUP(Table_1[[#This Row],[AÇÕES]],'Classificação B3'!A:B,2,0)</f>
        <v/>
      </c>
      <c r="D370" s="60">
        <f>VLOOKUP(Table_1[[#This Row],[AÇÕES]],'Classificação B3'!A:D,4,0)</f>
        <v/>
      </c>
      <c r="E370" s="60">
        <f>VLOOKUP(Table_1[[#This Row],[AÇÕES]],'Classificação B3'!A:F,6,0)</f>
        <v/>
      </c>
      <c r="F370" s="60">
        <f>VLOOKUP(Table_1[[#This Row],[AÇÕES]],'Classificação B3'!A:G,7,0)</f>
        <v/>
      </c>
      <c r="G370" s="61">
        <f>VLOOKUP(Table_1[[#This Row],[AÇÕES]],'Dados Status Invest'!A:B,2,0)</f>
        <v/>
      </c>
      <c r="H370" s="62">
        <f>VLOOKUP(Table_1[[#This Row],[AÇÕES]],'Dados Status Invest'!A:C,3,0)/100</f>
        <v/>
      </c>
      <c r="I370" s="62">
        <f>VLOOKUP(Table_1[[#This Row],[AÇÕES]],'Dados Status Invest'!A:D,4,0)/100</f>
        <v/>
      </c>
      <c r="J370" s="63">
        <f>VLOOKUP(Table_1[[#This Row],[AÇÕES]],'Dados Status Invest'!A:AB,28,0)</f>
        <v/>
      </c>
      <c r="K370" s="63">
        <f>VLOOKUP(Table_1[[#This Row],[AÇÕES]],'Dados Status Invest'!A:AA,27,0)</f>
        <v/>
      </c>
      <c r="L370" s="63">
        <f>Table_1[[#This Row],[PREÇO]]*Table_1[[#This Row],[DY]]</f>
        <v/>
      </c>
      <c r="M370" s="62">
        <f>$E$13</f>
        <v/>
      </c>
      <c r="N370" s="62" t="n">
        <v>0.3</v>
      </c>
      <c r="O370" s="62">
        <f>Table_1[[#This Row],[DPA]]/Table_1[[#This Row],[LPA]]</f>
        <v/>
      </c>
      <c r="P370" s="62">
        <f>IF(Table_1[[#This Row],[PAYOUT]]&lt;=40%,"CRESCIMENTO",IF(Table_1[[#This Row],[PAYOUT]]&lt;=60%,"INDEFINIDO","DIVIDENDOS"))</f>
        <v/>
      </c>
      <c r="Q370" s="62">
        <f>VLOOKUP(Table_1[[#This Row],[AÇÕES]],'Dados Status Invest'!A:R,18,0)/100</f>
        <v/>
      </c>
      <c r="R370" s="62">
        <f>VLOOKUP(Table_1[[#This Row],[AÇÕES]],'Dados Status Invest'!A:Y,25,0)/100</f>
        <v/>
      </c>
      <c r="S370" s="62">
        <f>(1-Table_1[[#This Row],[PAYOUT]])*Table_1[[#This Row],[ROE]]</f>
        <v/>
      </c>
      <c r="T370" s="98">
        <f>AVERAGE(Table_1[[#This Row],[CAGR LUCRO 5A]],Table_1[[#This Row],[CRESCIMENTO DAMODARAN]])</f>
        <v/>
      </c>
      <c r="U370" s="64">
        <f>(Table_1[[#This Row],[PREÇO JUSTO BAZIN]]-Table_1[[#This Row],[PREÇO]])/Table_1[[#This Row],[PREÇO JUSTO BAZIN]]</f>
        <v/>
      </c>
      <c r="V370" s="129">
        <f>Table_1[[#This Row],[DPA]]/6%</f>
        <v/>
      </c>
      <c r="W370" s="129">
        <f>Table_1[[#This Row],[PREÇO JUSTO BAZIN]]/(1+Table_1[[#This Row],[MARGEM DE DESCONTO]])</f>
        <v/>
      </c>
      <c r="X370" s="64">
        <f>(Table_1[[#This Row],[PREÇO JUSTO GRAHAM]]-Table_1[[#This Row],[PREÇO]])/Table_1[[#This Row],[PREÇO JUSTO GRAHAM]]</f>
        <v/>
      </c>
      <c r="Y370" s="129">
        <f>(22.5*Table_1[[#This Row],[LPA]]*Table_1[[#This Row],[VPA]])^0.5</f>
        <v/>
      </c>
      <c r="Z370" s="129">
        <f>Table_1[[#This Row],[PREÇO JUSTO GRAHAM]]/(1+Table_1[[#This Row],[MARGEM DE DESCONTO]])</f>
        <v/>
      </c>
      <c r="AA370" s="64">
        <f>(Table_1[[#This Row],[PREÇO JUSTO GORDON]]-Table_1[[#This Row],[PREÇO]])/Table_1[[#This Row],[PREÇO JUSTO GORDON]]</f>
        <v/>
      </c>
      <c r="AB370" s="130">
        <f>Table_1[[#This Row],[DPA]]*(1+Table_1[[#This Row],[MÉDIA DE CRESCIMENTO]])</f>
        <v/>
      </c>
      <c r="AC370" s="130">
        <f>Table_1[[#This Row],[D1]]/(Table_1[[#This Row],[RISCO]]-Table_1[[#This Row],[MÉDIA DE CRESCIMENTO]])</f>
        <v/>
      </c>
      <c r="AD370" s="130">
        <f>Table_1[[#This Row],[PREÇO JUSTO GORDON]]/(1+Table_1[[#This Row],[MARGEM DE DESCONTO]])</f>
        <v/>
      </c>
      <c r="AE370" s="78">
        <f>Table_1[[#This Row],[P/L]]/Table_1[[#This Row],[MÉDIA DE CRESCIMENTO]]</f>
        <v/>
      </c>
    </row>
    <row r="371" ht="15.75" customHeight="1">
      <c r="B371" s="77">
        <f>'Dados Status Invest'!A357</f>
        <v/>
      </c>
      <c r="C371" s="60">
        <f>VLOOKUP(Table_1[[#This Row],[AÇÕES]],'Classificação B3'!A:B,2,0)</f>
        <v/>
      </c>
      <c r="D371" s="60">
        <f>VLOOKUP(Table_1[[#This Row],[AÇÕES]],'Classificação B3'!A:D,4,0)</f>
        <v/>
      </c>
      <c r="E371" s="60">
        <f>VLOOKUP(Table_1[[#This Row],[AÇÕES]],'Classificação B3'!A:F,6,0)</f>
        <v/>
      </c>
      <c r="F371" s="60">
        <f>VLOOKUP(Table_1[[#This Row],[AÇÕES]],'Classificação B3'!A:G,7,0)</f>
        <v/>
      </c>
      <c r="G371" s="61">
        <f>VLOOKUP(Table_1[[#This Row],[AÇÕES]],'Dados Status Invest'!A:B,2,0)</f>
        <v/>
      </c>
      <c r="H371" s="62">
        <f>VLOOKUP(Table_1[[#This Row],[AÇÕES]],'Dados Status Invest'!A:C,3,0)/100</f>
        <v/>
      </c>
      <c r="I371" s="62">
        <f>VLOOKUP(Table_1[[#This Row],[AÇÕES]],'Dados Status Invest'!A:D,4,0)/100</f>
        <v/>
      </c>
      <c r="J371" s="63">
        <f>VLOOKUP(Table_1[[#This Row],[AÇÕES]],'Dados Status Invest'!A:AB,28,0)</f>
        <v/>
      </c>
      <c r="K371" s="63">
        <f>VLOOKUP(Table_1[[#This Row],[AÇÕES]],'Dados Status Invest'!A:AA,27,0)</f>
        <v/>
      </c>
      <c r="L371" s="63">
        <f>Table_1[[#This Row],[PREÇO]]*Table_1[[#This Row],[DY]]</f>
        <v/>
      </c>
      <c r="M371" s="62">
        <f>$E$13</f>
        <v/>
      </c>
      <c r="N371" s="62" t="n">
        <v>0.3</v>
      </c>
      <c r="O371" s="62">
        <f>Table_1[[#This Row],[DPA]]/Table_1[[#This Row],[LPA]]</f>
        <v/>
      </c>
      <c r="P371" s="62">
        <f>IF(Table_1[[#This Row],[PAYOUT]]&lt;=40%,"CRESCIMENTO",IF(Table_1[[#This Row],[PAYOUT]]&lt;=60%,"INDEFINIDO","DIVIDENDOS"))</f>
        <v/>
      </c>
      <c r="Q371" s="62">
        <f>VLOOKUP(Table_1[[#This Row],[AÇÕES]],'Dados Status Invest'!A:R,18,0)/100</f>
        <v/>
      </c>
      <c r="R371" s="62">
        <f>VLOOKUP(Table_1[[#This Row],[AÇÕES]],'Dados Status Invest'!A:Y,25,0)/100</f>
        <v/>
      </c>
      <c r="S371" s="62">
        <f>(1-Table_1[[#This Row],[PAYOUT]])*Table_1[[#This Row],[ROE]]</f>
        <v/>
      </c>
      <c r="T371" s="98">
        <f>AVERAGE(Table_1[[#This Row],[CAGR LUCRO 5A]],Table_1[[#This Row],[CRESCIMENTO DAMODARAN]])</f>
        <v/>
      </c>
      <c r="U371" s="64">
        <f>(Table_1[[#This Row],[PREÇO JUSTO BAZIN]]-Table_1[[#This Row],[PREÇO]])/Table_1[[#This Row],[PREÇO JUSTO BAZIN]]</f>
        <v/>
      </c>
      <c r="V371" s="129">
        <f>Table_1[[#This Row],[DPA]]/6%</f>
        <v/>
      </c>
      <c r="W371" s="129">
        <f>Table_1[[#This Row],[PREÇO JUSTO BAZIN]]/(1+Table_1[[#This Row],[MARGEM DE DESCONTO]])</f>
        <v/>
      </c>
      <c r="X371" s="64">
        <f>(Table_1[[#This Row],[PREÇO JUSTO GRAHAM]]-Table_1[[#This Row],[PREÇO]])/Table_1[[#This Row],[PREÇO JUSTO GRAHAM]]</f>
        <v/>
      </c>
      <c r="Y371" s="129">
        <f>(22.5*Table_1[[#This Row],[LPA]]*Table_1[[#This Row],[VPA]])^0.5</f>
        <v/>
      </c>
      <c r="Z371" s="129">
        <f>Table_1[[#This Row],[PREÇO JUSTO GRAHAM]]/(1+Table_1[[#This Row],[MARGEM DE DESCONTO]])</f>
        <v/>
      </c>
      <c r="AA371" s="64">
        <f>(Table_1[[#This Row],[PREÇO JUSTO GORDON]]-Table_1[[#This Row],[PREÇO]])/Table_1[[#This Row],[PREÇO JUSTO GORDON]]</f>
        <v/>
      </c>
      <c r="AB371" s="130">
        <f>Table_1[[#This Row],[DPA]]*(1+Table_1[[#This Row],[MÉDIA DE CRESCIMENTO]])</f>
        <v/>
      </c>
      <c r="AC371" s="130">
        <f>Table_1[[#This Row],[D1]]/(Table_1[[#This Row],[RISCO]]-Table_1[[#This Row],[MÉDIA DE CRESCIMENTO]])</f>
        <v/>
      </c>
      <c r="AD371" s="130">
        <f>Table_1[[#This Row],[PREÇO JUSTO GORDON]]/(1+Table_1[[#This Row],[MARGEM DE DESCONTO]])</f>
        <v/>
      </c>
      <c r="AE371" s="78">
        <f>Table_1[[#This Row],[P/L]]/Table_1[[#This Row],[MÉDIA DE CRESCIMENTO]]</f>
        <v/>
      </c>
    </row>
    <row r="372" ht="15.75" customHeight="1">
      <c r="B372" s="77">
        <f>'Dados Status Invest'!A358</f>
        <v/>
      </c>
      <c r="C372" s="60">
        <f>VLOOKUP(Table_1[[#This Row],[AÇÕES]],'Classificação B3'!A:B,2,0)</f>
        <v/>
      </c>
      <c r="D372" s="60">
        <f>VLOOKUP(Table_1[[#This Row],[AÇÕES]],'Classificação B3'!A:D,4,0)</f>
        <v/>
      </c>
      <c r="E372" s="60">
        <f>VLOOKUP(Table_1[[#This Row],[AÇÕES]],'Classificação B3'!A:F,6,0)</f>
        <v/>
      </c>
      <c r="F372" s="60">
        <f>VLOOKUP(Table_1[[#This Row],[AÇÕES]],'Classificação B3'!A:G,7,0)</f>
        <v/>
      </c>
      <c r="G372" s="61">
        <f>VLOOKUP(Table_1[[#This Row],[AÇÕES]],'Dados Status Invest'!A:B,2,0)</f>
        <v/>
      </c>
      <c r="H372" s="62">
        <f>VLOOKUP(Table_1[[#This Row],[AÇÕES]],'Dados Status Invest'!A:C,3,0)/100</f>
        <v/>
      </c>
      <c r="I372" s="62">
        <f>VLOOKUP(Table_1[[#This Row],[AÇÕES]],'Dados Status Invest'!A:D,4,0)/100</f>
        <v/>
      </c>
      <c r="J372" s="63">
        <f>VLOOKUP(Table_1[[#This Row],[AÇÕES]],'Dados Status Invest'!A:AB,28,0)</f>
        <v/>
      </c>
      <c r="K372" s="63">
        <f>VLOOKUP(Table_1[[#This Row],[AÇÕES]],'Dados Status Invest'!A:AA,27,0)</f>
        <v/>
      </c>
      <c r="L372" s="63">
        <f>Table_1[[#This Row],[PREÇO]]*Table_1[[#This Row],[DY]]</f>
        <v/>
      </c>
      <c r="M372" s="62">
        <f>$E$13</f>
        <v/>
      </c>
      <c r="N372" s="62" t="n">
        <v>0.3</v>
      </c>
      <c r="O372" s="62">
        <f>Table_1[[#This Row],[DPA]]/Table_1[[#This Row],[LPA]]</f>
        <v/>
      </c>
      <c r="P372" s="62">
        <f>IF(Table_1[[#This Row],[PAYOUT]]&lt;=40%,"CRESCIMENTO",IF(Table_1[[#This Row],[PAYOUT]]&lt;=60%,"INDEFINIDO","DIVIDENDOS"))</f>
        <v/>
      </c>
      <c r="Q372" s="62">
        <f>VLOOKUP(Table_1[[#This Row],[AÇÕES]],'Dados Status Invest'!A:R,18,0)/100</f>
        <v/>
      </c>
      <c r="R372" s="62">
        <f>VLOOKUP(Table_1[[#This Row],[AÇÕES]],'Dados Status Invest'!A:Y,25,0)/100</f>
        <v/>
      </c>
      <c r="S372" s="62">
        <f>(1-Table_1[[#This Row],[PAYOUT]])*Table_1[[#This Row],[ROE]]</f>
        <v/>
      </c>
      <c r="T372" s="98">
        <f>AVERAGE(Table_1[[#This Row],[CAGR LUCRO 5A]],Table_1[[#This Row],[CRESCIMENTO DAMODARAN]])</f>
        <v/>
      </c>
      <c r="U372" s="64">
        <f>(Table_1[[#This Row],[PREÇO JUSTO BAZIN]]-Table_1[[#This Row],[PREÇO]])/Table_1[[#This Row],[PREÇO JUSTO BAZIN]]</f>
        <v/>
      </c>
      <c r="V372" s="129">
        <f>Table_1[[#This Row],[DPA]]/6%</f>
        <v/>
      </c>
      <c r="W372" s="129">
        <f>Table_1[[#This Row],[PREÇO JUSTO BAZIN]]/(1+Table_1[[#This Row],[MARGEM DE DESCONTO]])</f>
        <v/>
      </c>
      <c r="X372" s="64">
        <f>(Table_1[[#This Row],[PREÇO JUSTO GRAHAM]]-Table_1[[#This Row],[PREÇO]])/Table_1[[#This Row],[PREÇO JUSTO GRAHAM]]</f>
        <v/>
      </c>
      <c r="Y372" s="129">
        <f>(22.5*Table_1[[#This Row],[LPA]]*Table_1[[#This Row],[VPA]])^0.5</f>
        <v/>
      </c>
      <c r="Z372" s="129">
        <f>Table_1[[#This Row],[PREÇO JUSTO GRAHAM]]/(1+Table_1[[#This Row],[MARGEM DE DESCONTO]])</f>
        <v/>
      </c>
      <c r="AA372" s="64">
        <f>(Table_1[[#This Row],[PREÇO JUSTO GORDON]]-Table_1[[#This Row],[PREÇO]])/Table_1[[#This Row],[PREÇO JUSTO GORDON]]</f>
        <v/>
      </c>
      <c r="AB372" s="130">
        <f>Table_1[[#This Row],[DPA]]*(1+Table_1[[#This Row],[MÉDIA DE CRESCIMENTO]])</f>
        <v/>
      </c>
      <c r="AC372" s="130">
        <f>Table_1[[#This Row],[D1]]/(Table_1[[#This Row],[RISCO]]-Table_1[[#This Row],[MÉDIA DE CRESCIMENTO]])</f>
        <v/>
      </c>
      <c r="AD372" s="130">
        <f>Table_1[[#This Row],[PREÇO JUSTO GORDON]]/(1+Table_1[[#This Row],[MARGEM DE DESCONTO]])</f>
        <v/>
      </c>
      <c r="AE372" s="78">
        <f>Table_1[[#This Row],[P/L]]/Table_1[[#This Row],[MÉDIA DE CRESCIMENTO]]</f>
        <v/>
      </c>
    </row>
    <row r="373" ht="15.75" customHeight="1">
      <c r="B373" s="77">
        <f>'Dados Status Invest'!A359</f>
        <v/>
      </c>
      <c r="C373" s="60">
        <f>VLOOKUP(Table_1[[#This Row],[AÇÕES]],'Classificação B3'!A:B,2,0)</f>
        <v/>
      </c>
      <c r="D373" s="60">
        <f>VLOOKUP(Table_1[[#This Row],[AÇÕES]],'Classificação B3'!A:D,4,0)</f>
        <v/>
      </c>
      <c r="E373" s="60">
        <f>VLOOKUP(Table_1[[#This Row],[AÇÕES]],'Classificação B3'!A:F,6,0)</f>
        <v/>
      </c>
      <c r="F373" s="60">
        <f>VLOOKUP(Table_1[[#This Row],[AÇÕES]],'Classificação B3'!A:G,7,0)</f>
        <v/>
      </c>
      <c r="G373" s="61">
        <f>VLOOKUP(Table_1[[#This Row],[AÇÕES]],'Dados Status Invest'!A:B,2,0)</f>
        <v/>
      </c>
      <c r="H373" s="62">
        <f>VLOOKUP(Table_1[[#This Row],[AÇÕES]],'Dados Status Invest'!A:C,3,0)/100</f>
        <v/>
      </c>
      <c r="I373" s="62">
        <f>VLOOKUP(Table_1[[#This Row],[AÇÕES]],'Dados Status Invest'!A:D,4,0)/100</f>
        <v/>
      </c>
      <c r="J373" s="63">
        <f>VLOOKUP(Table_1[[#This Row],[AÇÕES]],'Dados Status Invest'!A:AB,28,0)</f>
        <v/>
      </c>
      <c r="K373" s="63">
        <f>VLOOKUP(Table_1[[#This Row],[AÇÕES]],'Dados Status Invest'!A:AA,27,0)</f>
        <v/>
      </c>
      <c r="L373" s="63">
        <f>Table_1[[#This Row],[PREÇO]]*Table_1[[#This Row],[DY]]</f>
        <v/>
      </c>
      <c r="M373" s="62">
        <f>$E$13</f>
        <v/>
      </c>
      <c r="N373" s="62" t="n">
        <v>0.3</v>
      </c>
      <c r="O373" s="62">
        <f>Table_1[[#This Row],[DPA]]/Table_1[[#This Row],[LPA]]</f>
        <v/>
      </c>
      <c r="P373" s="62">
        <f>IF(Table_1[[#This Row],[PAYOUT]]&lt;=40%,"CRESCIMENTO",IF(Table_1[[#This Row],[PAYOUT]]&lt;=60%,"INDEFINIDO","DIVIDENDOS"))</f>
        <v/>
      </c>
      <c r="Q373" s="62">
        <f>VLOOKUP(Table_1[[#This Row],[AÇÕES]],'Dados Status Invest'!A:R,18,0)/100</f>
        <v/>
      </c>
      <c r="R373" s="62">
        <f>VLOOKUP(Table_1[[#This Row],[AÇÕES]],'Dados Status Invest'!A:Y,25,0)/100</f>
        <v/>
      </c>
      <c r="S373" s="62">
        <f>(1-Table_1[[#This Row],[PAYOUT]])*Table_1[[#This Row],[ROE]]</f>
        <v/>
      </c>
      <c r="T373" s="98">
        <f>AVERAGE(Table_1[[#This Row],[CAGR LUCRO 5A]],Table_1[[#This Row],[CRESCIMENTO DAMODARAN]])</f>
        <v/>
      </c>
      <c r="U373" s="64">
        <f>(Table_1[[#This Row],[PREÇO JUSTO BAZIN]]-Table_1[[#This Row],[PREÇO]])/Table_1[[#This Row],[PREÇO JUSTO BAZIN]]</f>
        <v/>
      </c>
      <c r="V373" s="129">
        <f>Table_1[[#This Row],[DPA]]/6%</f>
        <v/>
      </c>
      <c r="W373" s="129">
        <f>Table_1[[#This Row],[PREÇO JUSTO BAZIN]]/(1+Table_1[[#This Row],[MARGEM DE DESCONTO]])</f>
        <v/>
      </c>
      <c r="X373" s="64">
        <f>(Table_1[[#This Row],[PREÇO JUSTO GRAHAM]]-Table_1[[#This Row],[PREÇO]])/Table_1[[#This Row],[PREÇO JUSTO GRAHAM]]</f>
        <v/>
      </c>
      <c r="Y373" s="129">
        <f>(22.5*Table_1[[#This Row],[LPA]]*Table_1[[#This Row],[VPA]])^0.5</f>
        <v/>
      </c>
      <c r="Z373" s="129">
        <f>Table_1[[#This Row],[PREÇO JUSTO GRAHAM]]/(1+Table_1[[#This Row],[MARGEM DE DESCONTO]])</f>
        <v/>
      </c>
      <c r="AA373" s="64">
        <f>(Table_1[[#This Row],[PREÇO JUSTO GORDON]]-Table_1[[#This Row],[PREÇO]])/Table_1[[#This Row],[PREÇO JUSTO GORDON]]</f>
        <v/>
      </c>
      <c r="AB373" s="130">
        <f>Table_1[[#This Row],[DPA]]*(1+Table_1[[#This Row],[MÉDIA DE CRESCIMENTO]])</f>
        <v/>
      </c>
      <c r="AC373" s="130">
        <f>Table_1[[#This Row],[D1]]/(Table_1[[#This Row],[RISCO]]-Table_1[[#This Row],[MÉDIA DE CRESCIMENTO]])</f>
        <v/>
      </c>
      <c r="AD373" s="130">
        <f>Table_1[[#This Row],[PREÇO JUSTO GORDON]]/(1+Table_1[[#This Row],[MARGEM DE DESCONTO]])</f>
        <v/>
      </c>
      <c r="AE373" s="78">
        <f>Table_1[[#This Row],[P/L]]/Table_1[[#This Row],[MÉDIA DE CRESCIMENTO]]</f>
        <v/>
      </c>
    </row>
    <row r="374" ht="15.75" customHeight="1">
      <c r="B374" s="77">
        <f>'Dados Status Invest'!A360</f>
        <v/>
      </c>
      <c r="C374" s="60">
        <f>VLOOKUP(Table_1[[#This Row],[AÇÕES]],'Classificação B3'!A:B,2,0)</f>
        <v/>
      </c>
      <c r="D374" s="60">
        <f>VLOOKUP(Table_1[[#This Row],[AÇÕES]],'Classificação B3'!A:D,4,0)</f>
        <v/>
      </c>
      <c r="E374" s="60">
        <f>VLOOKUP(Table_1[[#This Row],[AÇÕES]],'Classificação B3'!A:F,6,0)</f>
        <v/>
      </c>
      <c r="F374" s="60">
        <f>VLOOKUP(Table_1[[#This Row],[AÇÕES]],'Classificação B3'!A:G,7,0)</f>
        <v/>
      </c>
      <c r="G374" s="61">
        <f>VLOOKUP(Table_1[[#This Row],[AÇÕES]],'Dados Status Invest'!A:B,2,0)</f>
        <v/>
      </c>
      <c r="H374" s="62">
        <f>VLOOKUP(Table_1[[#This Row],[AÇÕES]],'Dados Status Invest'!A:C,3,0)/100</f>
        <v/>
      </c>
      <c r="I374" s="62">
        <f>VLOOKUP(Table_1[[#This Row],[AÇÕES]],'Dados Status Invest'!A:D,4,0)/100</f>
        <v/>
      </c>
      <c r="J374" s="63">
        <f>VLOOKUP(Table_1[[#This Row],[AÇÕES]],'Dados Status Invest'!A:AB,28,0)</f>
        <v/>
      </c>
      <c r="K374" s="63">
        <f>VLOOKUP(Table_1[[#This Row],[AÇÕES]],'Dados Status Invest'!A:AA,27,0)</f>
        <v/>
      </c>
      <c r="L374" s="63">
        <f>Table_1[[#This Row],[PREÇO]]*Table_1[[#This Row],[DY]]</f>
        <v/>
      </c>
      <c r="M374" s="62">
        <f>$E$13</f>
        <v/>
      </c>
      <c r="N374" s="62" t="n">
        <v>0.3</v>
      </c>
      <c r="O374" s="62">
        <f>Table_1[[#This Row],[DPA]]/Table_1[[#This Row],[LPA]]</f>
        <v/>
      </c>
      <c r="P374" s="62">
        <f>IF(Table_1[[#This Row],[PAYOUT]]&lt;=40%,"CRESCIMENTO",IF(Table_1[[#This Row],[PAYOUT]]&lt;=60%,"INDEFINIDO","DIVIDENDOS"))</f>
        <v/>
      </c>
      <c r="Q374" s="62">
        <f>VLOOKUP(Table_1[[#This Row],[AÇÕES]],'Dados Status Invest'!A:R,18,0)/100</f>
        <v/>
      </c>
      <c r="R374" s="62">
        <f>VLOOKUP(Table_1[[#This Row],[AÇÕES]],'Dados Status Invest'!A:Y,25,0)/100</f>
        <v/>
      </c>
      <c r="S374" s="62">
        <f>(1-Table_1[[#This Row],[PAYOUT]])*Table_1[[#This Row],[ROE]]</f>
        <v/>
      </c>
      <c r="T374" s="98">
        <f>AVERAGE(Table_1[[#This Row],[CAGR LUCRO 5A]],Table_1[[#This Row],[CRESCIMENTO DAMODARAN]])</f>
        <v/>
      </c>
      <c r="U374" s="64">
        <f>(Table_1[[#This Row],[PREÇO JUSTO BAZIN]]-Table_1[[#This Row],[PREÇO]])/Table_1[[#This Row],[PREÇO JUSTO BAZIN]]</f>
        <v/>
      </c>
      <c r="V374" s="129">
        <f>Table_1[[#This Row],[DPA]]/6%</f>
        <v/>
      </c>
      <c r="W374" s="129">
        <f>Table_1[[#This Row],[PREÇO JUSTO BAZIN]]/(1+Table_1[[#This Row],[MARGEM DE DESCONTO]])</f>
        <v/>
      </c>
      <c r="X374" s="64">
        <f>(Table_1[[#This Row],[PREÇO JUSTO GRAHAM]]-Table_1[[#This Row],[PREÇO]])/Table_1[[#This Row],[PREÇO JUSTO GRAHAM]]</f>
        <v/>
      </c>
      <c r="Y374" s="129">
        <f>(22.5*Table_1[[#This Row],[LPA]]*Table_1[[#This Row],[VPA]])^0.5</f>
        <v/>
      </c>
      <c r="Z374" s="129">
        <f>Table_1[[#This Row],[PREÇO JUSTO GRAHAM]]/(1+Table_1[[#This Row],[MARGEM DE DESCONTO]])</f>
        <v/>
      </c>
      <c r="AA374" s="64">
        <f>(Table_1[[#This Row],[PREÇO JUSTO GORDON]]-Table_1[[#This Row],[PREÇO]])/Table_1[[#This Row],[PREÇO JUSTO GORDON]]</f>
        <v/>
      </c>
      <c r="AB374" s="130">
        <f>Table_1[[#This Row],[DPA]]*(1+Table_1[[#This Row],[MÉDIA DE CRESCIMENTO]])</f>
        <v/>
      </c>
      <c r="AC374" s="130">
        <f>Table_1[[#This Row],[D1]]/(Table_1[[#This Row],[RISCO]]-Table_1[[#This Row],[MÉDIA DE CRESCIMENTO]])</f>
        <v/>
      </c>
      <c r="AD374" s="130">
        <f>Table_1[[#This Row],[PREÇO JUSTO GORDON]]/(1+Table_1[[#This Row],[MARGEM DE DESCONTO]])</f>
        <v/>
      </c>
      <c r="AE374" s="78">
        <f>Table_1[[#This Row],[P/L]]/Table_1[[#This Row],[MÉDIA DE CRESCIMENTO]]</f>
        <v/>
      </c>
    </row>
    <row r="375" ht="15.75" customHeight="1">
      <c r="B375" s="77">
        <f>'Dados Status Invest'!A361</f>
        <v/>
      </c>
      <c r="C375" s="60">
        <f>VLOOKUP(Table_1[[#This Row],[AÇÕES]],'Classificação B3'!A:B,2,0)</f>
        <v/>
      </c>
      <c r="D375" s="60">
        <f>VLOOKUP(Table_1[[#This Row],[AÇÕES]],'Classificação B3'!A:D,4,0)</f>
        <v/>
      </c>
      <c r="E375" s="60">
        <f>VLOOKUP(Table_1[[#This Row],[AÇÕES]],'Classificação B3'!A:F,6,0)</f>
        <v/>
      </c>
      <c r="F375" s="60">
        <f>VLOOKUP(Table_1[[#This Row],[AÇÕES]],'Classificação B3'!A:G,7,0)</f>
        <v/>
      </c>
      <c r="G375" s="61">
        <f>VLOOKUP(Table_1[[#This Row],[AÇÕES]],'Dados Status Invest'!A:B,2,0)</f>
        <v/>
      </c>
      <c r="H375" s="62">
        <f>VLOOKUP(Table_1[[#This Row],[AÇÕES]],'Dados Status Invest'!A:C,3,0)/100</f>
        <v/>
      </c>
      <c r="I375" s="62">
        <f>VLOOKUP(Table_1[[#This Row],[AÇÕES]],'Dados Status Invest'!A:D,4,0)/100</f>
        <v/>
      </c>
      <c r="J375" s="63">
        <f>VLOOKUP(Table_1[[#This Row],[AÇÕES]],'Dados Status Invest'!A:AB,28,0)</f>
        <v/>
      </c>
      <c r="K375" s="63">
        <f>VLOOKUP(Table_1[[#This Row],[AÇÕES]],'Dados Status Invest'!A:AA,27,0)</f>
        <v/>
      </c>
      <c r="L375" s="63">
        <f>Table_1[[#This Row],[PREÇO]]*Table_1[[#This Row],[DY]]</f>
        <v/>
      </c>
      <c r="M375" s="62">
        <f>$E$13</f>
        <v/>
      </c>
      <c r="N375" s="62" t="n">
        <v>0.3</v>
      </c>
      <c r="O375" s="62">
        <f>Table_1[[#This Row],[DPA]]/Table_1[[#This Row],[LPA]]</f>
        <v/>
      </c>
      <c r="P375" s="62">
        <f>IF(Table_1[[#This Row],[PAYOUT]]&lt;=40%,"CRESCIMENTO",IF(Table_1[[#This Row],[PAYOUT]]&lt;=60%,"INDEFINIDO","DIVIDENDOS"))</f>
        <v/>
      </c>
      <c r="Q375" s="62">
        <f>VLOOKUP(Table_1[[#This Row],[AÇÕES]],'Dados Status Invest'!A:R,18,0)/100</f>
        <v/>
      </c>
      <c r="R375" s="62">
        <f>VLOOKUP(Table_1[[#This Row],[AÇÕES]],'Dados Status Invest'!A:Y,25,0)/100</f>
        <v/>
      </c>
      <c r="S375" s="62">
        <f>(1-Table_1[[#This Row],[PAYOUT]])*Table_1[[#This Row],[ROE]]</f>
        <v/>
      </c>
      <c r="T375" s="98">
        <f>AVERAGE(Table_1[[#This Row],[CAGR LUCRO 5A]],Table_1[[#This Row],[CRESCIMENTO DAMODARAN]])</f>
        <v/>
      </c>
      <c r="U375" s="64">
        <f>(Table_1[[#This Row],[PREÇO JUSTO BAZIN]]-Table_1[[#This Row],[PREÇO]])/Table_1[[#This Row],[PREÇO JUSTO BAZIN]]</f>
        <v/>
      </c>
      <c r="V375" s="129">
        <f>Table_1[[#This Row],[DPA]]/6%</f>
        <v/>
      </c>
      <c r="W375" s="129">
        <f>Table_1[[#This Row],[PREÇO JUSTO BAZIN]]/(1+Table_1[[#This Row],[MARGEM DE DESCONTO]])</f>
        <v/>
      </c>
      <c r="X375" s="64">
        <f>(Table_1[[#This Row],[PREÇO JUSTO GRAHAM]]-Table_1[[#This Row],[PREÇO]])/Table_1[[#This Row],[PREÇO JUSTO GRAHAM]]</f>
        <v/>
      </c>
      <c r="Y375" s="129">
        <f>(22.5*Table_1[[#This Row],[LPA]]*Table_1[[#This Row],[VPA]])^0.5</f>
        <v/>
      </c>
      <c r="Z375" s="129">
        <f>Table_1[[#This Row],[PREÇO JUSTO GRAHAM]]/(1+Table_1[[#This Row],[MARGEM DE DESCONTO]])</f>
        <v/>
      </c>
      <c r="AA375" s="64">
        <f>(Table_1[[#This Row],[PREÇO JUSTO GORDON]]-Table_1[[#This Row],[PREÇO]])/Table_1[[#This Row],[PREÇO JUSTO GORDON]]</f>
        <v/>
      </c>
      <c r="AB375" s="130">
        <f>Table_1[[#This Row],[DPA]]*(1+Table_1[[#This Row],[MÉDIA DE CRESCIMENTO]])</f>
        <v/>
      </c>
      <c r="AC375" s="130">
        <f>Table_1[[#This Row],[D1]]/(Table_1[[#This Row],[RISCO]]-Table_1[[#This Row],[MÉDIA DE CRESCIMENTO]])</f>
        <v/>
      </c>
      <c r="AD375" s="130">
        <f>Table_1[[#This Row],[PREÇO JUSTO GORDON]]/(1+Table_1[[#This Row],[MARGEM DE DESCONTO]])</f>
        <v/>
      </c>
      <c r="AE375" s="78">
        <f>Table_1[[#This Row],[P/L]]/Table_1[[#This Row],[MÉDIA DE CRESCIMENTO]]</f>
        <v/>
      </c>
    </row>
    <row r="376" ht="15.75" customHeight="1">
      <c r="B376" s="77">
        <f>'Dados Status Invest'!A362</f>
        <v/>
      </c>
      <c r="C376" s="60">
        <f>VLOOKUP(Table_1[[#This Row],[AÇÕES]],'Classificação B3'!A:B,2,0)</f>
        <v/>
      </c>
      <c r="D376" s="60">
        <f>VLOOKUP(Table_1[[#This Row],[AÇÕES]],'Classificação B3'!A:D,4,0)</f>
        <v/>
      </c>
      <c r="E376" s="60">
        <f>VLOOKUP(Table_1[[#This Row],[AÇÕES]],'Classificação B3'!A:F,6,0)</f>
        <v/>
      </c>
      <c r="F376" s="60">
        <f>VLOOKUP(Table_1[[#This Row],[AÇÕES]],'Classificação B3'!A:G,7,0)</f>
        <v/>
      </c>
      <c r="G376" s="61">
        <f>VLOOKUP(Table_1[[#This Row],[AÇÕES]],'Dados Status Invest'!A:B,2,0)</f>
        <v/>
      </c>
      <c r="H376" s="62">
        <f>VLOOKUP(Table_1[[#This Row],[AÇÕES]],'Dados Status Invest'!A:C,3,0)/100</f>
        <v/>
      </c>
      <c r="I376" s="62">
        <f>VLOOKUP(Table_1[[#This Row],[AÇÕES]],'Dados Status Invest'!A:D,4,0)/100</f>
        <v/>
      </c>
      <c r="J376" s="63">
        <f>VLOOKUP(Table_1[[#This Row],[AÇÕES]],'Dados Status Invest'!A:AB,28,0)</f>
        <v/>
      </c>
      <c r="K376" s="63">
        <f>VLOOKUP(Table_1[[#This Row],[AÇÕES]],'Dados Status Invest'!A:AA,27,0)</f>
        <v/>
      </c>
      <c r="L376" s="63">
        <f>Table_1[[#This Row],[PREÇO]]*Table_1[[#This Row],[DY]]</f>
        <v/>
      </c>
      <c r="M376" s="62">
        <f>$E$13</f>
        <v/>
      </c>
      <c r="N376" s="62" t="n">
        <v>0.3</v>
      </c>
      <c r="O376" s="62">
        <f>Table_1[[#This Row],[DPA]]/Table_1[[#This Row],[LPA]]</f>
        <v/>
      </c>
      <c r="P376" s="62">
        <f>IF(Table_1[[#This Row],[PAYOUT]]&lt;=40%,"CRESCIMENTO",IF(Table_1[[#This Row],[PAYOUT]]&lt;=60%,"INDEFINIDO","DIVIDENDOS"))</f>
        <v/>
      </c>
      <c r="Q376" s="62">
        <f>VLOOKUP(Table_1[[#This Row],[AÇÕES]],'Dados Status Invest'!A:R,18,0)/100</f>
        <v/>
      </c>
      <c r="R376" s="62">
        <f>VLOOKUP(Table_1[[#This Row],[AÇÕES]],'Dados Status Invest'!A:Y,25,0)/100</f>
        <v/>
      </c>
      <c r="S376" s="62">
        <f>(1-Table_1[[#This Row],[PAYOUT]])*Table_1[[#This Row],[ROE]]</f>
        <v/>
      </c>
      <c r="T376" s="98">
        <f>AVERAGE(Table_1[[#This Row],[CAGR LUCRO 5A]],Table_1[[#This Row],[CRESCIMENTO DAMODARAN]])</f>
        <v/>
      </c>
      <c r="U376" s="64">
        <f>(Table_1[[#This Row],[PREÇO JUSTO BAZIN]]-Table_1[[#This Row],[PREÇO]])/Table_1[[#This Row],[PREÇO JUSTO BAZIN]]</f>
        <v/>
      </c>
      <c r="V376" s="129">
        <f>Table_1[[#This Row],[DPA]]/6%</f>
        <v/>
      </c>
      <c r="W376" s="129">
        <f>Table_1[[#This Row],[PREÇO JUSTO BAZIN]]/(1+Table_1[[#This Row],[MARGEM DE DESCONTO]])</f>
        <v/>
      </c>
      <c r="X376" s="64">
        <f>(Table_1[[#This Row],[PREÇO JUSTO GRAHAM]]-Table_1[[#This Row],[PREÇO]])/Table_1[[#This Row],[PREÇO JUSTO GRAHAM]]</f>
        <v/>
      </c>
      <c r="Y376" s="129">
        <f>(22.5*Table_1[[#This Row],[LPA]]*Table_1[[#This Row],[VPA]])^0.5</f>
        <v/>
      </c>
      <c r="Z376" s="129">
        <f>Table_1[[#This Row],[PREÇO JUSTO GRAHAM]]/(1+Table_1[[#This Row],[MARGEM DE DESCONTO]])</f>
        <v/>
      </c>
      <c r="AA376" s="64">
        <f>(Table_1[[#This Row],[PREÇO JUSTO GORDON]]-Table_1[[#This Row],[PREÇO]])/Table_1[[#This Row],[PREÇO JUSTO GORDON]]</f>
        <v/>
      </c>
      <c r="AB376" s="130">
        <f>Table_1[[#This Row],[DPA]]*(1+Table_1[[#This Row],[MÉDIA DE CRESCIMENTO]])</f>
        <v/>
      </c>
      <c r="AC376" s="130">
        <f>Table_1[[#This Row],[D1]]/(Table_1[[#This Row],[RISCO]]-Table_1[[#This Row],[MÉDIA DE CRESCIMENTO]])</f>
        <v/>
      </c>
      <c r="AD376" s="130">
        <f>Table_1[[#This Row],[PREÇO JUSTO GORDON]]/(1+Table_1[[#This Row],[MARGEM DE DESCONTO]])</f>
        <v/>
      </c>
      <c r="AE376" s="78">
        <f>Table_1[[#This Row],[P/L]]/Table_1[[#This Row],[MÉDIA DE CRESCIMENTO]]</f>
        <v/>
      </c>
    </row>
    <row r="377" ht="15.75" customHeight="1">
      <c r="B377" s="77">
        <f>'Dados Status Invest'!A363</f>
        <v/>
      </c>
      <c r="C377" s="60">
        <f>VLOOKUP(Table_1[[#This Row],[AÇÕES]],'Classificação B3'!A:B,2,0)</f>
        <v/>
      </c>
      <c r="D377" s="60">
        <f>VLOOKUP(Table_1[[#This Row],[AÇÕES]],'Classificação B3'!A:D,4,0)</f>
        <v/>
      </c>
      <c r="E377" s="60">
        <f>VLOOKUP(Table_1[[#This Row],[AÇÕES]],'Classificação B3'!A:F,6,0)</f>
        <v/>
      </c>
      <c r="F377" s="60">
        <f>VLOOKUP(Table_1[[#This Row],[AÇÕES]],'Classificação B3'!A:G,7,0)</f>
        <v/>
      </c>
      <c r="G377" s="61">
        <f>VLOOKUP(Table_1[[#This Row],[AÇÕES]],'Dados Status Invest'!A:B,2,0)</f>
        <v/>
      </c>
      <c r="H377" s="62">
        <f>VLOOKUP(Table_1[[#This Row],[AÇÕES]],'Dados Status Invest'!A:C,3,0)/100</f>
        <v/>
      </c>
      <c r="I377" s="62">
        <f>VLOOKUP(Table_1[[#This Row],[AÇÕES]],'Dados Status Invest'!A:D,4,0)/100</f>
        <v/>
      </c>
      <c r="J377" s="63">
        <f>VLOOKUP(Table_1[[#This Row],[AÇÕES]],'Dados Status Invest'!A:AB,28,0)</f>
        <v/>
      </c>
      <c r="K377" s="63">
        <f>VLOOKUP(Table_1[[#This Row],[AÇÕES]],'Dados Status Invest'!A:AA,27,0)</f>
        <v/>
      </c>
      <c r="L377" s="63">
        <f>Table_1[[#This Row],[PREÇO]]*Table_1[[#This Row],[DY]]</f>
        <v/>
      </c>
      <c r="M377" s="62">
        <f>$E$13</f>
        <v/>
      </c>
      <c r="N377" s="62" t="n">
        <v>0.3</v>
      </c>
      <c r="O377" s="62">
        <f>Table_1[[#This Row],[DPA]]/Table_1[[#This Row],[LPA]]</f>
        <v/>
      </c>
      <c r="P377" s="62">
        <f>IF(Table_1[[#This Row],[PAYOUT]]&lt;=40%,"CRESCIMENTO",IF(Table_1[[#This Row],[PAYOUT]]&lt;=60%,"INDEFINIDO","DIVIDENDOS"))</f>
        <v/>
      </c>
      <c r="Q377" s="62">
        <f>VLOOKUP(Table_1[[#This Row],[AÇÕES]],'Dados Status Invest'!A:R,18,0)/100</f>
        <v/>
      </c>
      <c r="R377" s="62">
        <f>VLOOKUP(Table_1[[#This Row],[AÇÕES]],'Dados Status Invest'!A:Y,25,0)/100</f>
        <v/>
      </c>
      <c r="S377" s="62">
        <f>(1-Table_1[[#This Row],[PAYOUT]])*Table_1[[#This Row],[ROE]]</f>
        <v/>
      </c>
      <c r="T377" s="98">
        <f>AVERAGE(Table_1[[#This Row],[CAGR LUCRO 5A]],Table_1[[#This Row],[CRESCIMENTO DAMODARAN]])</f>
        <v/>
      </c>
      <c r="U377" s="64">
        <f>(Table_1[[#This Row],[PREÇO JUSTO BAZIN]]-Table_1[[#This Row],[PREÇO]])/Table_1[[#This Row],[PREÇO JUSTO BAZIN]]</f>
        <v/>
      </c>
      <c r="V377" s="129">
        <f>Table_1[[#This Row],[DPA]]/6%</f>
        <v/>
      </c>
      <c r="W377" s="129">
        <f>Table_1[[#This Row],[PREÇO JUSTO BAZIN]]/(1+Table_1[[#This Row],[MARGEM DE DESCONTO]])</f>
        <v/>
      </c>
      <c r="X377" s="64">
        <f>(Table_1[[#This Row],[PREÇO JUSTO GRAHAM]]-Table_1[[#This Row],[PREÇO]])/Table_1[[#This Row],[PREÇO JUSTO GRAHAM]]</f>
        <v/>
      </c>
      <c r="Y377" s="129">
        <f>(22.5*Table_1[[#This Row],[LPA]]*Table_1[[#This Row],[VPA]])^0.5</f>
        <v/>
      </c>
      <c r="Z377" s="129">
        <f>Table_1[[#This Row],[PREÇO JUSTO GRAHAM]]/(1+Table_1[[#This Row],[MARGEM DE DESCONTO]])</f>
        <v/>
      </c>
      <c r="AA377" s="64">
        <f>(Table_1[[#This Row],[PREÇO JUSTO GORDON]]-Table_1[[#This Row],[PREÇO]])/Table_1[[#This Row],[PREÇO JUSTO GORDON]]</f>
        <v/>
      </c>
      <c r="AB377" s="130">
        <f>Table_1[[#This Row],[DPA]]*(1+Table_1[[#This Row],[MÉDIA DE CRESCIMENTO]])</f>
        <v/>
      </c>
      <c r="AC377" s="130">
        <f>Table_1[[#This Row],[D1]]/(Table_1[[#This Row],[RISCO]]-Table_1[[#This Row],[MÉDIA DE CRESCIMENTO]])</f>
        <v/>
      </c>
      <c r="AD377" s="130">
        <f>Table_1[[#This Row],[PREÇO JUSTO GORDON]]/(1+Table_1[[#This Row],[MARGEM DE DESCONTO]])</f>
        <v/>
      </c>
      <c r="AE377" s="78">
        <f>Table_1[[#This Row],[P/L]]/Table_1[[#This Row],[MÉDIA DE CRESCIMENTO]]</f>
        <v/>
      </c>
    </row>
    <row r="378" ht="15.75" customHeight="1">
      <c r="B378" s="77">
        <f>'Dados Status Invest'!A364</f>
        <v/>
      </c>
      <c r="C378" s="60">
        <f>VLOOKUP(Table_1[[#This Row],[AÇÕES]],'Classificação B3'!A:B,2,0)</f>
        <v/>
      </c>
      <c r="D378" s="60">
        <f>VLOOKUP(Table_1[[#This Row],[AÇÕES]],'Classificação B3'!A:D,4,0)</f>
        <v/>
      </c>
      <c r="E378" s="60">
        <f>VLOOKUP(Table_1[[#This Row],[AÇÕES]],'Classificação B3'!A:F,6,0)</f>
        <v/>
      </c>
      <c r="F378" s="60">
        <f>VLOOKUP(Table_1[[#This Row],[AÇÕES]],'Classificação B3'!A:G,7,0)</f>
        <v/>
      </c>
      <c r="G378" s="61">
        <f>VLOOKUP(Table_1[[#This Row],[AÇÕES]],'Dados Status Invest'!A:B,2,0)</f>
        <v/>
      </c>
      <c r="H378" s="62">
        <f>VLOOKUP(Table_1[[#This Row],[AÇÕES]],'Dados Status Invest'!A:C,3,0)/100</f>
        <v/>
      </c>
      <c r="I378" s="62">
        <f>VLOOKUP(Table_1[[#This Row],[AÇÕES]],'Dados Status Invest'!A:D,4,0)/100</f>
        <v/>
      </c>
      <c r="J378" s="63">
        <f>VLOOKUP(Table_1[[#This Row],[AÇÕES]],'Dados Status Invest'!A:AB,28,0)</f>
        <v/>
      </c>
      <c r="K378" s="63">
        <f>VLOOKUP(Table_1[[#This Row],[AÇÕES]],'Dados Status Invest'!A:AA,27,0)</f>
        <v/>
      </c>
      <c r="L378" s="63">
        <f>Table_1[[#This Row],[PREÇO]]*Table_1[[#This Row],[DY]]</f>
        <v/>
      </c>
      <c r="M378" s="62">
        <f>$E$13</f>
        <v/>
      </c>
      <c r="N378" s="62" t="n">
        <v>0.3</v>
      </c>
      <c r="O378" s="62">
        <f>Table_1[[#This Row],[DPA]]/Table_1[[#This Row],[LPA]]</f>
        <v/>
      </c>
      <c r="P378" s="62">
        <f>IF(Table_1[[#This Row],[PAYOUT]]&lt;=40%,"CRESCIMENTO",IF(Table_1[[#This Row],[PAYOUT]]&lt;=60%,"INDEFINIDO","DIVIDENDOS"))</f>
        <v/>
      </c>
      <c r="Q378" s="62">
        <f>VLOOKUP(Table_1[[#This Row],[AÇÕES]],'Dados Status Invest'!A:R,18,0)/100</f>
        <v/>
      </c>
      <c r="R378" s="62">
        <f>VLOOKUP(Table_1[[#This Row],[AÇÕES]],'Dados Status Invest'!A:Y,25,0)/100</f>
        <v/>
      </c>
      <c r="S378" s="62">
        <f>(1-Table_1[[#This Row],[PAYOUT]])*Table_1[[#This Row],[ROE]]</f>
        <v/>
      </c>
      <c r="T378" s="98">
        <f>AVERAGE(Table_1[[#This Row],[CAGR LUCRO 5A]],Table_1[[#This Row],[CRESCIMENTO DAMODARAN]])</f>
        <v/>
      </c>
      <c r="U378" s="64">
        <f>(Table_1[[#This Row],[PREÇO JUSTO BAZIN]]-Table_1[[#This Row],[PREÇO]])/Table_1[[#This Row],[PREÇO JUSTO BAZIN]]</f>
        <v/>
      </c>
      <c r="V378" s="129">
        <f>Table_1[[#This Row],[DPA]]/6%</f>
        <v/>
      </c>
      <c r="W378" s="129">
        <f>Table_1[[#This Row],[PREÇO JUSTO BAZIN]]/(1+Table_1[[#This Row],[MARGEM DE DESCONTO]])</f>
        <v/>
      </c>
      <c r="X378" s="64">
        <f>(Table_1[[#This Row],[PREÇO JUSTO GRAHAM]]-Table_1[[#This Row],[PREÇO]])/Table_1[[#This Row],[PREÇO JUSTO GRAHAM]]</f>
        <v/>
      </c>
      <c r="Y378" s="129">
        <f>(22.5*Table_1[[#This Row],[LPA]]*Table_1[[#This Row],[VPA]])^0.5</f>
        <v/>
      </c>
      <c r="Z378" s="129">
        <f>Table_1[[#This Row],[PREÇO JUSTO GRAHAM]]/(1+Table_1[[#This Row],[MARGEM DE DESCONTO]])</f>
        <v/>
      </c>
      <c r="AA378" s="64">
        <f>(Table_1[[#This Row],[PREÇO JUSTO GORDON]]-Table_1[[#This Row],[PREÇO]])/Table_1[[#This Row],[PREÇO JUSTO GORDON]]</f>
        <v/>
      </c>
      <c r="AB378" s="130">
        <f>Table_1[[#This Row],[DPA]]*(1+Table_1[[#This Row],[MÉDIA DE CRESCIMENTO]])</f>
        <v/>
      </c>
      <c r="AC378" s="130">
        <f>Table_1[[#This Row],[D1]]/(Table_1[[#This Row],[RISCO]]-Table_1[[#This Row],[MÉDIA DE CRESCIMENTO]])</f>
        <v/>
      </c>
      <c r="AD378" s="130">
        <f>Table_1[[#This Row],[PREÇO JUSTO GORDON]]/(1+Table_1[[#This Row],[MARGEM DE DESCONTO]])</f>
        <v/>
      </c>
      <c r="AE378" s="78">
        <f>Table_1[[#This Row],[P/L]]/Table_1[[#This Row],[MÉDIA DE CRESCIMENTO]]</f>
        <v/>
      </c>
    </row>
    <row r="379" ht="15.75" customHeight="1">
      <c r="B379" s="77">
        <f>'Dados Status Invest'!A365</f>
        <v/>
      </c>
      <c r="C379" s="60">
        <f>VLOOKUP(Table_1[[#This Row],[AÇÕES]],'Classificação B3'!A:B,2,0)</f>
        <v/>
      </c>
      <c r="D379" s="60">
        <f>VLOOKUP(Table_1[[#This Row],[AÇÕES]],'Classificação B3'!A:D,4,0)</f>
        <v/>
      </c>
      <c r="E379" s="60">
        <f>VLOOKUP(Table_1[[#This Row],[AÇÕES]],'Classificação B3'!A:F,6,0)</f>
        <v/>
      </c>
      <c r="F379" s="60">
        <f>VLOOKUP(Table_1[[#This Row],[AÇÕES]],'Classificação B3'!A:G,7,0)</f>
        <v/>
      </c>
      <c r="G379" s="61">
        <f>VLOOKUP(Table_1[[#This Row],[AÇÕES]],'Dados Status Invest'!A:B,2,0)</f>
        <v/>
      </c>
      <c r="H379" s="62">
        <f>VLOOKUP(Table_1[[#This Row],[AÇÕES]],'Dados Status Invest'!A:C,3,0)/100</f>
        <v/>
      </c>
      <c r="I379" s="62">
        <f>VLOOKUP(Table_1[[#This Row],[AÇÕES]],'Dados Status Invest'!A:D,4,0)/100</f>
        <v/>
      </c>
      <c r="J379" s="63">
        <f>VLOOKUP(Table_1[[#This Row],[AÇÕES]],'Dados Status Invest'!A:AB,28,0)</f>
        <v/>
      </c>
      <c r="K379" s="63">
        <f>VLOOKUP(Table_1[[#This Row],[AÇÕES]],'Dados Status Invest'!A:AA,27,0)</f>
        <v/>
      </c>
      <c r="L379" s="63">
        <f>Table_1[[#This Row],[PREÇO]]*Table_1[[#This Row],[DY]]</f>
        <v/>
      </c>
      <c r="M379" s="62">
        <f>$E$13</f>
        <v/>
      </c>
      <c r="N379" s="62" t="n">
        <v>0.3</v>
      </c>
      <c r="O379" s="62">
        <f>Table_1[[#This Row],[DPA]]/Table_1[[#This Row],[LPA]]</f>
        <v/>
      </c>
      <c r="P379" s="62">
        <f>IF(Table_1[[#This Row],[PAYOUT]]&lt;=40%,"CRESCIMENTO",IF(Table_1[[#This Row],[PAYOUT]]&lt;=60%,"INDEFINIDO","DIVIDENDOS"))</f>
        <v/>
      </c>
      <c r="Q379" s="62">
        <f>VLOOKUP(Table_1[[#This Row],[AÇÕES]],'Dados Status Invest'!A:R,18,0)/100</f>
        <v/>
      </c>
      <c r="R379" s="62">
        <f>VLOOKUP(Table_1[[#This Row],[AÇÕES]],'Dados Status Invest'!A:Y,25,0)/100</f>
        <v/>
      </c>
      <c r="S379" s="62">
        <f>(1-Table_1[[#This Row],[PAYOUT]])*Table_1[[#This Row],[ROE]]</f>
        <v/>
      </c>
      <c r="T379" s="98">
        <f>AVERAGE(Table_1[[#This Row],[CAGR LUCRO 5A]],Table_1[[#This Row],[CRESCIMENTO DAMODARAN]])</f>
        <v/>
      </c>
      <c r="U379" s="64">
        <f>(Table_1[[#This Row],[PREÇO JUSTO BAZIN]]-Table_1[[#This Row],[PREÇO]])/Table_1[[#This Row],[PREÇO JUSTO BAZIN]]</f>
        <v/>
      </c>
      <c r="V379" s="129">
        <f>Table_1[[#This Row],[DPA]]/6%</f>
        <v/>
      </c>
      <c r="W379" s="129">
        <f>Table_1[[#This Row],[PREÇO JUSTO BAZIN]]/(1+Table_1[[#This Row],[MARGEM DE DESCONTO]])</f>
        <v/>
      </c>
      <c r="X379" s="64">
        <f>(Table_1[[#This Row],[PREÇO JUSTO GRAHAM]]-Table_1[[#This Row],[PREÇO]])/Table_1[[#This Row],[PREÇO JUSTO GRAHAM]]</f>
        <v/>
      </c>
      <c r="Y379" s="129">
        <f>(22.5*Table_1[[#This Row],[LPA]]*Table_1[[#This Row],[VPA]])^0.5</f>
        <v/>
      </c>
      <c r="Z379" s="129">
        <f>Table_1[[#This Row],[PREÇO JUSTO GRAHAM]]/(1+Table_1[[#This Row],[MARGEM DE DESCONTO]])</f>
        <v/>
      </c>
      <c r="AA379" s="64">
        <f>(Table_1[[#This Row],[PREÇO JUSTO GORDON]]-Table_1[[#This Row],[PREÇO]])/Table_1[[#This Row],[PREÇO JUSTO GORDON]]</f>
        <v/>
      </c>
      <c r="AB379" s="130">
        <f>Table_1[[#This Row],[DPA]]*(1+Table_1[[#This Row],[MÉDIA DE CRESCIMENTO]])</f>
        <v/>
      </c>
      <c r="AC379" s="130">
        <f>Table_1[[#This Row],[D1]]/(Table_1[[#This Row],[RISCO]]-Table_1[[#This Row],[MÉDIA DE CRESCIMENTO]])</f>
        <v/>
      </c>
      <c r="AD379" s="130">
        <f>Table_1[[#This Row],[PREÇO JUSTO GORDON]]/(1+Table_1[[#This Row],[MARGEM DE DESCONTO]])</f>
        <v/>
      </c>
      <c r="AE379" s="78">
        <f>Table_1[[#This Row],[P/L]]/Table_1[[#This Row],[MÉDIA DE CRESCIMENTO]]</f>
        <v/>
      </c>
    </row>
    <row r="380" ht="15.75" customHeight="1">
      <c r="B380" s="77">
        <f>'Dados Status Invest'!A366</f>
        <v/>
      </c>
      <c r="C380" s="60">
        <f>VLOOKUP(Table_1[[#This Row],[AÇÕES]],'Classificação B3'!A:B,2,0)</f>
        <v/>
      </c>
      <c r="D380" s="60">
        <f>VLOOKUP(Table_1[[#This Row],[AÇÕES]],'Classificação B3'!A:D,4,0)</f>
        <v/>
      </c>
      <c r="E380" s="60">
        <f>VLOOKUP(Table_1[[#This Row],[AÇÕES]],'Classificação B3'!A:F,6,0)</f>
        <v/>
      </c>
      <c r="F380" s="60">
        <f>VLOOKUP(Table_1[[#This Row],[AÇÕES]],'Classificação B3'!A:G,7,0)</f>
        <v/>
      </c>
      <c r="G380" s="61">
        <f>VLOOKUP(Table_1[[#This Row],[AÇÕES]],'Dados Status Invest'!A:B,2,0)</f>
        <v/>
      </c>
      <c r="H380" s="62">
        <f>VLOOKUP(Table_1[[#This Row],[AÇÕES]],'Dados Status Invest'!A:C,3,0)/100</f>
        <v/>
      </c>
      <c r="I380" s="62">
        <f>VLOOKUP(Table_1[[#This Row],[AÇÕES]],'Dados Status Invest'!A:D,4,0)/100</f>
        <v/>
      </c>
      <c r="J380" s="63">
        <f>VLOOKUP(Table_1[[#This Row],[AÇÕES]],'Dados Status Invest'!A:AB,28,0)</f>
        <v/>
      </c>
      <c r="K380" s="63">
        <f>VLOOKUP(Table_1[[#This Row],[AÇÕES]],'Dados Status Invest'!A:AA,27,0)</f>
        <v/>
      </c>
      <c r="L380" s="63">
        <f>Table_1[[#This Row],[PREÇO]]*Table_1[[#This Row],[DY]]</f>
        <v/>
      </c>
      <c r="M380" s="62">
        <f>$E$13</f>
        <v/>
      </c>
      <c r="N380" s="62" t="n">
        <v>0.3</v>
      </c>
      <c r="O380" s="62">
        <f>Table_1[[#This Row],[DPA]]/Table_1[[#This Row],[LPA]]</f>
        <v/>
      </c>
      <c r="P380" s="62">
        <f>IF(Table_1[[#This Row],[PAYOUT]]&lt;=40%,"CRESCIMENTO",IF(Table_1[[#This Row],[PAYOUT]]&lt;=60%,"INDEFINIDO","DIVIDENDOS"))</f>
        <v/>
      </c>
      <c r="Q380" s="62">
        <f>VLOOKUP(Table_1[[#This Row],[AÇÕES]],'Dados Status Invest'!A:R,18,0)/100</f>
        <v/>
      </c>
      <c r="R380" s="62">
        <f>VLOOKUP(Table_1[[#This Row],[AÇÕES]],'Dados Status Invest'!A:Y,25,0)/100</f>
        <v/>
      </c>
      <c r="S380" s="62">
        <f>(1-Table_1[[#This Row],[PAYOUT]])*Table_1[[#This Row],[ROE]]</f>
        <v/>
      </c>
      <c r="T380" s="98">
        <f>AVERAGE(Table_1[[#This Row],[CAGR LUCRO 5A]],Table_1[[#This Row],[CRESCIMENTO DAMODARAN]])</f>
        <v/>
      </c>
      <c r="U380" s="64">
        <f>(Table_1[[#This Row],[PREÇO JUSTO BAZIN]]-Table_1[[#This Row],[PREÇO]])/Table_1[[#This Row],[PREÇO JUSTO BAZIN]]</f>
        <v/>
      </c>
      <c r="V380" s="129">
        <f>Table_1[[#This Row],[DPA]]/6%</f>
        <v/>
      </c>
      <c r="W380" s="129">
        <f>Table_1[[#This Row],[PREÇO JUSTO BAZIN]]/(1+Table_1[[#This Row],[MARGEM DE DESCONTO]])</f>
        <v/>
      </c>
      <c r="X380" s="64">
        <f>(Table_1[[#This Row],[PREÇO JUSTO GRAHAM]]-Table_1[[#This Row],[PREÇO]])/Table_1[[#This Row],[PREÇO JUSTO GRAHAM]]</f>
        <v/>
      </c>
      <c r="Y380" s="129">
        <f>(22.5*Table_1[[#This Row],[LPA]]*Table_1[[#This Row],[VPA]])^0.5</f>
        <v/>
      </c>
      <c r="Z380" s="129">
        <f>Table_1[[#This Row],[PREÇO JUSTO GRAHAM]]/(1+Table_1[[#This Row],[MARGEM DE DESCONTO]])</f>
        <v/>
      </c>
      <c r="AA380" s="64">
        <f>(Table_1[[#This Row],[PREÇO JUSTO GORDON]]-Table_1[[#This Row],[PREÇO]])/Table_1[[#This Row],[PREÇO JUSTO GORDON]]</f>
        <v/>
      </c>
      <c r="AB380" s="130">
        <f>Table_1[[#This Row],[DPA]]*(1+Table_1[[#This Row],[MÉDIA DE CRESCIMENTO]])</f>
        <v/>
      </c>
      <c r="AC380" s="130">
        <f>Table_1[[#This Row],[D1]]/(Table_1[[#This Row],[RISCO]]-Table_1[[#This Row],[MÉDIA DE CRESCIMENTO]])</f>
        <v/>
      </c>
      <c r="AD380" s="130">
        <f>Table_1[[#This Row],[PREÇO JUSTO GORDON]]/(1+Table_1[[#This Row],[MARGEM DE DESCONTO]])</f>
        <v/>
      </c>
      <c r="AE380" s="78">
        <f>Table_1[[#This Row],[P/L]]/Table_1[[#This Row],[MÉDIA DE CRESCIMENTO]]</f>
        <v/>
      </c>
    </row>
    <row r="381" ht="15.75" customHeight="1">
      <c r="B381" s="77">
        <f>'Dados Status Invest'!A367</f>
        <v/>
      </c>
      <c r="C381" s="60">
        <f>VLOOKUP(Table_1[[#This Row],[AÇÕES]],'Classificação B3'!A:B,2,0)</f>
        <v/>
      </c>
      <c r="D381" s="60">
        <f>VLOOKUP(Table_1[[#This Row],[AÇÕES]],'Classificação B3'!A:D,4,0)</f>
        <v/>
      </c>
      <c r="E381" s="60">
        <f>VLOOKUP(Table_1[[#This Row],[AÇÕES]],'Classificação B3'!A:F,6,0)</f>
        <v/>
      </c>
      <c r="F381" s="60">
        <f>VLOOKUP(Table_1[[#This Row],[AÇÕES]],'Classificação B3'!A:G,7,0)</f>
        <v/>
      </c>
      <c r="G381" s="61">
        <f>VLOOKUP(Table_1[[#This Row],[AÇÕES]],'Dados Status Invest'!A:B,2,0)</f>
        <v/>
      </c>
      <c r="H381" s="62">
        <f>VLOOKUP(Table_1[[#This Row],[AÇÕES]],'Dados Status Invest'!A:C,3,0)/100</f>
        <v/>
      </c>
      <c r="I381" s="62">
        <f>VLOOKUP(Table_1[[#This Row],[AÇÕES]],'Dados Status Invest'!A:D,4,0)/100</f>
        <v/>
      </c>
      <c r="J381" s="63">
        <f>VLOOKUP(Table_1[[#This Row],[AÇÕES]],'Dados Status Invest'!A:AB,28,0)</f>
        <v/>
      </c>
      <c r="K381" s="63">
        <f>VLOOKUP(Table_1[[#This Row],[AÇÕES]],'Dados Status Invest'!A:AA,27,0)</f>
        <v/>
      </c>
      <c r="L381" s="63">
        <f>Table_1[[#This Row],[PREÇO]]*Table_1[[#This Row],[DY]]</f>
        <v/>
      </c>
      <c r="M381" s="62">
        <f>$E$13</f>
        <v/>
      </c>
      <c r="N381" s="62" t="n">
        <v>0.3</v>
      </c>
      <c r="O381" s="62">
        <f>Table_1[[#This Row],[DPA]]/Table_1[[#This Row],[LPA]]</f>
        <v/>
      </c>
      <c r="P381" s="62">
        <f>IF(Table_1[[#This Row],[PAYOUT]]&lt;=40%,"CRESCIMENTO",IF(Table_1[[#This Row],[PAYOUT]]&lt;=60%,"INDEFINIDO","DIVIDENDOS"))</f>
        <v/>
      </c>
      <c r="Q381" s="62">
        <f>VLOOKUP(Table_1[[#This Row],[AÇÕES]],'Dados Status Invest'!A:R,18,0)/100</f>
        <v/>
      </c>
      <c r="R381" s="62">
        <f>VLOOKUP(Table_1[[#This Row],[AÇÕES]],'Dados Status Invest'!A:Y,25,0)/100</f>
        <v/>
      </c>
      <c r="S381" s="62">
        <f>(1-Table_1[[#This Row],[PAYOUT]])*Table_1[[#This Row],[ROE]]</f>
        <v/>
      </c>
      <c r="T381" s="98">
        <f>AVERAGE(Table_1[[#This Row],[CAGR LUCRO 5A]],Table_1[[#This Row],[CRESCIMENTO DAMODARAN]])</f>
        <v/>
      </c>
      <c r="U381" s="64">
        <f>(Table_1[[#This Row],[PREÇO JUSTO BAZIN]]-Table_1[[#This Row],[PREÇO]])/Table_1[[#This Row],[PREÇO JUSTO BAZIN]]</f>
        <v/>
      </c>
      <c r="V381" s="129">
        <f>Table_1[[#This Row],[DPA]]/6%</f>
        <v/>
      </c>
      <c r="W381" s="129">
        <f>Table_1[[#This Row],[PREÇO JUSTO BAZIN]]/(1+Table_1[[#This Row],[MARGEM DE DESCONTO]])</f>
        <v/>
      </c>
      <c r="X381" s="64">
        <f>(Table_1[[#This Row],[PREÇO JUSTO GRAHAM]]-Table_1[[#This Row],[PREÇO]])/Table_1[[#This Row],[PREÇO JUSTO GRAHAM]]</f>
        <v/>
      </c>
      <c r="Y381" s="129">
        <f>(22.5*Table_1[[#This Row],[LPA]]*Table_1[[#This Row],[VPA]])^0.5</f>
        <v/>
      </c>
      <c r="Z381" s="129">
        <f>Table_1[[#This Row],[PREÇO JUSTO GRAHAM]]/(1+Table_1[[#This Row],[MARGEM DE DESCONTO]])</f>
        <v/>
      </c>
      <c r="AA381" s="64">
        <f>(Table_1[[#This Row],[PREÇO JUSTO GORDON]]-Table_1[[#This Row],[PREÇO]])/Table_1[[#This Row],[PREÇO JUSTO GORDON]]</f>
        <v/>
      </c>
      <c r="AB381" s="130">
        <f>Table_1[[#This Row],[DPA]]*(1+Table_1[[#This Row],[MÉDIA DE CRESCIMENTO]])</f>
        <v/>
      </c>
      <c r="AC381" s="130">
        <f>Table_1[[#This Row],[D1]]/(Table_1[[#This Row],[RISCO]]-Table_1[[#This Row],[MÉDIA DE CRESCIMENTO]])</f>
        <v/>
      </c>
      <c r="AD381" s="130">
        <f>Table_1[[#This Row],[PREÇO JUSTO GORDON]]/(1+Table_1[[#This Row],[MARGEM DE DESCONTO]])</f>
        <v/>
      </c>
      <c r="AE381" s="78">
        <f>Table_1[[#This Row],[P/L]]/Table_1[[#This Row],[MÉDIA DE CRESCIMENTO]]</f>
        <v/>
      </c>
    </row>
    <row r="382" ht="15.75" customHeight="1">
      <c r="B382" s="77">
        <f>'Dados Status Invest'!A368</f>
        <v/>
      </c>
      <c r="C382" s="60">
        <f>VLOOKUP(Table_1[[#This Row],[AÇÕES]],'Classificação B3'!A:B,2,0)</f>
        <v/>
      </c>
      <c r="D382" s="60">
        <f>VLOOKUP(Table_1[[#This Row],[AÇÕES]],'Classificação B3'!A:D,4,0)</f>
        <v/>
      </c>
      <c r="E382" s="60">
        <f>VLOOKUP(Table_1[[#This Row],[AÇÕES]],'Classificação B3'!A:F,6,0)</f>
        <v/>
      </c>
      <c r="F382" s="60">
        <f>VLOOKUP(Table_1[[#This Row],[AÇÕES]],'Classificação B3'!A:G,7,0)</f>
        <v/>
      </c>
      <c r="G382" s="61">
        <f>VLOOKUP(Table_1[[#This Row],[AÇÕES]],'Dados Status Invest'!A:B,2,0)</f>
        <v/>
      </c>
      <c r="H382" s="62">
        <f>VLOOKUP(Table_1[[#This Row],[AÇÕES]],'Dados Status Invest'!A:C,3,0)/100</f>
        <v/>
      </c>
      <c r="I382" s="62">
        <f>VLOOKUP(Table_1[[#This Row],[AÇÕES]],'Dados Status Invest'!A:D,4,0)/100</f>
        <v/>
      </c>
      <c r="J382" s="63">
        <f>VLOOKUP(Table_1[[#This Row],[AÇÕES]],'Dados Status Invest'!A:AB,28,0)</f>
        <v/>
      </c>
      <c r="K382" s="63">
        <f>VLOOKUP(Table_1[[#This Row],[AÇÕES]],'Dados Status Invest'!A:AA,27,0)</f>
        <v/>
      </c>
      <c r="L382" s="63">
        <f>Table_1[[#This Row],[PREÇO]]*Table_1[[#This Row],[DY]]</f>
        <v/>
      </c>
      <c r="M382" s="62">
        <f>$E$13</f>
        <v/>
      </c>
      <c r="N382" s="62" t="n">
        <v>0.3</v>
      </c>
      <c r="O382" s="62">
        <f>Table_1[[#This Row],[DPA]]/Table_1[[#This Row],[LPA]]</f>
        <v/>
      </c>
      <c r="P382" s="62">
        <f>IF(Table_1[[#This Row],[PAYOUT]]&lt;=40%,"CRESCIMENTO",IF(Table_1[[#This Row],[PAYOUT]]&lt;=60%,"INDEFINIDO","DIVIDENDOS"))</f>
        <v/>
      </c>
      <c r="Q382" s="62">
        <f>VLOOKUP(Table_1[[#This Row],[AÇÕES]],'Dados Status Invest'!A:R,18,0)/100</f>
        <v/>
      </c>
      <c r="R382" s="62">
        <f>VLOOKUP(Table_1[[#This Row],[AÇÕES]],'Dados Status Invest'!A:Y,25,0)/100</f>
        <v/>
      </c>
      <c r="S382" s="62">
        <f>(1-Table_1[[#This Row],[PAYOUT]])*Table_1[[#This Row],[ROE]]</f>
        <v/>
      </c>
      <c r="T382" s="98">
        <f>AVERAGE(Table_1[[#This Row],[CAGR LUCRO 5A]],Table_1[[#This Row],[CRESCIMENTO DAMODARAN]])</f>
        <v/>
      </c>
      <c r="U382" s="64">
        <f>(Table_1[[#This Row],[PREÇO JUSTO BAZIN]]-Table_1[[#This Row],[PREÇO]])/Table_1[[#This Row],[PREÇO JUSTO BAZIN]]</f>
        <v/>
      </c>
      <c r="V382" s="129">
        <f>Table_1[[#This Row],[DPA]]/6%</f>
        <v/>
      </c>
      <c r="W382" s="129">
        <f>Table_1[[#This Row],[PREÇO JUSTO BAZIN]]/(1+Table_1[[#This Row],[MARGEM DE DESCONTO]])</f>
        <v/>
      </c>
      <c r="X382" s="64">
        <f>(Table_1[[#This Row],[PREÇO JUSTO GRAHAM]]-Table_1[[#This Row],[PREÇO]])/Table_1[[#This Row],[PREÇO JUSTO GRAHAM]]</f>
        <v/>
      </c>
      <c r="Y382" s="129">
        <f>(22.5*Table_1[[#This Row],[LPA]]*Table_1[[#This Row],[VPA]])^0.5</f>
        <v/>
      </c>
      <c r="Z382" s="129">
        <f>Table_1[[#This Row],[PREÇO JUSTO GRAHAM]]/(1+Table_1[[#This Row],[MARGEM DE DESCONTO]])</f>
        <v/>
      </c>
      <c r="AA382" s="64">
        <f>(Table_1[[#This Row],[PREÇO JUSTO GORDON]]-Table_1[[#This Row],[PREÇO]])/Table_1[[#This Row],[PREÇO JUSTO GORDON]]</f>
        <v/>
      </c>
      <c r="AB382" s="130">
        <f>Table_1[[#This Row],[DPA]]*(1+Table_1[[#This Row],[MÉDIA DE CRESCIMENTO]])</f>
        <v/>
      </c>
      <c r="AC382" s="130">
        <f>Table_1[[#This Row],[D1]]/(Table_1[[#This Row],[RISCO]]-Table_1[[#This Row],[MÉDIA DE CRESCIMENTO]])</f>
        <v/>
      </c>
      <c r="AD382" s="130">
        <f>Table_1[[#This Row],[PREÇO JUSTO GORDON]]/(1+Table_1[[#This Row],[MARGEM DE DESCONTO]])</f>
        <v/>
      </c>
      <c r="AE382" s="78">
        <f>Table_1[[#This Row],[P/L]]/Table_1[[#This Row],[MÉDIA DE CRESCIMENTO]]</f>
        <v/>
      </c>
    </row>
    <row r="383" ht="15.75" customHeight="1">
      <c r="B383" s="77">
        <f>'Dados Status Invest'!A369</f>
        <v/>
      </c>
      <c r="C383" s="60">
        <f>VLOOKUP(Table_1[[#This Row],[AÇÕES]],'Classificação B3'!A:B,2,0)</f>
        <v/>
      </c>
      <c r="D383" s="60">
        <f>VLOOKUP(Table_1[[#This Row],[AÇÕES]],'Classificação B3'!A:D,4,0)</f>
        <v/>
      </c>
      <c r="E383" s="60">
        <f>VLOOKUP(Table_1[[#This Row],[AÇÕES]],'Classificação B3'!A:F,6,0)</f>
        <v/>
      </c>
      <c r="F383" s="60">
        <f>VLOOKUP(Table_1[[#This Row],[AÇÕES]],'Classificação B3'!A:G,7,0)</f>
        <v/>
      </c>
      <c r="G383" s="61">
        <f>VLOOKUP(Table_1[[#This Row],[AÇÕES]],'Dados Status Invest'!A:B,2,0)</f>
        <v/>
      </c>
      <c r="H383" s="62">
        <f>VLOOKUP(Table_1[[#This Row],[AÇÕES]],'Dados Status Invest'!A:C,3,0)/100</f>
        <v/>
      </c>
      <c r="I383" s="62">
        <f>VLOOKUP(Table_1[[#This Row],[AÇÕES]],'Dados Status Invest'!A:D,4,0)/100</f>
        <v/>
      </c>
      <c r="J383" s="63">
        <f>VLOOKUP(Table_1[[#This Row],[AÇÕES]],'Dados Status Invest'!A:AB,28,0)</f>
        <v/>
      </c>
      <c r="K383" s="63">
        <f>VLOOKUP(Table_1[[#This Row],[AÇÕES]],'Dados Status Invest'!A:AA,27,0)</f>
        <v/>
      </c>
      <c r="L383" s="63">
        <f>Table_1[[#This Row],[PREÇO]]*Table_1[[#This Row],[DY]]</f>
        <v/>
      </c>
      <c r="M383" s="62">
        <f>$E$13</f>
        <v/>
      </c>
      <c r="N383" s="62" t="n">
        <v>0.3</v>
      </c>
      <c r="O383" s="62">
        <f>Table_1[[#This Row],[DPA]]/Table_1[[#This Row],[LPA]]</f>
        <v/>
      </c>
      <c r="P383" s="62">
        <f>IF(Table_1[[#This Row],[PAYOUT]]&lt;=40%,"CRESCIMENTO",IF(Table_1[[#This Row],[PAYOUT]]&lt;=60%,"INDEFINIDO","DIVIDENDOS"))</f>
        <v/>
      </c>
      <c r="Q383" s="62">
        <f>VLOOKUP(Table_1[[#This Row],[AÇÕES]],'Dados Status Invest'!A:R,18,0)/100</f>
        <v/>
      </c>
      <c r="R383" s="62">
        <f>VLOOKUP(Table_1[[#This Row],[AÇÕES]],'Dados Status Invest'!A:Y,25,0)/100</f>
        <v/>
      </c>
      <c r="S383" s="62">
        <f>(1-Table_1[[#This Row],[PAYOUT]])*Table_1[[#This Row],[ROE]]</f>
        <v/>
      </c>
      <c r="T383" s="98">
        <f>AVERAGE(Table_1[[#This Row],[CAGR LUCRO 5A]],Table_1[[#This Row],[CRESCIMENTO DAMODARAN]])</f>
        <v/>
      </c>
      <c r="U383" s="64">
        <f>(Table_1[[#This Row],[PREÇO JUSTO BAZIN]]-Table_1[[#This Row],[PREÇO]])/Table_1[[#This Row],[PREÇO JUSTO BAZIN]]</f>
        <v/>
      </c>
      <c r="V383" s="129">
        <f>Table_1[[#This Row],[DPA]]/6%</f>
        <v/>
      </c>
      <c r="W383" s="129">
        <f>Table_1[[#This Row],[PREÇO JUSTO BAZIN]]/(1+Table_1[[#This Row],[MARGEM DE DESCONTO]])</f>
        <v/>
      </c>
      <c r="X383" s="64">
        <f>(Table_1[[#This Row],[PREÇO JUSTO GRAHAM]]-Table_1[[#This Row],[PREÇO]])/Table_1[[#This Row],[PREÇO JUSTO GRAHAM]]</f>
        <v/>
      </c>
      <c r="Y383" s="129">
        <f>(22.5*Table_1[[#This Row],[LPA]]*Table_1[[#This Row],[VPA]])^0.5</f>
        <v/>
      </c>
      <c r="Z383" s="129">
        <f>Table_1[[#This Row],[PREÇO JUSTO GRAHAM]]/(1+Table_1[[#This Row],[MARGEM DE DESCONTO]])</f>
        <v/>
      </c>
      <c r="AA383" s="64">
        <f>(Table_1[[#This Row],[PREÇO JUSTO GORDON]]-Table_1[[#This Row],[PREÇO]])/Table_1[[#This Row],[PREÇO JUSTO GORDON]]</f>
        <v/>
      </c>
      <c r="AB383" s="130">
        <f>Table_1[[#This Row],[DPA]]*(1+Table_1[[#This Row],[MÉDIA DE CRESCIMENTO]])</f>
        <v/>
      </c>
      <c r="AC383" s="130">
        <f>Table_1[[#This Row],[D1]]/(Table_1[[#This Row],[RISCO]]-Table_1[[#This Row],[MÉDIA DE CRESCIMENTO]])</f>
        <v/>
      </c>
      <c r="AD383" s="130">
        <f>Table_1[[#This Row],[PREÇO JUSTO GORDON]]/(1+Table_1[[#This Row],[MARGEM DE DESCONTO]])</f>
        <v/>
      </c>
      <c r="AE383" s="78">
        <f>Table_1[[#This Row],[P/L]]/Table_1[[#This Row],[MÉDIA DE CRESCIMENTO]]</f>
        <v/>
      </c>
    </row>
    <row r="384" ht="15.75" customHeight="1">
      <c r="B384" s="77">
        <f>'Dados Status Invest'!A370</f>
        <v/>
      </c>
      <c r="C384" s="60">
        <f>VLOOKUP(Table_1[[#This Row],[AÇÕES]],'Classificação B3'!A:B,2,0)</f>
        <v/>
      </c>
      <c r="D384" s="60">
        <f>VLOOKUP(Table_1[[#This Row],[AÇÕES]],'Classificação B3'!A:D,4,0)</f>
        <v/>
      </c>
      <c r="E384" s="60">
        <f>VLOOKUP(Table_1[[#This Row],[AÇÕES]],'Classificação B3'!A:F,6,0)</f>
        <v/>
      </c>
      <c r="F384" s="60">
        <f>VLOOKUP(Table_1[[#This Row],[AÇÕES]],'Classificação B3'!A:G,7,0)</f>
        <v/>
      </c>
      <c r="G384" s="61">
        <f>VLOOKUP(Table_1[[#This Row],[AÇÕES]],'Dados Status Invest'!A:B,2,0)</f>
        <v/>
      </c>
      <c r="H384" s="62">
        <f>VLOOKUP(Table_1[[#This Row],[AÇÕES]],'Dados Status Invest'!A:C,3,0)/100</f>
        <v/>
      </c>
      <c r="I384" s="62">
        <f>VLOOKUP(Table_1[[#This Row],[AÇÕES]],'Dados Status Invest'!A:D,4,0)/100</f>
        <v/>
      </c>
      <c r="J384" s="63">
        <f>VLOOKUP(Table_1[[#This Row],[AÇÕES]],'Dados Status Invest'!A:AB,28,0)</f>
        <v/>
      </c>
      <c r="K384" s="63">
        <f>VLOOKUP(Table_1[[#This Row],[AÇÕES]],'Dados Status Invest'!A:AA,27,0)</f>
        <v/>
      </c>
      <c r="L384" s="63">
        <f>Table_1[[#This Row],[PREÇO]]*Table_1[[#This Row],[DY]]</f>
        <v/>
      </c>
      <c r="M384" s="62">
        <f>$E$13</f>
        <v/>
      </c>
      <c r="N384" s="62" t="n">
        <v>0.3</v>
      </c>
      <c r="O384" s="62">
        <f>Table_1[[#This Row],[DPA]]/Table_1[[#This Row],[LPA]]</f>
        <v/>
      </c>
      <c r="P384" s="62">
        <f>IF(Table_1[[#This Row],[PAYOUT]]&lt;=40%,"CRESCIMENTO",IF(Table_1[[#This Row],[PAYOUT]]&lt;=60%,"INDEFINIDO","DIVIDENDOS"))</f>
        <v/>
      </c>
      <c r="Q384" s="62">
        <f>VLOOKUP(Table_1[[#This Row],[AÇÕES]],'Dados Status Invest'!A:R,18,0)/100</f>
        <v/>
      </c>
      <c r="R384" s="62">
        <f>VLOOKUP(Table_1[[#This Row],[AÇÕES]],'Dados Status Invest'!A:Y,25,0)/100</f>
        <v/>
      </c>
      <c r="S384" s="62">
        <f>(1-Table_1[[#This Row],[PAYOUT]])*Table_1[[#This Row],[ROE]]</f>
        <v/>
      </c>
      <c r="T384" s="98">
        <f>AVERAGE(Table_1[[#This Row],[CAGR LUCRO 5A]],Table_1[[#This Row],[CRESCIMENTO DAMODARAN]])</f>
        <v/>
      </c>
      <c r="U384" s="64">
        <f>(Table_1[[#This Row],[PREÇO JUSTO BAZIN]]-Table_1[[#This Row],[PREÇO]])/Table_1[[#This Row],[PREÇO JUSTO BAZIN]]</f>
        <v/>
      </c>
      <c r="V384" s="129">
        <f>Table_1[[#This Row],[DPA]]/6%</f>
        <v/>
      </c>
      <c r="W384" s="129">
        <f>Table_1[[#This Row],[PREÇO JUSTO BAZIN]]/(1+Table_1[[#This Row],[MARGEM DE DESCONTO]])</f>
        <v/>
      </c>
      <c r="X384" s="64">
        <f>(Table_1[[#This Row],[PREÇO JUSTO GRAHAM]]-Table_1[[#This Row],[PREÇO]])/Table_1[[#This Row],[PREÇO JUSTO GRAHAM]]</f>
        <v/>
      </c>
      <c r="Y384" s="129">
        <f>(22.5*Table_1[[#This Row],[LPA]]*Table_1[[#This Row],[VPA]])^0.5</f>
        <v/>
      </c>
      <c r="Z384" s="129">
        <f>Table_1[[#This Row],[PREÇO JUSTO GRAHAM]]/(1+Table_1[[#This Row],[MARGEM DE DESCONTO]])</f>
        <v/>
      </c>
      <c r="AA384" s="64">
        <f>(Table_1[[#This Row],[PREÇO JUSTO GORDON]]-Table_1[[#This Row],[PREÇO]])/Table_1[[#This Row],[PREÇO JUSTO GORDON]]</f>
        <v/>
      </c>
      <c r="AB384" s="130">
        <f>Table_1[[#This Row],[DPA]]*(1+Table_1[[#This Row],[MÉDIA DE CRESCIMENTO]])</f>
        <v/>
      </c>
      <c r="AC384" s="130">
        <f>Table_1[[#This Row],[D1]]/(Table_1[[#This Row],[RISCO]]-Table_1[[#This Row],[MÉDIA DE CRESCIMENTO]])</f>
        <v/>
      </c>
      <c r="AD384" s="130">
        <f>Table_1[[#This Row],[PREÇO JUSTO GORDON]]/(1+Table_1[[#This Row],[MARGEM DE DESCONTO]])</f>
        <v/>
      </c>
      <c r="AE384" s="78">
        <f>Table_1[[#This Row],[P/L]]/Table_1[[#This Row],[MÉDIA DE CRESCIMENTO]]</f>
        <v/>
      </c>
    </row>
    <row r="385" ht="15.75" customHeight="1">
      <c r="B385" s="77">
        <f>'Dados Status Invest'!A371</f>
        <v/>
      </c>
      <c r="C385" s="60">
        <f>VLOOKUP(Table_1[[#This Row],[AÇÕES]],'Classificação B3'!A:B,2,0)</f>
        <v/>
      </c>
      <c r="D385" s="60">
        <f>VLOOKUP(Table_1[[#This Row],[AÇÕES]],'Classificação B3'!A:D,4,0)</f>
        <v/>
      </c>
      <c r="E385" s="60">
        <f>VLOOKUP(Table_1[[#This Row],[AÇÕES]],'Classificação B3'!A:F,6,0)</f>
        <v/>
      </c>
      <c r="F385" s="60">
        <f>VLOOKUP(Table_1[[#This Row],[AÇÕES]],'Classificação B3'!A:G,7,0)</f>
        <v/>
      </c>
      <c r="G385" s="61">
        <f>VLOOKUP(Table_1[[#This Row],[AÇÕES]],'Dados Status Invest'!A:B,2,0)</f>
        <v/>
      </c>
      <c r="H385" s="62">
        <f>VLOOKUP(Table_1[[#This Row],[AÇÕES]],'Dados Status Invest'!A:C,3,0)/100</f>
        <v/>
      </c>
      <c r="I385" s="62">
        <f>VLOOKUP(Table_1[[#This Row],[AÇÕES]],'Dados Status Invest'!A:D,4,0)/100</f>
        <v/>
      </c>
      <c r="J385" s="63">
        <f>VLOOKUP(Table_1[[#This Row],[AÇÕES]],'Dados Status Invest'!A:AB,28,0)</f>
        <v/>
      </c>
      <c r="K385" s="63">
        <f>VLOOKUP(Table_1[[#This Row],[AÇÕES]],'Dados Status Invest'!A:AA,27,0)</f>
        <v/>
      </c>
      <c r="L385" s="63">
        <f>Table_1[[#This Row],[PREÇO]]*Table_1[[#This Row],[DY]]</f>
        <v/>
      </c>
      <c r="M385" s="62">
        <f>$E$13</f>
        <v/>
      </c>
      <c r="N385" s="62" t="n">
        <v>0.3</v>
      </c>
      <c r="O385" s="62">
        <f>Table_1[[#This Row],[DPA]]/Table_1[[#This Row],[LPA]]</f>
        <v/>
      </c>
      <c r="P385" s="62">
        <f>IF(Table_1[[#This Row],[PAYOUT]]&lt;=40%,"CRESCIMENTO",IF(Table_1[[#This Row],[PAYOUT]]&lt;=60%,"INDEFINIDO","DIVIDENDOS"))</f>
        <v/>
      </c>
      <c r="Q385" s="62">
        <f>VLOOKUP(Table_1[[#This Row],[AÇÕES]],'Dados Status Invest'!A:R,18,0)/100</f>
        <v/>
      </c>
      <c r="R385" s="62">
        <f>VLOOKUP(Table_1[[#This Row],[AÇÕES]],'Dados Status Invest'!A:Y,25,0)/100</f>
        <v/>
      </c>
      <c r="S385" s="62">
        <f>(1-Table_1[[#This Row],[PAYOUT]])*Table_1[[#This Row],[ROE]]</f>
        <v/>
      </c>
      <c r="T385" s="98">
        <f>AVERAGE(Table_1[[#This Row],[CAGR LUCRO 5A]],Table_1[[#This Row],[CRESCIMENTO DAMODARAN]])</f>
        <v/>
      </c>
      <c r="U385" s="64">
        <f>(Table_1[[#This Row],[PREÇO JUSTO BAZIN]]-Table_1[[#This Row],[PREÇO]])/Table_1[[#This Row],[PREÇO JUSTO BAZIN]]</f>
        <v/>
      </c>
      <c r="V385" s="129">
        <f>Table_1[[#This Row],[DPA]]/6%</f>
        <v/>
      </c>
      <c r="W385" s="129">
        <f>Table_1[[#This Row],[PREÇO JUSTO BAZIN]]/(1+Table_1[[#This Row],[MARGEM DE DESCONTO]])</f>
        <v/>
      </c>
      <c r="X385" s="64">
        <f>(Table_1[[#This Row],[PREÇO JUSTO GRAHAM]]-Table_1[[#This Row],[PREÇO]])/Table_1[[#This Row],[PREÇO JUSTO GRAHAM]]</f>
        <v/>
      </c>
      <c r="Y385" s="129">
        <f>(22.5*Table_1[[#This Row],[LPA]]*Table_1[[#This Row],[VPA]])^0.5</f>
        <v/>
      </c>
      <c r="Z385" s="129">
        <f>Table_1[[#This Row],[PREÇO JUSTO GRAHAM]]/(1+Table_1[[#This Row],[MARGEM DE DESCONTO]])</f>
        <v/>
      </c>
      <c r="AA385" s="64">
        <f>(Table_1[[#This Row],[PREÇO JUSTO GORDON]]-Table_1[[#This Row],[PREÇO]])/Table_1[[#This Row],[PREÇO JUSTO GORDON]]</f>
        <v/>
      </c>
      <c r="AB385" s="130">
        <f>Table_1[[#This Row],[DPA]]*(1+Table_1[[#This Row],[MÉDIA DE CRESCIMENTO]])</f>
        <v/>
      </c>
      <c r="AC385" s="130">
        <f>Table_1[[#This Row],[D1]]/(Table_1[[#This Row],[RISCO]]-Table_1[[#This Row],[MÉDIA DE CRESCIMENTO]])</f>
        <v/>
      </c>
      <c r="AD385" s="130">
        <f>Table_1[[#This Row],[PREÇO JUSTO GORDON]]/(1+Table_1[[#This Row],[MARGEM DE DESCONTO]])</f>
        <v/>
      </c>
      <c r="AE385" s="78">
        <f>Table_1[[#This Row],[P/L]]/Table_1[[#This Row],[MÉDIA DE CRESCIMENTO]]</f>
        <v/>
      </c>
    </row>
    <row r="386" ht="15.75" customHeight="1">
      <c r="B386" s="77">
        <f>'Dados Status Invest'!A372</f>
        <v/>
      </c>
      <c r="C386" s="60">
        <f>VLOOKUP(Table_1[[#This Row],[AÇÕES]],'Classificação B3'!A:B,2,0)</f>
        <v/>
      </c>
      <c r="D386" s="60">
        <f>VLOOKUP(Table_1[[#This Row],[AÇÕES]],'Classificação B3'!A:D,4,0)</f>
        <v/>
      </c>
      <c r="E386" s="60">
        <f>VLOOKUP(Table_1[[#This Row],[AÇÕES]],'Classificação B3'!A:F,6,0)</f>
        <v/>
      </c>
      <c r="F386" s="60">
        <f>VLOOKUP(Table_1[[#This Row],[AÇÕES]],'Classificação B3'!A:G,7,0)</f>
        <v/>
      </c>
      <c r="G386" s="61">
        <f>VLOOKUP(Table_1[[#This Row],[AÇÕES]],'Dados Status Invest'!A:B,2,0)</f>
        <v/>
      </c>
      <c r="H386" s="62">
        <f>VLOOKUP(Table_1[[#This Row],[AÇÕES]],'Dados Status Invest'!A:C,3,0)/100</f>
        <v/>
      </c>
      <c r="I386" s="62">
        <f>VLOOKUP(Table_1[[#This Row],[AÇÕES]],'Dados Status Invest'!A:D,4,0)/100</f>
        <v/>
      </c>
      <c r="J386" s="63">
        <f>VLOOKUP(Table_1[[#This Row],[AÇÕES]],'Dados Status Invest'!A:AB,28,0)</f>
        <v/>
      </c>
      <c r="K386" s="63">
        <f>VLOOKUP(Table_1[[#This Row],[AÇÕES]],'Dados Status Invest'!A:AA,27,0)</f>
        <v/>
      </c>
      <c r="L386" s="63">
        <f>Table_1[[#This Row],[PREÇO]]*Table_1[[#This Row],[DY]]</f>
        <v/>
      </c>
      <c r="M386" s="62">
        <f>$E$13</f>
        <v/>
      </c>
      <c r="N386" s="62" t="n">
        <v>0.3</v>
      </c>
      <c r="O386" s="62">
        <f>Table_1[[#This Row],[DPA]]/Table_1[[#This Row],[LPA]]</f>
        <v/>
      </c>
      <c r="P386" s="62">
        <f>IF(Table_1[[#This Row],[PAYOUT]]&lt;=40%,"CRESCIMENTO",IF(Table_1[[#This Row],[PAYOUT]]&lt;=60%,"INDEFINIDO","DIVIDENDOS"))</f>
        <v/>
      </c>
      <c r="Q386" s="62">
        <f>VLOOKUP(Table_1[[#This Row],[AÇÕES]],'Dados Status Invest'!A:R,18,0)/100</f>
        <v/>
      </c>
      <c r="R386" s="62">
        <f>VLOOKUP(Table_1[[#This Row],[AÇÕES]],'Dados Status Invest'!A:Y,25,0)/100</f>
        <v/>
      </c>
      <c r="S386" s="62">
        <f>(1-Table_1[[#This Row],[PAYOUT]])*Table_1[[#This Row],[ROE]]</f>
        <v/>
      </c>
      <c r="T386" s="98">
        <f>AVERAGE(Table_1[[#This Row],[CAGR LUCRO 5A]],Table_1[[#This Row],[CRESCIMENTO DAMODARAN]])</f>
        <v/>
      </c>
      <c r="U386" s="64">
        <f>(Table_1[[#This Row],[PREÇO JUSTO BAZIN]]-Table_1[[#This Row],[PREÇO]])/Table_1[[#This Row],[PREÇO JUSTO BAZIN]]</f>
        <v/>
      </c>
      <c r="V386" s="129">
        <f>Table_1[[#This Row],[DPA]]/6%</f>
        <v/>
      </c>
      <c r="W386" s="129">
        <f>Table_1[[#This Row],[PREÇO JUSTO BAZIN]]/(1+Table_1[[#This Row],[MARGEM DE DESCONTO]])</f>
        <v/>
      </c>
      <c r="X386" s="64">
        <f>(Table_1[[#This Row],[PREÇO JUSTO GRAHAM]]-Table_1[[#This Row],[PREÇO]])/Table_1[[#This Row],[PREÇO JUSTO GRAHAM]]</f>
        <v/>
      </c>
      <c r="Y386" s="129">
        <f>(22.5*Table_1[[#This Row],[LPA]]*Table_1[[#This Row],[VPA]])^0.5</f>
        <v/>
      </c>
      <c r="Z386" s="129">
        <f>Table_1[[#This Row],[PREÇO JUSTO GRAHAM]]/(1+Table_1[[#This Row],[MARGEM DE DESCONTO]])</f>
        <v/>
      </c>
      <c r="AA386" s="64">
        <f>(Table_1[[#This Row],[PREÇO JUSTO GORDON]]-Table_1[[#This Row],[PREÇO]])/Table_1[[#This Row],[PREÇO JUSTO GORDON]]</f>
        <v/>
      </c>
      <c r="AB386" s="130">
        <f>Table_1[[#This Row],[DPA]]*(1+Table_1[[#This Row],[MÉDIA DE CRESCIMENTO]])</f>
        <v/>
      </c>
      <c r="AC386" s="130">
        <f>Table_1[[#This Row],[D1]]/(Table_1[[#This Row],[RISCO]]-Table_1[[#This Row],[MÉDIA DE CRESCIMENTO]])</f>
        <v/>
      </c>
      <c r="AD386" s="130">
        <f>Table_1[[#This Row],[PREÇO JUSTO GORDON]]/(1+Table_1[[#This Row],[MARGEM DE DESCONTO]])</f>
        <v/>
      </c>
      <c r="AE386" s="78">
        <f>Table_1[[#This Row],[P/L]]/Table_1[[#This Row],[MÉDIA DE CRESCIMENTO]]</f>
        <v/>
      </c>
    </row>
    <row r="387" ht="15.75" customHeight="1">
      <c r="B387" s="77">
        <f>'Dados Status Invest'!A373</f>
        <v/>
      </c>
      <c r="C387" s="60">
        <f>VLOOKUP(Table_1[[#This Row],[AÇÕES]],'Classificação B3'!A:B,2,0)</f>
        <v/>
      </c>
      <c r="D387" s="60">
        <f>VLOOKUP(Table_1[[#This Row],[AÇÕES]],'Classificação B3'!A:D,4,0)</f>
        <v/>
      </c>
      <c r="E387" s="60">
        <f>VLOOKUP(Table_1[[#This Row],[AÇÕES]],'Classificação B3'!A:F,6,0)</f>
        <v/>
      </c>
      <c r="F387" s="60">
        <f>VLOOKUP(Table_1[[#This Row],[AÇÕES]],'Classificação B3'!A:G,7,0)</f>
        <v/>
      </c>
      <c r="G387" s="61">
        <f>VLOOKUP(Table_1[[#This Row],[AÇÕES]],'Dados Status Invest'!A:B,2,0)</f>
        <v/>
      </c>
      <c r="H387" s="62">
        <f>VLOOKUP(Table_1[[#This Row],[AÇÕES]],'Dados Status Invest'!A:C,3,0)/100</f>
        <v/>
      </c>
      <c r="I387" s="62">
        <f>VLOOKUP(Table_1[[#This Row],[AÇÕES]],'Dados Status Invest'!A:D,4,0)/100</f>
        <v/>
      </c>
      <c r="J387" s="63">
        <f>VLOOKUP(Table_1[[#This Row],[AÇÕES]],'Dados Status Invest'!A:AB,28,0)</f>
        <v/>
      </c>
      <c r="K387" s="63">
        <f>VLOOKUP(Table_1[[#This Row],[AÇÕES]],'Dados Status Invest'!A:AA,27,0)</f>
        <v/>
      </c>
      <c r="L387" s="63">
        <f>Table_1[[#This Row],[PREÇO]]*Table_1[[#This Row],[DY]]</f>
        <v/>
      </c>
      <c r="M387" s="62">
        <f>$E$13</f>
        <v/>
      </c>
      <c r="N387" s="62" t="n">
        <v>0.3</v>
      </c>
      <c r="O387" s="62">
        <f>Table_1[[#This Row],[DPA]]/Table_1[[#This Row],[LPA]]</f>
        <v/>
      </c>
      <c r="P387" s="62">
        <f>IF(Table_1[[#This Row],[PAYOUT]]&lt;=40%,"CRESCIMENTO",IF(Table_1[[#This Row],[PAYOUT]]&lt;=60%,"INDEFINIDO","DIVIDENDOS"))</f>
        <v/>
      </c>
      <c r="Q387" s="62">
        <f>VLOOKUP(Table_1[[#This Row],[AÇÕES]],'Dados Status Invest'!A:R,18,0)/100</f>
        <v/>
      </c>
      <c r="R387" s="62">
        <f>VLOOKUP(Table_1[[#This Row],[AÇÕES]],'Dados Status Invest'!A:Y,25,0)/100</f>
        <v/>
      </c>
      <c r="S387" s="62">
        <f>(1-Table_1[[#This Row],[PAYOUT]])*Table_1[[#This Row],[ROE]]</f>
        <v/>
      </c>
      <c r="T387" s="98">
        <f>AVERAGE(Table_1[[#This Row],[CAGR LUCRO 5A]],Table_1[[#This Row],[CRESCIMENTO DAMODARAN]])</f>
        <v/>
      </c>
      <c r="U387" s="64">
        <f>(Table_1[[#This Row],[PREÇO JUSTO BAZIN]]-Table_1[[#This Row],[PREÇO]])/Table_1[[#This Row],[PREÇO JUSTO BAZIN]]</f>
        <v/>
      </c>
      <c r="V387" s="129">
        <f>Table_1[[#This Row],[DPA]]/6%</f>
        <v/>
      </c>
      <c r="W387" s="129">
        <f>Table_1[[#This Row],[PREÇO JUSTO BAZIN]]/(1+Table_1[[#This Row],[MARGEM DE DESCONTO]])</f>
        <v/>
      </c>
      <c r="X387" s="64">
        <f>(Table_1[[#This Row],[PREÇO JUSTO GRAHAM]]-Table_1[[#This Row],[PREÇO]])/Table_1[[#This Row],[PREÇO JUSTO GRAHAM]]</f>
        <v/>
      </c>
      <c r="Y387" s="129">
        <f>(22.5*Table_1[[#This Row],[LPA]]*Table_1[[#This Row],[VPA]])^0.5</f>
        <v/>
      </c>
      <c r="Z387" s="129">
        <f>Table_1[[#This Row],[PREÇO JUSTO GRAHAM]]/(1+Table_1[[#This Row],[MARGEM DE DESCONTO]])</f>
        <v/>
      </c>
      <c r="AA387" s="64">
        <f>(Table_1[[#This Row],[PREÇO JUSTO GORDON]]-Table_1[[#This Row],[PREÇO]])/Table_1[[#This Row],[PREÇO JUSTO GORDON]]</f>
        <v/>
      </c>
      <c r="AB387" s="130">
        <f>Table_1[[#This Row],[DPA]]*(1+Table_1[[#This Row],[MÉDIA DE CRESCIMENTO]])</f>
        <v/>
      </c>
      <c r="AC387" s="130">
        <f>Table_1[[#This Row],[D1]]/(Table_1[[#This Row],[RISCO]]-Table_1[[#This Row],[MÉDIA DE CRESCIMENTO]])</f>
        <v/>
      </c>
      <c r="AD387" s="130">
        <f>Table_1[[#This Row],[PREÇO JUSTO GORDON]]/(1+Table_1[[#This Row],[MARGEM DE DESCONTO]])</f>
        <v/>
      </c>
      <c r="AE387" s="78">
        <f>Table_1[[#This Row],[P/L]]/Table_1[[#This Row],[MÉDIA DE CRESCIMENTO]]</f>
        <v/>
      </c>
    </row>
    <row r="388" ht="15.75" customHeight="1">
      <c r="B388" s="77">
        <f>'Dados Status Invest'!A374</f>
        <v/>
      </c>
      <c r="C388" s="60">
        <f>VLOOKUP(Table_1[[#This Row],[AÇÕES]],'Classificação B3'!A:B,2,0)</f>
        <v/>
      </c>
      <c r="D388" s="60">
        <f>VLOOKUP(Table_1[[#This Row],[AÇÕES]],'Classificação B3'!A:D,4,0)</f>
        <v/>
      </c>
      <c r="E388" s="60">
        <f>VLOOKUP(Table_1[[#This Row],[AÇÕES]],'Classificação B3'!A:F,6,0)</f>
        <v/>
      </c>
      <c r="F388" s="60">
        <f>VLOOKUP(Table_1[[#This Row],[AÇÕES]],'Classificação B3'!A:G,7,0)</f>
        <v/>
      </c>
      <c r="G388" s="61">
        <f>VLOOKUP(Table_1[[#This Row],[AÇÕES]],'Dados Status Invest'!A:B,2,0)</f>
        <v/>
      </c>
      <c r="H388" s="62">
        <f>VLOOKUP(Table_1[[#This Row],[AÇÕES]],'Dados Status Invest'!A:C,3,0)/100</f>
        <v/>
      </c>
      <c r="I388" s="62">
        <f>VLOOKUP(Table_1[[#This Row],[AÇÕES]],'Dados Status Invest'!A:D,4,0)/100</f>
        <v/>
      </c>
      <c r="J388" s="63">
        <f>VLOOKUP(Table_1[[#This Row],[AÇÕES]],'Dados Status Invest'!A:AB,28,0)</f>
        <v/>
      </c>
      <c r="K388" s="63">
        <f>VLOOKUP(Table_1[[#This Row],[AÇÕES]],'Dados Status Invest'!A:AA,27,0)</f>
        <v/>
      </c>
      <c r="L388" s="63">
        <f>Table_1[[#This Row],[PREÇO]]*Table_1[[#This Row],[DY]]</f>
        <v/>
      </c>
      <c r="M388" s="62">
        <f>$E$13</f>
        <v/>
      </c>
      <c r="N388" s="62" t="n">
        <v>0.3</v>
      </c>
      <c r="O388" s="62">
        <f>Table_1[[#This Row],[DPA]]/Table_1[[#This Row],[LPA]]</f>
        <v/>
      </c>
      <c r="P388" s="62">
        <f>IF(Table_1[[#This Row],[PAYOUT]]&lt;=40%,"CRESCIMENTO",IF(Table_1[[#This Row],[PAYOUT]]&lt;=60%,"INDEFINIDO","DIVIDENDOS"))</f>
        <v/>
      </c>
      <c r="Q388" s="62">
        <f>VLOOKUP(Table_1[[#This Row],[AÇÕES]],'Dados Status Invest'!A:R,18,0)/100</f>
        <v/>
      </c>
      <c r="R388" s="62">
        <f>VLOOKUP(Table_1[[#This Row],[AÇÕES]],'Dados Status Invest'!A:Y,25,0)/100</f>
        <v/>
      </c>
      <c r="S388" s="62">
        <f>(1-Table_1[[#This Row],[PAYOUT]])*Table_1[[#This Row],[ROE]]</f>
        <v/>
      </c>
      <c r="T388" s="98">
        <f>AVERAGE(Table_1[[#This Row],[CAGR LUCRO 5A]],Table_1[[#This Row],[CRESCIMENTO DAMODARAN]])</f>
        <v/>
      </c>
      <c r="U388" s="64">
        <f>(Table_1[[#This Row],[PREÇO JUSTO BAZIN]]-Table_1[[#This Row],[PREÇO]])/Table_1[[#This Row],[PREÇO JUSTO BAZIN]]</f>
        <v/>
      </c>
      <c r="V388" s="129">
        <f>Table_1[[#This Row],[DPA]]/6%</f>
        <v/>
      </c>
      <c r="W388" s="129">
        <f>Table_1[[#This Row],[PREÇO JUSTO BAZIN]]/(1+Table_1[[#This Row],[MARGEM DE DESCONTO]])</f>
        <v/>
      </c>
      <c r="X388" s="64">
        <f>(Table_1[[#This Row],[PREÇO JUSTO GRAHAM]]-Table_1[[#This Row],[PREÇO]])/Table_1[[#This Row],[PREÇO JUSTO GRAHAM]]</f>
        <v/>
      </c>
      <c r="Y388" s="129">
        <f>(22.5*Table_1[[#This Row],[LPA]]*Table_1[[#This Row],[VPA]])^0.5</f>
        <v/>
      </c>
      <c r="Z388" s="129">
        <f>Table_1[[#This Row],[PREÇO JUSTO GRAHAM]]/(1+Table_1[[#This Row],[MARGEM DE DESCONTO]])</f>
        <v/>
      </c>
      <c r="AA388" s="64">
        <f>(Table_1[[#This Row],[PREÇO JUSTO GORDON]]-Table_1[[#This Row],[PREÇO]])/Table_1[[#This Row],[PREÇO JUSTO GORDON]]</f>
        <v/>
      </c>
      <c r="AB388" s="130">
        <f>Table_1[[#This Row],[DPA]]*(1+Table_1[[#This Row],[MÉDIA DE CRESCIMENTO]])</f>
        <v/>
      </c>
      <c r="AC388" s="130">
        <f>Table_1[[#This Row],[D1]]/(Table_1[[#This Row],[RISCO]]-Table_1[[#This Row],[MÉDIA DE CRESCIMENTO]])</f>
        <v/>
      </c>
      <c r="AD388" s="130">
        <f>Table_1[[#This Row],[PREÇO JUSTO GORDON]]/(1+Table_1[[#This Row],[MARGEM DE DESCONTO]])</f>
        <v/>
      </c>
      <c r="AE388" s="78">
        <f>Table_1[[#This Row],[P/L]]/Table_1[[#This Row],[MÉDIA DE CRESCIMENTO]]</f>
        <v/>
      </c>
    </row>
    <row r="389" ht="15.75" customHeight="1">
      <c r="B389" s="77">
        <f>'Dados Status Invest'!A375</f>
        <v/>
      </c>
      <c r="C389" s="60">
        <f>VLOOKUP(Table_1[[#This Row],[AÇÕES]],'Classificação B3'!A:B,2,0)</f>
        <v/>
      </c>
      <c r="D389" s="60">
        <f>VLOOKUP(Table_1[[#This Row],[AÇÕES]],'Classificação B3'!A:D,4,0)</f>
        <v/>
      </c>
      <c r="E389" s="60">
        <f>VLOOKUP(Table_1[[#This Row],[AÇÕES]],'Classificação B3'!A:F,6,0)</f>
        <v/>
      </c>
      <c r="F389" s="60">
        <f>VLOOKUP(Table_1[[#This Row],[AÇÕES]],'Classificação B3'!A:G,7,0)</f>
        <v/>
      </c>
      <c r="G389" s="61">
        <f>VLOOKUP(Table_1[[#This Row],[AÇÕES]],'Dados Status Invest'!A:B,2,0)</f>
        <v/>
      </c>
      <c r="H389" s="62">
        <f>VLOOKUP(Table_1[[#This Row],[AÇÕES]],'Dados Status Invest'!A:C,3,0)/100</f>
        <v/>
      </c>
      <c r="I389" s="62">
        <f>VLOOKUP(Table_1[[#This Row],[AÇÕES]],'Dados Status Invest'!A:D,4,0)/100</f>
        <v/>
      </c>
      <c r="J389" s="63">
        <f>VLOOKUP(Table_1[[#This Row],[AÇÕES]],'Dados Status Invest'!A:AB,28,0)</f>
        <v/>
      </c>
      <c r="K389" s="63">
        <f>VLOOKUP(Table_1[[#This Row],[AÇÕES]],'Dados Status Invest'!A:AA,27,0)</f>
        <v/>
      </c>
      <c r="L389" s="63">
        <f>Table_1[[#This Row],[PREÇO]]*Table_1[[#This Row],[DY]]</f>
        <v/>
      </c>
      <c r="M389" s="62">
        <f>$E$13</f>
        <v/>
      </c>
      <c r="N389" s="62" t="n">
        <v>0.3</v>
      </c>
      <c r="O389" s="62">
        <f>Table_1[[#This Row],[DPA]]/Table_1[[#This Row],[LPA]]</f>
        <v/>
      </c>
      <c r="P389" s="62">
        <f>IF(Table_1[[#This Row],[PAYOUT]]&lt;=40%,"CRESCIMENTO",IF(Table_1[[#This Row],[PAYOUT]]&lt;=60%,"INDEFINIDO","DIVIDENDOS"))</f>
        <v/>
      </c>
      <c r="Q389" s="62">
        <f>VLOOKUP(Table_1[[#This Row],[AÇÕES]],'Dados Status Invest'!A:R,18,0)/100</f>
        <v/>
      </c>
      <c r="R389" s="62">
        <f>VLOOKUP(Table_1[[#This Row],[AÇÕES]],'Dados Status Invest'!A:Y,25,0)/100</f>
        <v/>
      </c>
      <c r="S389" s="62">
        <f>(1-Table_1[[#This Row],[PAYOUT]])*Table_1[[#This Row],[ROE]]</f>
        <v/>
      </c>
      <c r="T389" s="98">
        <f>AVERAGE(Table_1[[#This Row],[CAGR LUCRO 5A]],Table_1[[#This Row],[CRESCIMENTO DAMODARAN]])</f>
        <v/>
      </c>
      <c r="U389" s="64">
        <f>(Table_1[[#This Row],[PREÇO JUSTO BAZIN]]-Table_1[[#This Row],[PREÇO]])/Table_1[[#This Row],[PREÇO JUSTO BAZIN]]</f>
        <v/>
      </c>
      <c r="V389" s="129">
        <f>Table_1[[#This Row],[DPA]]/6%</f>
        <v/>
      </c>
      <c r="W389" s="129">
        <f>Table_1[[#This Row],[PREÇO JUSTO BAZIN]]/(1+Table_1[[#This Row],[MARGEM DE DESCONTO]])</f>
        <v/>
      </c>
      <c r="X389" s="64">
        <f>(Table_1[[#This Row],[PREÇO JUSTO GRAHAM]]-Table_1[[#This Row],[PREÇO]])/Table_1[[#This Row],[PREÇO JUSTO GRAHAM]]</f>
        <v/>
      </c>
      <c r="Y389" s="129">
        <f>(22.5*Table_1[[#This Row],[LPA]]*Table_1[[#This Row],[VPA]])^0.5</f>
        <v/>
      </c>
      <c r="Z389" s="129">
        <f>Table_1[[#This Row],[PREÇO JUSTO GRAHAM]]/(1+Table_1[[#This Row],[MARGEM DE DESCONTO]])</f>
        <v/>
      </c>
      <c r="AA389" s="64">
        <f>(Table_1[[#This Row],[PREÇO JUSTO GORDON]]-Table_1[[#This Row],[PREÇO]])/Table_1[[#This Row],[PREÇO JUSTO GORDON]]</f>
        <v/>
      </c>
      <c r="AB389" s="130">
        <f>Table_1[[#This Row],[DPA]]*(1+Table_1[[#This Row],[MÉDIA DE CRESCIMENTO]])</f>
        <v/>
      </c>
      <c r="AC389" s="130">
        <f>Table_1[[#This Row],[D1]]/(Table_1[[#This Row],[RISCO]]-Table_1[[#This Row],[MÉDIA DE CRESCIMENTO]])</f>
        <v/>
      </c>
      <c r="AD389" s="130">
        <f>Table_1[[#This Row],[PREÇO JUSTO GORDON]]/(1+Table_1[[#This Row],[MARGEM DE DESCONTO]])</f>
        <v/>
      </c>
      <c r="AE389" s="78">
        <f>Table_1[[#This Row],[P/L]]/Table_1[[#This Row],[MÉDIA DE CRESCIMENTO]]</f>
        <v/>
      </c>
    </row>
    <row r="390" ht="15.75" customHeight="1">
      <c r="B390" s="77">
        <f>'Dados Status Invest'!A376</f>
        <v/>
      </c>
      <c r="C390" s="60">
        <f>VLOOKUP(Table_1[[#This Row],[AÇÕES]],'Classificação B3'!A:B,2,0)</f>
        <v/>
      </c>
      <c r="D390" s="60">
        <f>VLOOKUP(Table_1[[#This Row],[AÇÕES]],'Classificação B3'!A:D,4,0)</f>
        <v/>
      </c>
      <c r="E390" s="60">
        <f>VLOOKUP(Table_1[[#This Row],[AÇÕES]],'Classificação B3'!A:F,6,0)</f>
        <v/>
      </c>
      <c r="F390" s="60">
        <f>VLOOKUP(Table_1[[#This Row],[AÇÕES]],'Classificação B3'!A:G,7,0)</f>
        <v/>
      </c>
      <c r="G390" s="61">
        <f>VLOOKUP(Table_1[[#This Row],[AÇÕES]],'Dados Status Invest'!A:B,2,0)</f>
        <v/>
      </c>
      <c r="H390" s="62">
        <f>VLOOKUP(Table_1[[#This Row],[AÇÕES]],'Dados Status Invest'!A:C,3,0)/100</f>
        <v/>
      </c>
      <c r="I390" s="62">
        <f>VLOOKUP(Table_1[[#This Row],[AÇÕES]],'Dados Status Invest'!A:D,4,0)/100</f>
        <v/>
      </c>
      <c r="J390" s="63">
        <f>VLOOKUP(Table_1[[#This Row],[AÇÕES]],'Dados Status Invest'!A:AB,28,0)</f>
        <v/>
      </c>
      <c r="K390" s="63">
        <f>VLOOKUP(Table_1[[#This Row],[AÇÕES]],'Dados Status Invest'!A:AA,27,0)</f>
        <v/>
      </c>
      <c r="L390" s="63">
        <f>Table_1[[#This Row],[PREÇO]]*Table_1[[#This Row],[DY]]</f>
        <v/>
      </c>
      <c r="M390" s="62">
        <f>$E$13</f>
        <v/>
      </c>
      <c r="N390" s="62" t="n">
        <v>0.3</v>
      </c>
      <c r="O390" s="62">
        <f>Table_1[[#This Row],[DPA]]/Table_1[[#This Row],[LPA]]</f>
        <v/>
      </c>
      <c r="P390" s="62">
        <f>IF(Table_1[[#This Row],[PAYOUT]]&lt;=40%,"CRESCIMENTO",IF(Table_1[[#This Row],[PAYOUT]]&lt;=60%,"INDEFINIDO","DIVIDENDOS"))</f>
        <v/>
      </c>
      <c r="Q390" s="62">
        <f>VLOOKUP(Table_1[[#This Row],[AÇÕES]],'Dados Status Invest'!A:R,18,0)/100</f>
        <v/>
      </c>
      <c r="R390" s="62">
        <f>VLOOKUP(Table_1[[#This Row],[AÇÕES]],'Dados Status Invest'!A:Y,25,0)/100</f>
        <v/>
      </c>
      <c r="S390" s="62">
        <f>(1-Table_1[[#This Row],[PAYOUT]])*Table_1[[#This Row],[ROE]]</f>
        <v/>
      </c>
      <c r="T390" s="98">
        <f>AVERAGE(Table_1[[#This Row],[CAGR LUCRO 5A]],Table_1[[#This Row],[CRESCIMENTO DAMODARAN]])</f>
        <v/>
      </c>
      <c r="U390" s="64">
        <f>(Table_1[[#This Row],[PREÇO JUSTO BAZIN]]-Table_1[[#This Row],[PREÇO]])/Table_1[[#This Row],[PREÇO JUSTO BAZIN]]</f>
        <v/>
      </c>
      <c r="V390" s="129">
        <f>Table_1[[#This Row],[DPA]]/6%</f>
        <v/>
      </c>
      <c r="W390" s="129">
        <f>Table_1[[#This Row],[PREÇO JUSTO BAZIN]]/(1+Table_1[[#This Row],[MARGEM DE DESCONTO]])</f>
        <v/>
      </c>
      <c r="X390" s="64">
        <f>(Table_1[[#This Row],[PREÇO JUSTO GRAHAM]]-Table_1[[#This Row],[PREÇO]])/Table_1[[#This Row],[PREÇO JUSTO GRAHAM]]</f>
        <v/>
      </c>
      <c r="Y390" s="129">
        <f>(22.5*Table_1[[#This Row],[LPA]]*Table_1[[#This Row],[VPA]])^0.5</f>
        <v/>
      </c>
      <c r="Z390" s="129">
        <f>Table_1[[#This Row],[PREÇO JUSTO GRAHAM]]/(1+Table_1[[#This Row],[MARGEM DE DESCONTO]])</f>
        <v/>
      </c>
      <c r="AA390" s="64">
        <f>(Table_1[[#This Row],[PREÇO JUSTO GORDON]]-Table_1[[#This Row],[PREÇO]])/Table_1[[#This Row],[PREÇO JUSTO GORDON]]</f>
        <v/>
      </c>
      <c r="AB390" s="130">
        <f>Table_1[[#This Row],[DPA]]*(1+Table_1[[#This Row],[MÉDIA DE CRESCIMENTO]])</f>
        <v/>
      </c>
      <c r="AC390" s="130">
        <f>Table_1[[#This Row],[D1]]/(Table_1[[#This Row],[RISCO]]-Table_1[[#This Row],[MÉDIA DE CRESCIMENTO]])</f>
        <v/>
      </c>
      <c r="AD390" s="130">
        <f>Table_1[[#This Row],[PREÇO JUSTO GORDON]]/(1+Table_1[[#This Row],[MARGEM DE DESCONTO]])</f>
        <v/>
      </c>
      <c r="AE390" s="78">
        <f>Table_1[[#This Row],[P/L]]/Table_1[[#This Row],[MÉDIA DE CRESCIMENTO]]</f>
        <v/>
      </c>
    </row>
    <row r="391" ht="15.75" customHeight="1">
      <c r="B391" s="77">
        <f>'Dados Status Invest'!A377</f>
        <v/>
      </c>
      <c r="C391" s="60">
        <f>VLOOKUP(Table_1[[#This Row],[AÇÕES]],'Classificação B3'!A:B,2,0)</f>
        <v/>
      </c>
      <c r="D391" s="60">
        <f>VLOOKUP(Table_1[[#This Row],[AÇÕES]],'Classificação B3'!A:D,4,0)</f>
        <v/>
      </c>
      <c r="E391" s="60">
        <f>VLOOKUP(Table_1[[#This Row],[AÇÕES]],'Classificação B3'!A:F,6,0)</f>
        <v/>
      </c>
      <c r="F391" s="60">
        <f>VLOOKUP(Table_1[[#This Row],[AÇÕES]],'Classificação B3'!A:G,7,0)</f>
        <v/>
      </c>
      <c r="G391" s="61">
        <f>VLOOKUP(Table_1[[#This Row],[AÇÕES]],'Dados Status Invest'!A:B,2,0)</f>
        <v/>
      </c>
      <c r="H391" s="62">
        <f>VLOOKUP(Table_1[[#This Row],[AÇÕES]],'Dados Status Invest'!A:C,3,0)/100</f>
        <v/>
      </c>
      <c r="I391" s="62">
        <f>VLOOKUP(Table_1[[#This Row],[AÇÕES]],'Dados Status Invest'!A:D,4,0)/100</f>
        <v/>
      </c>
      <c r="J391" s="63">
        <f>VLOOKUP(Table_1[[#This Row],[AÇÕES]],'Dados Status Invest'!A:AB,28,0)</f>
        <v/>
      </c>
      <c r="K391" s="63">
        <f>VLOOKUP(Table_1[[#This Row],[AÇÕES]],'Dados Status Invest'!A:AA,27,0)</f>
        <v/>
      </c>
      <c r="L391" s="63">
        <f>Table_1[[#This Row],[PREÇO]]*Table_1[[#This Row],[DY]]</f>
        <v/>
      </c>
      <c r="M391" s="62">
        <f>$E$13</f>
        <v/>
      </c>
      <c r="N391" s="62" t="n">
        <v>0.3</v>
      </c>
      <c r="O391" s="62">
        <f>Table_1[[#This Row],[DPA]]/Table_1[[#This Row],[LPA]]</f>
        <v/>
      </c>
      <c r="P391" s="62">
        <f>IF(Table_1[[#This Row],[PAYOUT]]&lt;=40%,"CRESCIMENTO",IF(Table_1[[#This Row],[PAYOUT]]&lt;=60%,"INDEFINIDO","DIVIDENDOS"))</f>
        <v/>
      </c>
      <c r="Q391" s="62">
        <f>VLOOKUP(Table_1[[#This Row],[AÇÕES]],'Dados Status Invest'!A:R,18,0)/100</f>
        <v/>
      </c>
      <c r="R391" s="62">
        <f>VLOOKUP(Table_1[[#This Row],[AÇÕES]],'Dados Status Invest'!A:Y,25,0)/100</f>
        <v/>
      </c>
      <c r="S391" s="62">
        <f>(1-Table_1[[#This Row],[PAYOUT]])*Table_1[[#This Row],[ROE]]</f>
        <v/>
      </c>
      <c r="T391" s="98">
        <f>AVERAGE(Table_1[[#This Row],[CAGR LUCRO 5A]],Table_1[[#This Row],[CRESCIMENTO DAMODARAN]])</f>
        <v/>
      </c>
      <c r="U391" s="64">
        <f>(Table_1[[#This Row],[PREÇO JUSTO BAZIN]]-Table_1[[#This Row],[PREÇO]])/Table_1[[#This Row],[PREÇO JUSTO BAZIN]]</f>
        <v/>
      </c>
      <c r="V391" s="129">
        <f>Table_1[[#This Row],[DPA]]/6%</f>
        <v/>
      </c>
      <c r="W391" s="129">
        <f>Table_1[[#This Row],[PREÇO JUSTO BAZIN]]/(1+Table_1[[#This Row],[MARGEM DE DESCONTO]])</f>
        <v/>
      </c>
      <c r="X391" s="64">
        <f>(Table_1[[#This Row],[PREÇO JUSTO GRAHAM]]-Table_1[[#This Row],[PREÇO]])/Table_1[[#This Row],[PREÇO JUSTO GRAHAM]]</f>
        <v/>
      </c>
      <c r="Y391" s="129">
        <f>(22.5*Table_1[[#This Row],[LPA]]*Table_1[[#This Row],[VPA]])^0.5</f>
        <v/>
      </c>
      <c r="Z391" s="129">
        <f>Table_1[[#This Row],[PREÇO JUSTO GRAHAM]]/(1+Table_1[[#This Row],[MARGEM DE DESCONTO]])</f>
        <v/>
      </c>
      <c r="AA391" s="64">
        <f>(Table_1[[#This Row],[PREÇO JUSTO GORDON]]-Table_1[[#This Row],[PREÇO]])/Table_1[[#This Row],[PREÇO JUSTO GORDON]]</f>
        <v/>
      </c>
      <c r="AB391" s="130">
        <f>Table_1[[#This Row],[DPA]]*(1+Table_1[[#This Row],[MÉDIA DE CRESCIMENTO]])</f>
        <v/>
      </c>
      <c r="AC391" s="130">
        <f>Table_1[[#This Row],[D1]]/(Table_1[[#This Row],[RISCO]]-Table_1[[#This Row],[MÉDIA DE CRESCIMENTO]])</f>
        <v/>
      </c>
      <c r="AD391" s="130">
        <f>Table_1[[#This Row],[PREÇO JUSTO GORDON]]/(1+Table_1[[#This Row],[MARGEM DE DESCONTO]])</f>
        <v/>
      </c>
      <c r="AE391" s="78">
        <f>Table_1[[#This Row],[P/L]]/Table_1[[#This Row],[MÉDIA DE CRESCIMENTO]]</f>
        <v/>
      </c>
    </row>
    <row r="392" ht="15.75" customHeight="1">
      <c r="B392" s="77">
        <f>'Dados Status Invest'!A378</f>
        <v/>
      </c>
      <c r="C392" s="60">
        <f>VLOOKUP(Table_1[[#This Row],[AÇÕES]],'Classificação B3'!A:B,2,0)</f>
        <v/>
      </c>
      <c r="D392" s="60">
        <f>VLOOKUP(Table_1[[#This Row],[AÇÕES]],'Classificação B3'!A:D,4,0)</f>
        <v/>
      </c>
      <c r="E392" s="60">
        <f>VLOOKUP(Table_1[[#This Row],[AÇÕES]],'Classificação B3'!A:F,6,0)</f>
        <v/>
      </c>
      <c r="F392" s="60">
        <f>VLOOKUP(Table_1[[#This Row],[AÇÕES]],'Classificação B3'!A:G,7,0)</f>
        <v/>
      </c>
      <c r="G392" s="61">
        <f>VLOOKUP(Table_1[[#This Row],[AÇÕES]],'Dados Status Invest'!A:B,2,0)</f>
        <v/>
      </c>
      <c r="H392" s="62">
        <f>VLOOKUP(Table_1[[#This Row],[AÇÕES]],'Dados Status Invest'!A:C,3,0)/100</f>
        <v/>
      </c>
      <c r="I392" s="62">
        <f>VLOOKUP(Table_1[[#This Row],[AÇÕES]],'Dados Status Invest'!A:D,4,0)/100</f>
        <v/>
      </c>
      <c r="J392" s="63">
        <f>VLOOKUP(Table_1[[#This Row],[AÇÕES]],'Dados Status Invest'!A:AB,28,0)</f>
        <v/>
      </c>
      <c r="K392" s="63">
        <f>VLOOKUP(Table_1[[#This Row],[AÇÕES]],'Dados Status Invest'!A:AA,27,0)</f>
        <v/>
      </c>
      <c r="L392" s="63">
        <f>Table_1[[#This Row],[PREÇO]]*Table_1[[#This Row],[DY]]</f>
        <v/>
      </c>
      <c r="M392" s="62">
        <f>$E$13</f>
        <v/>
      </c>
      <c r="N392" s="62" t="n">
        <v>0.3</v>
      </c>
      <c r="O392" s="62">
        <f>Table_1[[#This Row],[DPA]]/Table_1[[#This Row],[LPA]]</f>
        <v/>
      </c>
      <c r="P392" s="62">
        <f>IF(Table_1[[#This Row],[PAYOUT]]&lt;=40%,"CRESCIMENTO",IF(Table_1[[#This Row],[PAYOUT]]&lt;=60%,"INDEFINIDO","DIVIDENDOS"))</f>
        <v/>
      </c>
      <c r="Q392" s="62">
        <f>VLOOKUP(Table_1[[#This Row],[AÇÕES]],'Dados Status Invest'!A:R,18,0)/100</f>
        <v/>
      </c>
      <c r="R392" s="62">
        <f>VLOOKUP(Table_1[[#This Row],[AÇÕES]],'Dados Status Invest'!A:Y,25,0)/100</f>
        <v/>
      </c>
      <c r="S392" s="62">
        <f>(1-Table_1[[#This Row],[PAYOUT]])*Table_1[[#This Row],[ROE]]</f>
        <v/>
      </c>
      <c r="T392" s="98">
        <f>AVERAGE(Table_1[[#This Row],[CAGR LUCRO 5A]],Table_1[[#This Row],[CRESCIMENTO DAMODARAN]])</f>
        <v/>
      </c>
      <c r="U392" s="64">
        <f>(Table_1[[#This Row],[PREÇO JUSTO BAZIN]]-Table_1[[#This Row],[PREÇO]])/Table_1[[#This Row],[PREÇO JUSTO BAZIN]]</f>
        <v/>
      </c>
      <c r="V392" s="129">
        <f>Table_1[[#This Row],[DPA]]/6%</f>
        <v/>
      </c>
      <c r="W392" s="129">
        <f>Table_1[[#This Row],[PREÇO JUSTO BAZIN]]/(1+Table_1[[#This Row],[MARGEM DE DESCONTO]])</f>
        <v/>
      </c>
      <c r="X392" s="64">
        <f>(Table_1[[#This Row],[PREÇO JUSTO GRAHAM]]-Table_1[[#This Row],[PREÇO]])/Table_1[[#This Row],[PREÇO JUSTO GRAHAM]]</f>
        <v/>
      </c>
      <c r="Y392" s="129">
        <f>(22.5*Table_1[[#This Row],[LPA]]*Table_1[[#This Row],[VPA]])^0.5</f>
        <v/>
      </c>
      <c r="Z392" s="129">
        <f>Table_1[[#This Row],[PREÇO JUSTO GRAHAM]]/(1+Table_1[[#This Row],[MARGEM DE DESCONTO]])</f>
        <v/>
      </c>
      <c r="AA392" s="64">
        <f>(Table_1[[#This Row],[PREÇO JUSTO GORDON]]-Table_1[[#This Row],[PREÇO]])/Table_1[[#This Row],[PREÇO JUSTO GORDON]]</f>
        <v/>
      </c>
      <c r="AB392" s="130">
        <f>Table_1[[#This Row],[DPA]]*(1+Table_1[[#This Row],[MÉDIA DE CRESCIMENTO]])</f>
        <v/>
      </c>
      <c r="AC392" s="130">
        <f>Table_1[[#This Row],[D1]]/(Table_1[[#This Row],[RISCO]]-Table_1[[#This Row],[MÉDIA DE CRESCIMENTO]])</f>
        <v/>
      </c>
      <c r="AD392" s="130">
        <f>Table_1[[#This Row],[PREÇO JUSTO GORDON]]/(1+Table_1[[#This Row],[MARGEM DE DESCONTO]])</f>
        <v/>
      </c>
      <c r="AE392" s="78">
        <f>Table_1[[#This Row],[P/L]]/Table_1[[#This Row],[MÉDIA DE CRESCIMENTO]]</f>
        <v/>
      </c>
    </row>
    <row r="393" ht="15.75" customHeight="1">
      <c r="B393" s="77">
        <f>'Dados Status Invest'!A379</f>
        <v/>
      </c>
      <c r="C393" s="60">
        <f>VLOOKUP(Table_1[[#This Row],[AÇÕES]],'Classificação B3'!A:B,2,0)</f>
        <v/>
      </c>
      <c r="D393" s="60">
        <f>VLOOKUP(Table_1[[#This Row],[AÇÕES]],'Classificação B3'!A:D,4,0)</f>
        <v/>
      </c>
      <c r="E393" s="60">
        <f>VLOOKUP(Table_1[[#This Row],[AÇÕES]],'Classificação B3'!A:F,6,0)</f>
        <v/>
      </c>
      <c r="F393" s="60">
        <f>VLOOKUP(Table_1[[#This Row],[AÇÕES]],'Classificação B3'!A:G,7,0)</f>
        <v/>
      </c>
      <c r="G393" s="61">
        <f>VLOOKUP(Table_1[[#This Row],[AÇÕES]],'Dados Status Invest'!A:B,2,0)</f>
        <v/>
      </c>
      <c r="H393" s="62">
        <f>VLOOKUP(Table_1[[#This Row],[AÇÕES]],'Dados Status Invest'!A:C,3,0)/100</f>
        <v/>
      </c>
      <c r="I393" s="62">
        <f>VLOOKUP(Table_1[[#This Row],[AÇÕES]],'Dados Status Invest'!A:D,4,0)/100</f>
        <v/>
      </c>
      <c r="J393" s="63">
        <f>VLOOKUP(Table_1[[#This Row],[AÇÕES]],'Dados Status Invest'!A:AB,28,0)</f>
        <v/>
      </c>
      <c r="K393" s="63">
        <f>VLOOKUP(Table_1[[#This Row],[AÇÕES]],'Dados Status Invest'!A:AA,27,0)</f>
        <v/>
      </c>
      <c r="L393" s="63">
        <f>Table_1[[#This Row],[PREÇO]]*Table_1[[#This Row],[DY]]</f>
        <v/>
      </c>
      <c r="M393" s="62">
        <f>$E$13</f>
        <v/>
      </c>
      <c r="N393" s="62" t="n">
        <v>0.3</v>
      </c>
      <c r="O393" s="62">
        <f>Table_1[[#This Row],[DPA]]/Table_1[[#This Row],[LPA]]</f>
        <v/>
      </c>
      <c r="P393" s="62">
        <f>IF(Table_1[[#This Row],[PAYOUT]]&lt;=40%,"CRESCIMENTO",IF(Table_1[[#This Row],[PAYOUT]]&lt;=60%,"INDEFINIDO","DIVIDENDOS"))</f>
        <v/>
      </c>
      <c r="Q393" s="62">
        <f>VLOOKUP(Table_1[[#This Row],[AÇÕES]],'Dados Status Invest'!A:R,18,0)/100</f>
        <v/>
      </c>
      <c r="R393" s="62">
        <f>VLOOKUP(Table_1[[#This Row],[AÇÕES]],'Dados Status Invest'!A:Y,25,0)/100</f>
        <v/>
      </c>
      <c r="S393" s="62">
        <f>(1-Table_1[[#This Row],[PAYOUT]])*Table_1[[#This Row],[ROE]]</f>
        <v/>
      </c>
      <c r="T393" s="98">
        <f>AVERAGE(Table_1[[#This Row],[CAGR LUCRO 5A]],Table_1[[#This Row],[CRESCIMENTO DAMODARAN]])</f>
        <v/>
      </c>
      <c r="U393" s="64">
        <f>(Table_1[[#This Row],[PREÇO JUSTO BAZIN]]-Table_1[[#This Row],[PREÇO]])/Table_1[[#This Row],[PREÇO JUSTO BAZIN]]</f>
        <v/>
      </c>
      <c r="V393" s="129">
        <f>Table_1[[#This Row],[DPA]]/6%</f>
        <v/>
      </c>
      <c r="W393" s="129">
        <f>Table_1[[#This Row],[PREÇO JUSTO BAZIN]]/(1+Table_1[[#This Row],[MARGEM DE DESCONTO]])</f>
        <v/>
      </c>
      <c r="X393" s="64">
        <f>(Table_1[[#This Row],[PREÇO JUSTO GRAHAM]]-Table_1[[#This Row],[PREÇO]])/Table_1[[#This Row],[PREÇO JUSTO GRAHAM]]</f>
        <v/>
      </c>
      <c r="Y393" s="129">
        <f>(22.5*Table_1[[#This Row],[LPA]]*Table_1[[#This Row],[VPA]])^0.5</f>
        <v/>
      </c>
      <c r="Z393" s="129">
        <f>Table_1[[#This Row],[PREÇO JUSTO GRAHAM]]/(1+Table_1[[#This Row],[MARGEM DE DESCONTO]])</f>
        <v/>
      </c>
      <c r="AA393" s="64">
        <f>(Table_1[[#This Row],[PREÇO JUSTO GORDON]]-Table_1[[#This Row],[PREÇO]])/Table_1[[#This Row],[PREÇO JUSTO GORDON]]</f>
        <v/>
      </c>
      <c r="AB393" s="130">
        <f>Table_1[[#This Row],[DPA]]*(1+Table_1[[#This Row],[MÉDIA DE CRESCIMENTO]])</f>
        <v/>
      </c>
      <c r="AC393" s="130">
        <f>Table_1[[#This Row],[D1]]/(Table_1[[#This Row],[RISCO]]-Table_1[[#This Row],[MÉDIA DE CRESCIMENTO]])</f>
        <v/>
      </c>
      <c r="AD393" s="130">
        <f>Table_1[[#This Row],[PREÇO JUSTO GORDON]]/(1+Table_1[[#This Row],[MARGEM DE DESCONTO]])</f>
        <v/>
      </c>
      <c r="AE393" s="78">
        <f>Table_1[[#This Row],[P/L]]/Table_1[[#This Row],[MÉDIA DE CRESCIMENTO]]</f>
        <v/>
      </c>
    </row>
    <row r="394" ht="15.75" customHeight="1">
      <c r="B394" s="77">
        <f>'Dados Status Invest'!A380</f>
        <v/>
      </c>
      <c r="C394" s="60">
        <f>VLOOKUP(Table_1[[#This Row],[AÇÕES]],'Classificação B3'!A:B,2,0)</f>
        <v/>
      </c>
      <c r="D394" s="60">
        <f>VLOOKUP(Table_1[[#This Row],[AÇÕES]],'Classificação B3'!A:D,4,0)</f>
        <v/>
      </c>
      <c r="E394" s="60">
        <f>VLOOKUP(Table_1[[#This Row],[AÇÕES]],'Classificação B3'!A:F,6,0)</f>
        <v/>
      </c>
      <c r="F394" s="60">
        <f>VLOOKUP(Table_1[[#This Row],[AÇÕES]],'Classificação B3'!A:G,7,0)</f>
        <v/>
      </c>
      <c r="G394" s="61">
        <f>VLOOKUP(Table_1[[#This Row],[AÇÕES]],'Dados Status Invest'!A:B,2,0)</f>
        <v/>
      </c>
      <c r="H394" s="62">
        <f>VLOOKUP(Table_1[[#This Row],[AÇÕES]],'Dados Status Invest'!A:C,3,0)/100</f>
        <v/>
      </c>
      <c r="I394" s="62">
        <f>VLOOKUP(Table_1[[#This Row],[AÇÕES]],'Dados Status Invest'!A:D,4,0)/100</f>
        <v/>
      </c>
      <c r="J394" s="63">
        <f>VLOOKUP(Table_1[[#This Row],[AÇÕES]],'Dados Status Invest'!A:AB,28,0)</f>
        <v/>
      </c>
      <c r="K394" s="63">
        <f>VLOOKUP(Table_1[[#This Row],[AÇÕES]],'Dados Status Invest'!A:AA,27,0)</f>
        <v/>
      </c>
      <c r="L394" s="63">
        <f>Table_1[[#This Row],[PREÇO]]*Table_1[[#This Row],[DY]]</f>
        <v/>
      </c>
      <c r="M394" s="62">
        <f>$E$13</f>
        <v/>
      </c>
      <c r="N394" s="62" t="n">
        <v>0.3</v>
      </c>
      <c r="O394" s="62">
        <f>Table_1[[#This Row],[DPA]]/Table_1[[#This Row],[LPA]]</f>
        <v/>
      </c>
      <c r="P394" s="62">
        <f>IF(Table_1[[#This Row],[PAYOUT]]&lt;=40%,"CRESCIMENTO",IF(Table_1[[#This Row],[PAYOUT]]&lt;=60%,"INDEFINIDO","DIVIDENDOS"))</f>
        <v/>
      </c>
      <c r="Q394" s="62">
        <f>VLOOKUP(Table_1[[#This Row],[AÇÕES]],'Dados Status Invest'!A:R,18,0)/100</f>
        <v/>
      </c>
      <c r="R394" s="62">
        <f>VLOOKUP(Table_1[[#This Row],[AÇÕES]],'Dados Status Invest'!A:Y,25,0)/100</f>
        <v/>
      </c>
      <c r="S394" s="62">
        <f>(1-Table_1[[#This Row],[PAYOUT]])*Table_1[[#This Row],[ROE]]</f>
        <v/>
      </c>
      <c r="T394" s="98">
        <f>AVERAGE(Table_1[[#This Row],[CAGR LUCRO 5A]],Table_1[[#This Row],[CRESCIMENTO DAMODARAN]])</f>
        <v/>
      </c>
      <c r="U394" s="64">
        <f>(Table_1[[#This Row],[PREÇO JUSTO BAZIN]]-Table_1[[#This Row],[PREÇO]])/Table_1[[#This Row],[PREÇO JUSTO BAZIN]]</f>
        <v/>
      </c>
      <c r="V394" s="129">
        <f>Table_1[[#This Row],[DPA]]/6%</f>
        <v/>
      </c>
      <c r="W394" s="129">
        <f>Table_1[[#This Row],[PREÇO JUSTO BAZIN]]/(1+Table_1[[#This Row],[MARGEM DE DESCONTO]])</f>
        <v/>
      </c>
      <c r="X394" s="64">
        <f>(Table_1[[#This Row],[PREÇO JUSTO GRAHAM]]-Table_1[[#This Row],[PREÇO]])/Table_1[[#This Row],[PREÇO JUSTO GRAHAM]]</f>
        <v/>
      </c>
      <c r="Y394" s="129">
        <f>(22.5*Table_1[[#This Row],[LPA]]*Table_1[[#This Row],[VPA]])^0.5</f>
        <v/>
      </c>
      <c r="Z394" s="129">
        <f>Table_1[[#This Row],[PREÇO JUSTO GRAHAM]]/(1+Table_1[[#This Row],[MARGEM DE DESCONTO]])</f>
        <v/>
      </c>
      <c r="AA394" s="64">
        <f>(Table_1[[#This Row],[PREÇO JUSTO GORDON]]-Table_1[[#This Row],[PREÇO]])/Table_1[[#This Row],[PREÇO JUSTO GORDON]]</f>
        <v/>
      </c>
      <c r="AB394" s="130">
        <f>Table_1[[#This Row],[DPA]]*(1+Table_1[[#This Row],[MÉDIA DE CRESCIMENTO]])</f>
        <v/>
      </c>
      <c r="AC394" s="130">
        <f>Table_1[[#This Row],[D1]]/(Table_1[[#This Row],[RISCO]]-Table_1[[#This Row],[MÉDIA DE CRESCIMENTO]])</f>
        <v/>
      </c>
      <c r="AD394" s="130">
        <f>Table_1[[#This Row],[PREÇO JUSTO GORDON]]/(1+Table_1[[#This Row],[MARGEM DE DESCONTO]])</f>
        <v/>
      </c>
      <c r="AE394" s="78">
        <f>Table_1[[#This Row],[P/L]]/Table_1[[#This Row],[MÉDIA DE CRESCIMENTO]]</f>
        <v/>
      </c>
    </row>
    <row r="395" ht="15.75" customHeight="1">
      <c r="B395" s="77">
        <f>'Dados Status Invest'!A381</f>
        <v/>
      </c>
      <c r="C395" s="60">
        <f>VLOOKUP(Table_1[[#This Row],[AÇÕES]],'Classificação B3'!A:B,2,0)</f>
        <v/>
      </c>
      <c r="D395" s="60">
        <f>VLOOKUP(Table_1[[#This Row],[AÇÕES]],'Classificação B3'!A:D,4,0)</f>
        <v/>
      </c>
      <c r="E395" s="60">
        <f>VLOOKUP(Table_1[[#This Row],[AÇÕES]],'Classificação B3'!A:F,6,0)</f>
        <v/>
      </c>
      <c r="F395" s="60">
        <f>VLOOKUP(Table_1[[#This Row],[AÇÕES]],'Classificação B3'!A:G,7,0)</f>
        <v/>
      </c>
      <c r="G395" s="61">
        <f>VLOOKUP(Table_1[[#This Row],[AÇÕES]],'Dados Status Invest'!A:B,2,0)</f>
        <v/>
      </c>
      <c r="H395" s="62">
        <f>VLOOKUP(Table_1[[#This Row],[AÇÕES]],'Dados Status Invest'!A:C,3,0)/100</f>
        <v/>
      </c>
      <c r="I395" s="62">
        <f>VLOOKUP(Table_1[[#This Row],[AÇÕES]],'Dados Status Invest'!A:D,4,0)/100</f>
        <v/>
      </c>
      <c r="J395" s="63">
        <f>VLOOKUP(Table_1[[#This Row],[AÇÕES]],'Dados Status Invest'!A:AB,28,0)</f>
        <v/>
      </c>
      <c r="K395" s="63">
        <f>VLOOKUP(Table_1[[#This Row],[AÇÕES]],'Dados Status Invest'!A:AA,27,0)</f>
        <v/>
      </c>
      <c r="L395" s="63">
        <f>Table_1[[#This Row],[PREÇO]]*Table_1[[#This Row],[DY]]</f>
        <v/>
      </c>
      <c r="M395" s="62">
        <f>$E$13</f>
        <v/>
      </c>
      <c r="N395" s="62" t="n">
        <v>0.3</v>
      </c>
      <c r="O395" s="62">
        <f>Table_1[[#This Row],[DPA]]/Table_1[[#This Row],[LPA]]</f>
        <v/>
      </c>
      <c r="P395" s="62">
        <f>IF(Table_1[[#This Row],[PAYOUT]]&lt;=40%,"CRESCIMENTO",IF(Table_1[[#This Row],[PAYOUT]]&lt;=60%,"INDEFINIDO","DIVIDENDOS"))</f>
        <v/>
      </c>
      <c r="Q395" s="62">
        <f>VLOOKUP(Table_1[[#This Row],[AÇÕES]],'Dados Status Invest'!A:R,18,0)/100</f>
        <v/>
      </c>
      <c r="R395" s="62">
        <f>VLOOKUP(Table_1[[#This Row],[AÇÕES]],'Dados Status Invest'!A:Y,25,0)/100</f>
        <v/>
      </c>
      <c r="S395" s="62">
        <f>(1-Table_1[[#This Row],[PAYOUT]])*Table_1[[#This Row],[ROE]]</f>
        <v/>
      </c>
      <c r="T395" s="98">
        <f>AVERAGE(Table_1[[#This Row],[CAGR LUCRO 5A]],Table_1[[#This Row],[CRESCIMENTO DAMODARAN]])</f>
        <v/>
      </c>
      <c r="U395" s="64">
        <f>(Table_1[[#This Row],[PREÇO JUSTO BAZIN]]-Table_1[[#This Row],[PREÇO]])/Table_1[[#This Row],[PREÇO JUSTO BAZIN]]</f>
        <v/>
      </c>
      <c r="V395" s="129">
        <f>Table_1[[#This Row],[DPA]]/6%</f>
        <v/>
      </c>
      <c r="W395" s="129">
        <f>Table_1[[#This Row],[PREÇO JUSTO BAZIN]]/(1+Table_1[[#This Row],[MARGEM DE DESCONTO]])</f>
        <v/>
      </c>
      <c r="X395" s="64">
        <f>(Table_1[[#This Row],[PREÇO JUSTO GRAHAM]]-Table_1[[#This Row],[PREÇO]])/Table_1[[#This Row],[PREÇO JUSTO GRAHAM]]</f>
        <v/>
      </c>
      <c r="Y395" s="129">
        <f>(22.5*Table_1[[#This Row],[LPA]]*Table_1[[#This Row],[VPA]])^0.5</f>
        <v/>
      </c>
      <c r="Z395" s="129">
        <f>Table_1[[#This Row],[PREÇO JUSTO GRAHAM]]/(1+Table_1[[#This Row],[MARGEM DE DESCONTO]])</f>
        <v/>
      </c>
      <c r="AA395" s="64">
        <f>(Table_1[[#This Row],[PREÇO JUSTO GORDON]]-Table_1[[#This Row],[PREÇO]])/Table_1[[#This Row],[PREÇO JUSTO GORDON]]</f>
        <v/>
      </c>
      <c r="AB395" s="130">
        <f>Table_1[[#This Row],[DPA]]*(1+Table_1[[#This Row],[MÉDIA DE CRESCIMENTO]])</f>
        <v/>
      </c>
      <c r="AC395" s="130">
        <f>Table_1[[#This Row],[D1]]/(Table_1[[#This Row],[RISCO]]-Table_1[[#This Row],[MÉDIA DE CRESCIMENTO]])</f>
        <v/>
      </c>
      <c r="AD395" s="130">
        <f>Table_1[[#This Row],[PREÇO JUSTO GORDON]]/(1+Table_1[[#This Row],[MARGEM DE DESCONTO]])</f>
        <v/>
      </c>
      <c r="AE395" s="78">
        <f>Table_1[[#This Row],[P/L]]/Table_1[[#This Row],[MÉDIA DE CRESCIMENTO]]</f>
        <v/>
      </c>
    </row>
    <row r="396" ht="15.75" customHeight="1">
      <c r="B396" s="77">
        <f>'Dados Status Invest'!A382</f>
        <v/>
      </c>
      <c r="C396" s="60">
        <f>VLOOKUP(Table_1[[#This Row],[AÇÕES]],'Classificação B3'!A:B,2,0)</f>
        <v/>
      </c>
      <c r="D396" s="60">
        <f>VLOOKUP(Table_1[[#This Row],[AÇÕES]],'Classificação B3'!A:D,4,0)</f>
        <v/>
      </c>
      <c r="E396" s="60">
        <f>VLOOKUP(Table_1[[#This Row],[AÇÕES]],'Classificação B3'!A:F,6,0)</f>
        <v/>
      </c>
      <c r="F396" s="60">
        <f>VLOOKUP(Table_1[[#This Row],[AÇÕES]],'Classificação B3'!A:G,7,0)</f>
        <v/>
      </c>
      <c r="G396" s="61">
        <f>VLOOKUP(Table_1[[#This Row],[AÇÕES]],'Dados Status Invest'!A:B,2,0)</f>
        <v/>
      </c>
      <c r="H396" s="62">
        <f>VLOOKUP(Table_1[[#This Row],[AÇÕES]],'Dados Status Invest'!A:C,3,0)/100</f>
        <v/>
      </c>
      <c r="I396" s="62">
        <f>VLOOKUP(Table_1[[#This Row],[AÇÕES]],'Dados Status Invest'!A:D,4,0)/100</f>
        <v/>
      </c>
      <c r="J396" s="63">
        <f>VLOOKUP(Table_1[[#This Row],[AÇÕES]],'Dados Status Invest'!A:AB,28,0)</f>
        <v/>
      </c>
      <c r="K396" s="63">
        <f>VLOOKUP(Table_1[[#This Row],[AÇÕES]],'Dados Status Invest'!A:AA,27,0)</f>
        <v/>
      </c>
      <c r="L396" s="63">
        <f>Table_1[[#This Row],[PREÇO]]*Table_1[[#This Row],[DY]]</f>
        <v/>
      </c>
      <c r="M396" s="62">
        <f>$E$13</f>
        <v/>
      </c>
      <c r="N396" s="62" t="n">
        <v>0.3</v>
      </c>
      <c r="O396" s="62">
        <f>Table_1[[#This Row],[DPA]]/Table_1[[#This Row],[LPA]]</f>
        <v/>
      </c>
      <c r="P396" s="62">
        <f>IF(Table_1[[#This Row],[PAYOUT]]&lt;=40%,"CRESCIMENTO",IF(Table_1[[#This Row],[PAYOUT]]&lt;=60%,"INDEFINIDO","DIVIDENDOS"))</f>
        <v/>
      </c>
      <c r="Q396" s="62">
        <f>VLOOKUP(Table_1[[#This Row],[AÇÕES]],'Dados Status Invest'!A:R,18,0)/100</f>
        <v/>
      </c>
      <c r="R396" s="62">
        <f>VLOOKUP(Table_1[[#This Row],[AÇÕES]],'Dados Status Invest'!A:Y,25,0)/100</f>
        <v/>
      </c>
      <c r="S396" s="62">
        <f>(1-Table_1[[#This Row],[PAYOUT]])*Table_1[[#This Row],[ROE]]</f>
        <v/>
      </c>
      <c r="T396" s="98">
        <f>AVERAGE(Table_1[[#This Row],[CAGR LUCRO 5A]],Table_1[[#This Row],[CRESCIMENTO DAMODARAN]])</f>
        <v/>
      </c>
      <c r="U396" s="64">
        <f>(Table_1[[#This Row],[PREÇO JUSTO BAZIN]]-Table_1[[#This Row],[PREÇO]])/Table_1[[#This Row],[PREÇO JUSTO BAZIN]]</f>
        <v/>
      </c>
      <c r="V396" s="129">
        <f>Table_1[[#This Row],[DPA]]/6%</f>
        <v/>
      </c>
      <c r="W396" s="129">
        <f>Table_1[[#This Row],[PREÇO JUSTO BAZIN]]/(1+Table_1[[#This Row],[MARGEM DE DESCONTO]])</f>
        <v/>
      </c>
      <c r="X396" s="64">
        <f>(Table_1[[#This Row],[PREÇO JUSTO GRAHAM]]-Table_1[[#This Row],[PREÇO]])/Table_1[[#This Row],[PREÇO JUSTO GRAHAM]]</f>
        <v/>
      </c>
      <c r="Y396" s="129">
        <f>(22.5*Table_1[[#This Row],[LPA]]*Table_1[[#This Row],[VPA]])^0.5</f>
        <v/>
      </c>
      <c r="Z396" s="129">
        <f>Table_1[[#This Row],[PREÇO JUSTO GRAHAM]]/(1+Table_1[[#This Row],[MARGEM DE DESCONTO]])</f>
        <v/>
      </c>
      <c r="AA396" s="64">
        <f>(Table_1[[#This Row],[PREÇO JUSTO GORDON]]-Table_1[[#This Row],[PREÇO]])/Table_1[[#This Row],[PREÇO JUSTO GORDON]]</f>
        <v/>
      </c>
      <c r="AB396" s="130">
        <f>Table_1[[#This Row],[DPA]]*(1+Table_1[[#This Row],[MÉDIA DE CRESCIMENTO]])</f>
        <v/>
      </c>
      <c r="AC396" s="130">
        <f>Table_1[[#This Row],[D1]]/(Table_1[[#This Row],[RISCO]]-Table_1[[#This Row],[MÉDIA DE CRESCIMENTO]])</f>
        <v/>
      </c>
      <c r="AD396" s="130">
        <f>Table_1[[#This Row],[PREÇO JUSTO GORDON]]/(1+Table_1[[#This Row],[MARGEM DE DESCONTO]])</f>
        <v/>
      </c>
      <c r="AE396" s="78">
        <f>Table_1[[#This Row],[P/L]]/Table_1[[#This Row],[MÉDIA DE CRESCIMENTO]]</f>
        <v/>
      </c>
    </row>
    <row r="397" ht="15.75" customHeight="1">
      <c r="B397" s="77">
        <f>'Dados Status Invest'!A383</f>
        <v/>
      </c>
      <c r="C397" s="60">
        <f>VLOOKUP(Table_1[[#This Row],[AÇÕES]],'Classificação B3'!A:B,2,0)</f>
        <v/>
      </c>
      <c r="D397" s="60">
        <f>VLOOKUP(Table_1[[#This Row],[AÇÕES]],'Classificação B3'!A:D,4,0)</f>
        <v/>
      </c>
      <c r="E397" s="60">
        <f>VLOOKUP(Table_1[[#This Row],[AÇÕES]],'Classificação B3'!A:F,6,0)</f>
        <v/>
      </c>
      <c r="F397" s="60">
        <f>VLOOKUP(Table_1[[#This Row],[AÇÕES]],'Classificação B3'!A:G,7,0)</f>
        <v/>
      </c>
      <c r="G397" s="61">
        <f>VLOOKUP(Table_1[[#This Row],[AÇÕES]],'Dados Status Invest'!A:B,2,0)</f>
        <v/>
      </c>
      <c r="H397" s="62">
        <f>VLOOKUP(Table_1[[#This Row],[AÇÕES]],'Dados Status Invest'!A:C,3,0)/100</f>
        <v/>
      </c>
      <c r="I397" s="62">
        <f>VLOOKUP(Table_1[[#This Row],[AÇÕES]],'Dados Status Invest'!A:D,4,0)/100</f>
        <v/>
      </c>
      <c r="J397" s="63">
        <f>VLOOKUP(Table_1[[#This Row],[AÇÕES]],'Dados Status Invest'!A:AB,28,0)</f>
        <v/>
      </c>
      <c r="K397" s="63">
        <f>VLOOKUP(Table_1[[#This Row],[AÇÕES]],'Dados Status Invest'!A:AA,27,0)</f>
        <v/>
      </c>
      <c r="L397" s="63">
        <f>Table_1[[#This Row],[PREÇO]]*Table_1[[#This Row],[DY]]</f>
        <v/>
      </c>
      <c r="M397" s="62">
        <f>$E$13</f>
        <v/>
      </c>
      <c r="N397" s="62" t="n">
        <v>0.3</v>
      </c>
      <c r="O397" s="62">
        <f>Table_1[[#This Row],[DPA]]/Table_1[[#This Row],[LPA]]</f>
        <v/>
      </c>
      <c r="P397" s="62">
        <f>IF(Table_1[[#This Row],[PAYOUT]]&lt;=40%,"CRESCIMENTO",IF(Table_1[[#This Row],[PAYOUT]]&lt;=60%,"INDEFINIDO","DIVIDENDOS"))</f>
        <v/>
      </c>
      <c r="Q397" s="62">
        <f>VLOOKUP(Table_1[[#This Row],[AÇÕES]],'Dados Status Invest'!A:R,18,0)/100</f>
        <v/>
      </c>
      <c r="R397" s="62">
        <f>VLOOKUP(Table_1[[#This Row],[AÇÕES]],'Dados Status Invest'!A:Y,25,0)/100</f>
        <v/>
      </c>
      <c r="S397" s="62">
        <f>(1-Table_1[[#This Row],[PAYOUT]])*Table_1[[#This Row],[ROE]]</f>
        <v/>
      </c>
      <c r="T397" s="98">
        <f>AVERAGE(Table_1[[#This Row],[CAGR LUCRO 5A]],Table_1[[#This Row],[CRESCIMENTO DAMODARAN]])</f>
        <v/>
      </c>
      <c r="U397" s="64">
        <f>(Table_1[[#This Row],[PREÇO JUSTO BAZIN]]-Table_1[[#This Row],[PREÇO]])/Table_1[[#This Row],[PREÇO JUSTO BAZIN]]</f>
        <v/>
      </c>
      <c r="V397" s="129">
        <f>Table_1[[#This Row],[DPA]]/6%</f>
        <v/>
      </c>
      <c r="W397" s="129">
        <f>Table_1[[#This Row],[PREÇO JUSTO BAZIN]]/(1+Table_1[[#This Row],[MARGEM DE DESCONTO]])</f>
        <v/>
      </c>
      <c r="X397" s="64">
        <f>(Table_1[[#This Row],[PREÇO JUSTO GRAHAM]]-Table_1[[#This Row],[PREÇO]])/Table_1[[#This Row],[PREÇO JUSTO GRAHAM]]</f>
        <v/>
      </c>
      <c r="Y397" s="129">
        <f>(22.5*Table_1[[#This Row],[LPA]]*Table_1[[#This Row],[VPA]])^0.5</f>
        <v/>
      </c>
      <c r="Z397" s="129">
        <f>Table_1[[#This Row],[PREÇO JUSTO GRAHAM]]/(1+Table_1[[#This Row],[MARGEM DE DESCONTO]])</f>
        <v/>
      </c>
      <c r="AA397" s="64">
        <f>(Table_1[[#This Row],[PREÇO JUSTO GORDON]]-Table_1[[#This Row],[PREÇO]])/Table_1[[#This Row],[PREÇO JUSTO GORDON]]</f>
        <v/>
      </c>
      <c r="AB397" s="130">
        <f>Table_1[[#This Row],[DPA]]*(1+Table_1[[#This Row],[MÉDIA DE CRESCIMENTO]])</f>
        <v/>
      </c>
      <c r="AC397" s="130">
        <f>Table_1[[#This Row],[D1]]/(Table_1[[#This Row],[RISCO]]-Table_1[[#This Row],[MÉDIA DE CRESCIMENTO]])</f>
        <v/>
      </c>
      <c r="AD397" s="130">
        <f>Table_1[[#This Row],[PREÇO JUSTO GORDON]]/(1+Table_1[[#This Row],[MARGEM DE DESCONTO]])</f>
        <v/>
      </c>
      <c r="AE397" s="78">
        <f>Table_1[[#This Row],[P/L]]/Table_1[[#This Row],[MÉDIA DE CRESCIMENTO]]</f>
        <v/>
      </c>
    </row>
    <row r="398" ht="15.75" customHeight="1">
      <c r="B398" s="77">
        <f>'Dados Status Invest'!A384</f>
        <v/>
      </c>
      <c r="C398" s="60">
        <f>VLOOKUP(Table_1[[#This Row],[AÇÕES]],'Classificação B3'!A:B,2,0)</f>
        <v/>
      </c>
      <c r="D398" s="60">
        <f>VLOOKUP(Table_1[[#This Row],[AÇÕES]],'Classificação B3'!A:D,4,0)</f>
        <v/>
      </c>
      <c r="E398" s="60">
        <f>VLOOKUP(Table_1[[#This Row],[AÇÕES]],'Classificação B3'!A:F,6,0)</f>
        <v/>
      </c>
      <c r="F398" s="60">
        <f>VLOOKUP(Table_1[[#This Row],[AÇÕES]],'Classificação B3'!A:G,7,0)</f>
        <v/>
      </c>
      <c r="G398" s="61">
        <f>VLOOKUP(Table_1[[#This Row],[AÇÕES]],'Dados Status Invest'!A:B,2,0)</f>
        <v/>
      </c>
      <c r="H398" s="62">
        <f>VLOOKUP(Table_1[[#This Row],[AÇÕES]],'Dados Status Invest'!A:C,3,0)/100</f>
        <v/>
      </c>
      <c r="I398" s="62">
        <f>VLOOKUP(Table_1[[#This Row],[AÇÕES]],'Dados Status Invest'!A:D,4,0)/100</f>
        <v/>
      </c>
      <c r="J398" s="63">
        <f>VLOOKUP(Table_1[[#This Row],[AÇÕES]],'Dados Status Invest'!A:AB,28,0)</f>
        <v/>
      </c>
      <c r="K398" s="63">
        <f>VLOOKUP(Table_1[[#This Row],[AÇÕES]],'Dados Status Invest'!A:AA,27,0)</f>
        <v/>
      </c>
      <c r="L398" s="63">
        <f>Table_1[[#This Row],[PREÇO]]*Table_1[[#This Row],[DY]]</f>
        <v/>
      </c>
      <c r="M398" s="62">
        <f>$E$13</f>
        <v/>
      </c>
      <c r="N398" s="62" t="n">
        <v>0.3</v>
      </c>
      <c r="O398" s="62">
        <f>Table_1[[#This Row],[DPA]]/Table_1[[#This Row],[LPA]]</f>
        <v/>
      </c>
      <c r="P398" s="62">
        <f>IF(Table_1[[#This Row],[PAYOUT]]&lt;=40%,"CRESCIMENTO",IF(Table_1[[#This Row],[PAYOUT]]&lt;=60%,"INDEFINIDO","DIVIDENDOS"))</f>
        <v/>
      </c>
      <c r="Q398" s="62">
        <f>VLOOKUP(Table_1[[#This Row],[AÇÕES]],'Dados Status Invest'!A:R,18,0)/100</f>
        <v/>
      </c>
      <c r="R398" s="62">
        <f>VLOOKUP(Table_1[[#This Row],[AÇÕES]],'Dados Status Invest'!A:Y,25,0)/100</f>
        <v/>
      </c>
      <c r="S398" s="62">
        <f>(1-Table_1[[#This Row],[PAYOUT]])*Table_1[[#This Row],[ROE]]</f>
        <v/>
      </c>
      <c r="T398" s="98">
        <f>AVERAGE(Table_1[[#This Row],[CAGR LUCRO 5A]],Table_1[[#This Row],[CRESCIMENTO DAMODARAN]])</f>
        <v/>
      </c>
      <c r="U398" s="64">
        <f>(Table_1[[#This Row],[PREÇO JUSTO BAZIN]]-Table_1[[#This Row],[PREÇO]])/Table_1[[#This Row],[PREÇO JUSTO BAZIN]]</f>
        <v/>
      </c>
      <c r="V398" s="129">
        <f>Table_1[[#This Row],[DPA]]/6%</f>
        <v/>
      </c>
      <c r="W398" s="129">
        <f>Table_1[[#This Row],[PREÇO JUSTO BAZIN]]/(1+Table_1[[#This Row],[MARGEM DE DESCONTO]])</f>
        <v/>
      </c>
      <c r="X398" s="64">
        <f>(Table_1[[#This Row],[PREÇO JUSTO GRAHAM]]-Table_1[[#This Row],[PREÇO]])/Table_1[[#This Row],[PREÇO JUSTO GRAHAM]]</f>
        <v/>
      </c>
      <c r="Y398" s="129">
        <f>(22.5*Table_1[[#This Row],[LPA]]*Table_1[[#This Row],[VPA]])^0.5</f>
        <v/>
      </c>
      <c r="Z398" s="129">
        <f>Table_1[[#This Row],[PREÇO JUSTO GRAHAM]]/(1+Table_1[[#This Row],[MARGEM DE DESCONTO]])</f>
        <v/>
      </c>
      <c r="AA398" s="64">
        <f>(Table_1[[#This Row],[PREÇO JUSTO GORDON]]-Table_1[[#This Row],[PREÇO]])/Table_1[[#This Row],[PREÇO JUSTO GORDON]]</f>
        <v/>
      </c>
      <c r="AB398" s="130">
        <f>Table_1[[#This Row],[DPA]]*(1+Table_1[[#This Row],[MÉDIA DE CRESCIMENTO]])</f>
        <v/>
      </c>
      <c r="AC398" s="130">
        <f>Table_1[[#This Row],[D1]]/(Table_1[[#This Row],[RISCO]]-Table_1[[#This Row],[MÉDIA DE CRESCIMENTO]])</f>
        <v/>
      </c>
      <c r="AD398" s="130">
        <f>Table_1[[#This Row],[PREÇO JUSTO GORDON]]/(1+Table_1[[#This Row],[MARGEM DE DESCONTO]])</f>
        <v/>
      </c>
      <c r="AE398" s="78">
        <f>Table_1[[#This Row],[P/L]]/Table_1[[#This Row],[MÉDIA DE CRESCIMENTO]]</f>
        <v/>
      </c>
    </row>
    <row r="399" ht="15.75" customHeight="1">
      <c r="B399" s="77">
        <f>'Dados Status Invest'!A385</f>
        <v/>
      </c>
      <c r="C399" s="60">
        <f>VLOOKUP(Table_1[[#This Row],[AÇÕES]],'Classificação B3'!A:B,2,0)</f>
        <v/>
      </c>
      <c r="D399" s="60">
        <f>VLOOKUP(Table_1[[#This Row],[AÇÕES]],'Classificação B3'!A:D,4,0)</f>
        <v/>
      </c>
      <c r="E399" s="60">
        <f>VLOOKUP(Table_1[[#This Row],[AÇÕES]],'Classificação B3'!A:F,6,0)</f>
        <v/>
      </c>
      <c r="F399" s="60">
        <f>VLOOKUP(Table_1[[#This Row],[AÇÕES]],'Classificação B3'!A:G,7,0)</f>
        <v/>
      </c>
      <c r="G399" s="61">
        <f>VLOOKUP(Table_1[[#This Row],[AÇÕES]],'Dados Status Invest'!A:B,2,0)</f>
        <v/>
      </c>
      <c r="H399" s="62">
        <f>VLOOKUP(Table_1[[#This Row],[AÇÕES]],'Dados Status Invest'!A:C,3,0)/100</f>
        <v/>
      </c>
      <c r="I399" s="62">
        <f>VLOOKUP(Table_1[[#This Row],[AÇÕES]],'Dados Status Invest'!A:D,4,0)/100</f>
        <v/>
      </c>
      <c r="J399" s="63">
        <f>VLOOKUP(Table_1[[#This Row],[AÇÕES]],'Dados Status Invest'!A:AB,28,0)</f>
        <v/>
      </c>
      <c r="K399" s="63">
        <f>VLOOKUP(Table_1[[#This Row],[AÇÕES]],'Dados Status Invest'!A:AA,27,0)</f>
        <v/>
      </c>
      <c r="L399" s="63">
        <f>Table_1[[#This Row],[PREÇO]]*Table_1[[#This Row],[DY]]</f>
        <v/>
      </c>
      <c r="M399" s="62">
        <f>$E$13</f>
        <v/>
      </c>
      <c r="N399" s="62" t="n">
        <v>0.3</v>
      </c>
      <c r="O399" s="62">
        <f>Table_1[[#This Row],[DPA]]/Table_1[[#This Row],[LPA]]</f>
        <v/>
      </c>
      <c r="P399" s="62">
        <f>IF(Table_1[[#This Row],[PAYOUT]]&lt;=40%,"CRESCIMENTO",IF(Table_1[[#This Row],[PAYOUT]]&lt;=60%,"INDEFINIDO","DIVIDENDOS"))</f>
        <v/>
      </c>
      <c r="Q399" s="62">
        <f>VLOOKUP(Table_1[[#This Row],[AÇÕES]],'Dados Status Invest'!A:R,18,0)/100</f>
        <v/>
      </c>
      <c r="R399" s="62">
        <f>VLOOKUP(Table_1[[#This Row],[AÇÕES]],'Dados Status Invest'!A:Y,25,0)/100</f>
        <v/>
      </c>
      <c r="S399" s="62">
        <f>(1-Table_1[[#This Row],[PAYOUT]])*Table_1[[#This Row],[ROE]]</f>
        <v/>
      </c>
      <c r="T399" s="98">
        <f>AVERAGE(Table_1[[#This Row],[CAGR LUCRO 5A]],Table_1[[#This Row],[CRESCIMENTO DAMODARAN]])</f>
        <v/>
      </c>
      <c r="U399" s="64">
        <f>(Table_1[[#This Row],[PREÇO JUSTO BAZIN]]-Table_1[[#This Row],[PREÇO]])/Table_1[[#This Row],[PREÇO JUSTO BAZIN]]</f>
        <v/>
      </c>
      <c r="V399" s="129">
        <f>Table_1[[#This Row],[DPA]]/6%</f>
        <v/>
      </c>
      <c r="W399" s="129">
        <f>Table_1[[#This Row],[PREÇO JUSTO BAZIN]]/(1+Table_1[[#This Row],[MARGEM DE DESCONTO]])</f>
        <v/>
      </c>
      <c r="X399" s="64">
        <f>(Table_1[[#This Row],[PREÇO JUSTO GRAHAM]]-Table_1[[#This Row],[PREÇO]])/Table_1[[#This Row],[PREÇO JUSTO GRAHAM]]</f>
        <v/>
      </c>
      <c r="Y399" s="129">
        <f>(22.5*Table_1[[#This Row],[LPA]]*Table_1[[#This Row],[VPA]])^0.5</f>
        <v/>
      </c>
      <c r="Z399" s="129">
        <f>Table_1[[#This Row],[PREÇO JUSTO GRAHAM]]/(1+Table_1[[#This Row],[MARGEM DE DESCONTO]])</f>
        <v/>
      </c>
      <c r="AA399" s="64">
        <f>(Table_1[[#This Row],[PREÇO JUSTO GORDON]]-Table_1[[#This Row],[PREÇO]])/Table_1[[#This Row],[PREÇO JUSTO GORDON]]</f>
        <v/>
      </c>
      <c r="AB399" s="130">
        <f>Table_1[[#This Row],[DPA]]*(1+Table_1[[#This Row],[MÉDIA DE CRESCIMENTO]])</f>
        <v/>
      </c>
      <c r="AC399" s="130">
        <f>Table_1[[#This Row],[D1]]/(Table_1[[#This Row],[RISCO]]-Table_1[[#This Row],[MÉDIA DE CRESCIMENTO]])</f>
        <v/>
      </c>
      <c r="AD399" s="130">
        <f>Table_1[[#This Row],[PREÇO JUSTO GORDON]]/(1+Table_1[[#This Row],[MARGEM DE DESCONTO]])</f>
        <v/>
      </c>
      <c r="AE399" s="78">
        <f>Table_1[[#This Row],[P/L]]/Table_1[[#This Row],[MÉDIA DE CRESCIMENTO]]</f>
        <v/>
      </c>
    </row>
    <row r="400" ht="15.75" customHeight="1">
      <c r="B400" s="77">
        <f>'Dados Status Invest'!A386</f>
        <v/>
      </c>
      <c r="C400" s="60">
        <f>VLOOKUP(Table_1[[#This Row],[AÇÕES]],'Classificação B3'!A:B,2,0)</f>
        <v/>
      </c>
      <c r="D400" s="60">
        <f>VLOOKUP(Table_1[[#This Row],[AÇÕES]],'Classificação B3'!A:D,4,0)</f>
        <v/>
      </c>
      <c r="E400" s="60">
        <f>VLOOKUP(Table_1[[#This Row],[AÇÕES]],'Classificação B3'!A:F,6,0)</f>
        <v/>
      </c>
      <c r="F400" s="60">
        <f>VLOOKUP(Table_1[[#This Row],[AÇÕES]],'Classificação B3'!A:G,7,0)</f>
        <v/>
      </c>
      <c r="G400" s="61">
        <f>VLOOKUP(Table_1[[#This Row],[AÇÕES]],'Dados Status Invest'!A:B,2,0)</f>
        <v/>
      </c>
      <c r="H400" s="62">
        <f>VLOOKUP(Table_1[[#This Row],[AÇÕES]],'Dados Status Invest'!A:C,3,0)/100</f>
        <v/>
      </c>
      <c r="I400" s="62">
        <f>VLOOKUP(Table_1[[#This Row],[AÇÕES]],'Dados Status Invest'!A:D,4,0)/100</f>
        <v/>
      </c>
      <c r="J400" s="63">
        <f>VLOOKUP(Table_1[[#This Row],[AÇÕES]],'Dados Status Invest'!A:AB,28,0)</f>
        <v/>
      </c>
      <c r="K400" s="63">
        <f>VLOOKUP(Table_1[[#This Row],[AÇÕES]],'Dados Status Invest'!A:AA,27,0)</f>
        <v/>
      </c>
      <c r="L400" s="63">
        <f>Table_1[[#This Row],[PREÇO]]*Table_1[[#This Row],[DY]]</f>
        <v/>
      </c>
      <c r="M400" s="62">
        <f>$E$13</f>
        <v/>
      </c>
      <c r="N400" s="62" t="n">
        <v>0.3</v>
      </c>
      <c r="O400" s="62">
        <f>Table_1[[#This Row],[DPA]]/Table_1[[#This Row],[LPA]]</f>
        <v/>
      </c>
      <c r="P400" s="62">
        <f>IF(Table_1[[#This Row],[PAYOUT]]&lt;=40%,"CRESCIMENTO",IF(Table_1[[#This Row],[PAYOUT]]&lt;=60%,"INDEFINIDO","DIVIDENDOS"))</f>
        <v/>
      </c>
      <c r="Q400" s="62">
        <f>VLOOKUP(Table_1[[#This Row],[AÇÕES]],'Dados Status Invest'!A:R,18,0)/100</f>
        <v/>
      </c>
      <c r="R400" s="62">
        <f>VLOOKUP(Table_1[[#This Row],[AÇÕES]],'Dados Status Invest'!A:Y,25,0)/100</f>
        <v/>
      </c>
      <c r="S400" s="62">
        <f>(1-Table_1[[#This Row],[PAYOUT]])*Table_1[[#This Row],[ROE]]</f>
        <v/>
      </c>
      <c r="T400" s="98">
        <f>AVERAGE(Table_1[[#This Row],[CAGR LUCRO 5A]],Table_1[[#This Row],[CRESCIMENTO DAMODARAN]])</f>
        <v/>
      </c>
      <c r="U400" s="64">
        <f>(Table_1[[#This Row],[PREÇO JUSTO BAZIN]]-Table_1[[#This Row],[PREÇO]])/Table_1[[#This Row],[PREÇO JUSTO BAZIN]]</f>
        <v/>
      </c>
      <c r="V400" s="129">
        <f>Table_1[[#This Row],[DPA]]/6%</f>
        <v/>
      </c>
      <c r="W400" s="129">
        <f>Table_1[[#This Row],[PREÇO JUSTO BAZIN]]/(1+Table_1[[#This Row],[MARGEM DE DESCONTO]])</f>
        <v/>
      </c>
      <c r="X400" s="64">
        <f>(Table_1[[#This Row],[PREÇO JUSTO GRAHAM]]-Table_1[[#This Row],[PREÇO]])/Table_1[[#This Row],[PREÇO JUSTO GRAHAM]]</f>
        <v/>
      </c>
      <c r="Y400" s="129">
        <f>(22.5*Table_1[[#This Row],[LPA]]*Table_1[[#This Row],[VPA]])^0.5</f>
        <v/>
      </c>
      <c r="Z400" s="129">
        <f>Table_1[[#This Row],[PREÇO JUSTO GRAHAM]]/(1+Table_1[[#This Row],[MARGEM DE DESCONTO]])</f>
        <v/>
      </c>
      <c r="AA400" s="64">
        <f>(Table_1[[#This Row],[PREÇO JUSTO GORDON]]-Table_1[[#This Row],[PREÇO]])/Table_1[[#This Row],[PREÇO JUSTO GORDON]]</f>
        <v/>
      </c>
      <c r="AB400" s="130">
        <f>Table_1[[#This Row],[DPA]]*(1+Table_1[[#This Row],[MÉDIA DE CRESCIMENTO]])</f>
        <v/>
      </c>
      <c r="AC400" s="130">
        <f>Table_1[[#This Row],[D1]]/(Table_1[[#This Row],[RISCO]]-Table_1[[#This Row],[MÉDIA DE CRESCIMENTO]])</f>
        <v/>
      </c>
      <c r="AD400" s="130">
        <f>Table_1[[#This Row],[PREÇO JUSTO GORDON]]/(1+Table_1[[#This Row],[MARGEM DE DESCONTO]])</f>
        <v/>
      </c>
      <c r="AE400" s="78">
        <f>Table_1[[#This Row],[P/L]]/Table_1[[#This Row],[MÉDIA DE CRESCIMENTO]]</f>
        <v/>
      </c>
    </row>
    <row r="401" ht="15.75" customHeight="1">
      <c r="B401" s="77">
        <f>'Dados Status Invest'!A387</f>
        <v/>
      </c>
      <c r="C401" s="60">
        <f>VLOOKUP(Table_1[[#This Row],[AÇÕES]],'Classificação B3'!A:B,2,0)</f>
        <v/>
      </c>
      <c r="D401" s="60">
        <f>VLOOKUP(Table_1[[#This Row],[AÇÕES]],'Classificação B3'!A:D,4,0)</f>
        <v/>
      </c>
      <c r="E401" s="60">
        <f>VLOOKUP(Table_1[[#This Row],[AÇÕES]],'Classificação B3'!A:F,6,0)</f>
        <v/>
      </c>
      <c r="F401" s="60">
        <f>VLOOKUP(Table_1[[#This Row],[AÇÕES]],'Classificação B3'!A:G,7,0)</f>
        <v/>
      </c>
      <c r="G401" s="61">
        <f>VLOOKUP(Table_1[[#This Row],[AÇÕES]],'Dados Status Invest'!A:B,2,0)</f>
        <v/>
      </c>
      <c r="H401" s="62">
        <f>VLOOKUP(Table_1[[#This Row],[AÇÕES]],'Dados Status Invest'!A:C,3,0)/100</f>
        <v/>
      </c>
      <c r="I401" s="62">
        <f>VLOOKUP(Table_1[[#This Row],[AÇÕES]],'Dados Status Invest'!A:D,4,0)/100</f>
        <v/>
      </c>
      <c r="J401" s="63">
        <f>VLOOKUP(Table_1[[#This Row],[AÇÕES]],'Dados Status Invest'!A:AB,28,0)</f>
        <v/>
      </c>
      <c r="K401" s="63">
        <f>VLOOKUP(Table_1[[#This Row],[AÇÕES]],'Dados Status Invest'!A:AA,27,0)</f>
        <v/>
      </c>
      <c r="L401" s="63">
        <f>Table_1[[#This Row],[PREÇO]]*Table_1[[#This Row],[DY]]</f>
        <v/>
      </c>
      <c r="M401" s="62">
        <f>$E$13</f>
        <v/>
      </c>
      <c r="N401" s="62" t="n">
        <v>0.3</v>
      </c>
      <c r="O401" s="62">
        <f>Table_1[[#This Row],[DPA]]/Table_1[[#This Row],[LPA]]</f>
        <v/>
      </c>
      <c r="P401" s="62">
        <f>IF(Table_1[[#This Row],[PAYOUT]]&lt;=40%,"CRESCIMENTO",IF(Table_1[[#This Row],[PAYOUT]]&lt;=60%,"INDEFINIDO","DIVIDENDOS"))</f>
        <v/>
      </c>
      <c r="Q401" s="62">
        <f>VLOOKUP(Table_1[[#This Row],[AÇÕES]],'Dados Status Invest'!A:R,18,0)/100</f>
        <v/>
      </c>
      <c r="R401" s="62">
        <f>VLOOKUP(Table_1[[#This Row],[AÇÕES]],'Dados Status Invest'!A:Y,25,0)/100</f>
        <v/>
      </c>
      <c r="S401" s="62">
        <f>(1-Table_1[[#This Row],[PAYOUT]])*Table_1[[#This Row],[ROE]]</f>
        <v/>
      </c>
      <c r="T401" s="98">
        <f>AVERAGE(Table_1[[#This Row],[CAGR LUCRO 5A]],Table_1[[#This Row],[CRESCIMENTO DAMODARAN]])</f>
        <v/>
      </c>
      <c r="U401" s="64">
        <f>(Table_1[[#This Row],[PREÇO JUSTO BAZIN]]-Table_1[[#This Row],[PREÇO]])/Table_1[[#This Row],[PREÇO JUSTO BAZIN]]</f>
        <v/>
      </c>
      <c r="V401" s="129">
        <f>Table_1[[#This Row],[DPA]]/6%</f>
        <v/>
      </c>
      <c r="W401" s="129">
        <f>Table_1[[#This Row],[PREÇO JUSTO BAZIN]]/(1+Table_1[[#This Row],[MARGEM DE DESCONTO]])</f>
        <v/>
      </c>
      <c r="X401" s="64">
        <f>(Table_1[[#This Row],[PREÇO JUSTO GRAHAM]]-Table_1[[#This Row],[PREÇO]])/Table_1[[#This Row],[PREÇO JUSTO GRAHAM]]</f>
        <v/>
      </c>
      <c r="Y401" s="129">
        <f>(22.5*Table_1[[#This Row],[LPA]]*Table_1[[#This Row],[VPA]])^0.5</f>
        <v/>
      </c>
      <c r="Z401" s="129">
        <f>Table_1[[#This Row],[PREÇO JUSTO GRAHAM]]/(1+Table_1[[#This Row],[MARGEM DE DESCONTO]])</f>
        <v/>
      </c>
      <c r="AA401" s="64">
        <f>(Table_1[[#This Row],[PREÇO JUSTO GORDON]]-Table_1[[#This Row],[PREÇO]])/Table_1[[#This Row],[PREÇO JUSTO GORDON]]</f>
        <v/>
      </c>
      <c r="AB401" s="130">
        <f>Table_1[[#This Row],[DPA]]*(1+Table_1[[#This Row],[MÉDIA DE CRESCIMENTO]])</f>
        <v/>
      </c>
      <c r="AC401" s="130">
        <f>Table_1[[#This Row],[D1]]/(Table_1[[#This Row],[RISCO]]-Table_1[[#This Row],[MÉDIA DE CRESCIMENTO]])</f>
        <v/>
      </c>
      <c r="AD401" s="130">
        <f>Table_1[[#This Row],[PREÇO JUSTO GORDON]]/(1+Table_1[[#This Row],[MARGEM DE DESCONTO]])</f>
        <v/>
      </c>
      <c r="AE401" s="78">
        <f>Table_1[[#This Row],[P/L]]/Table_1[[#This Row],[MÉDIA DE CRESCIMENTO]]</f>
        <v/>
      </c>
    </row>
    <row r="402" ht="15.75" customHeight="1">
      <c r="B402" s="77">
        <f>'Dados Status Invest'!A388</f>
        <v/>
      </c>
      <c r="C402" s="60">
        <f>VLOOKUP(Table_1[[#This Row],[AÇÕES]],'Classificação B3'!A:B,2,0)</f>
        <v/>
      </c>
      <c r="D402" s="60">
        <f>VLOOKUP(Table_1[[#This Row],[AÇÕES]],'Classificação B3'!A:D,4,0)</f>
        <v/>
      </c>
      <c r="E402" s="60">
        <f>VLOOKUP(Table_1[[#This Row],[AÇÕES]],'Classificação B3'!A:F,6,0)</f>
        <v/>
      </c>
      <c r="F402" s="60">
        <f>VLOOKUP(Table_1[[#This Row],[AÇÕES]],'Classificação B3'!A:G,7,0)</f>
        <v/>
      </c>
      <c r="G402" s="61">
        <f>VLOOKUP(Table_1[[#This Row],[AÇÕES]],'Dados Status Invest'!A:B,2,0)</f>
        <v/>
      </c>
      <c r="H402" s="62">
        <f>VLOOKUP(Table_1[[#This Row],[AÇÕES]],'Dados Status Invest'!A:C,3,0)/100</f>
        <v/>
      </c>
      <c r="I402" s="62">
        <f>VLOOKUP(Table_1[[#This Row],[AÇÕES]],'Dados Status Invest'!A:D,4,0)/100</f>
        <v/>
      </c>
      <c r="J402" s="63">
        <f>VLOOKUP(Table_1[[#This Row],[AÇÕES]],'Dados Status Invest'!A:AB,28,0)</f>
        <v/>
      </c>
      <c r="K402" s="63">
        <f>VLOOKUP(Table_1[[#This Row],[AÇÕES]],'Dados Status Invest'!A:AA,27,0)</f>
        <v/>
      </c>
      <c r="L402" s="63">
        <f>Table_1[[#This Row],[PREÇO]]*Table_1[[#This Row],[DY]]</f>
        <v/>
      </c>
      <c r="M402" s="62">
        <f>$E$13</f>
        <v/>
      </c>
      <c r="N402" s="62" t="n">
        <v>0.3</v>
      </c>
      <c r="O402" s="62">
        <f>Table_1[[#This Row],[DPA]]/Table_1[[#This Row],[LPA]]</f>
        <v/>
      </c>
      <c r="P402" s="62">
        <f>IF(Table_1[[#This Row],[PAYOUT]]&lt;=40%,"CRESCIMENTO",IF(Table_1[[#This Row],[PAYOUT]]&lt;=60%,"INDEFINIDO","DIVIDENDOS"))</f>
        <v/>
      </c>
      <c r="Q402" s="62">
        <f>VLOOKUP(Table_1[[#This Row],[AÇÕES]],'Dados Status Invest'!A:R,18,0)/100</f>
        <v/>
      </c>
      <c r="R402" s="62">
        <f>VLOOKUP(Table_1[[#This Row],[AÇÕES]],'Dados Status Invest'!A:Y,25,0)/100</f>
        <v/>
      </c>
      <c r="S402" s="62">
        <f>(1-Table_1[[#This Row],[PAYOUT]])*Table_1[[#This Row],[ROE]]</f>
        <v/>
      </c>
      <c r="T402" s="98">
        <f>AVERAGE(Table_1[[#This Row],[CAGR LUCRO 5A]],Table_1[[#This Row],[CRESCIMENTO DAMODARAN]])</f>
        <v/>
      </c>
      <c r="U402" s="64">
        <f>(Table_1[[#This Row],[PREÇO JUSTO BAZIN]]-Table_1[[#This Row],[PREÇO]])/Table_1[[#This Row],[PREÇO JUSTO BAZIN]]</f>
        <v/>
      </c>
      <c r="V402" s="129">
        <f>Table_1[[#This Row],[DPA]]/6%</f>
        <v/>
      </c>
      <c r="W402" s="129">
        <f>Table_1[[#This Row],[PREÇO JUSTO BAZIN]]/(1+Table_1[[#This Row],[MARGEM DE DESCONTO]])</f>
        <v/>
      </c>
      <c r="X402" s="64">
        <f>(Table_1[[#This Row],[PREÇO JUSTO GRAHAM]]-Table_1[[#This Row],[PREÇO]])/Table_1[[#This Row],[PREÇO JUSTO GRAHAM]]</f>
        <v/>
      </c>
      <c r="Y402" s="129">
        <f>(22.5*Table_1[[#This Row],[LPA]]*Table_1[[#This Row],[VPA]])^0.5</f>
        <v/>
      </c>
      <c r="Z402" s="129">
        <f>Table_1[[#This Row],[PREÇO JUSTO GRAHAM]]/(1+Table_1[[#This Row],[MARGEM DE DESCONTO]])</f>
        <v/>
      </c>
      <c r="AA402" s="64">
        <f>(Table_1[[#This Row],[PREÇO JUSTO GORDON]]-Table_1[[#This Row],[PREÇO]])/Table_1[[#This Row],[PREÇO JUSTO GORDON]]</f>
        <v/>
      </c>
      <c r="AB402" s="130">
        <f>Table_1[[#This Row],[DPA]]*(1+Table_1[[#This Row],[MÉDIA DE CRESCIMENTO]])</f>
        <v/>
      </c>
      <c r="AC402" s="130">
        <f>Table_1[[#This Row],[D1]]/(Table_1[[#This Row],[RISCO]]-Table_1[[#This Row],[MÉDIA DE CRESCIMENTO]])</f>
        <v/>
      </c>
      <c r="AD402" s="130">
        <f>Table_1[[#This Row],[PREÇO JUSTO GORDON]]/(1+Table_1[[#This Row],[MARGEM DE DESCONTO]])</f>
        <v/>
      </c>
      <c r="AE402" s="78">
        <f>Table_1[[#This Row],[P/L]]/Table_1[[#This Row],[MÉDIA DE CRESCIMENTO]]</f>
        <v/>
      </c>
    </row>
    <row r="403" ht="15.75" customHeight="1">
      <c r="B403" s="77">
        <f>'Dados Status Invest'!A389</f>
        <v/>
      </c>
      <c r="C403" s="60">
        <f>VLOOKUP(Table_1[[#This Row],[AÇÕES]],'Classificação B3'!A:B,2,0)</f>
        <v/>
      </c>
      <c r="D403" s="60">
        <f>VLOOKUP(Table_1[[#This Row],[AÇÕES]],'Classificação B3'!A:D,4,0)</f>
        <v/>
      </c>
      <c r="E403" s="60">
        <f>VLOOKUP(Table_1[[#This Row],[AÇÕES]],'Classificação B3'!A:F,6,0)</f>
        <v/>
      </c>
      <c r="F403" s="60">
        <f>VLOOKUP(Table_1[[#This Row],[AÇÕES]],'Classificação B3'!A:G,7,0)</f>
        <v/>
      </c>
      <c r="G403" s="61">
        <f>VLOOKUP(Table_1[[#This Row],[AÇÕES]],'Dados Status Invest'!A:B,2,0)</f>
        <v/>
      </c>
      <c r="H403" s="62">
        <f>VLOOKUP(Table_1[[#This Row],[AÇÕES]],'Dados Status Invest'!A:C,3,0)/100</f>
        <v/>
      </c>
      <c r="I403" s="62">
        <f>VLOOKUP(Table_1[[#This Row],[AÇÕES]],'Dados Status Invest'!A:D,4,0)/100</f>
        <v/>
      </c>
      <c r="J403" s="63">
        <f>VLOOKUP(Table_1[[#This Row],[AÇÕES]],'Dados Status Invest'!A:AB,28,0)</f>
        <v/>
      </c>
      <c r="K403" s="63">
        <f>VLOOKUP(Table_1[[#This Row],[AÇÕES]],'Dados Status Invest'!A:AA,27,0)</f>
        <v/>
      </c>
      <c r="L403" s="63">
        <f>Table_1[[#This Row],[PREÇO]]*Table_1[[#This Row],[DY]]</f>
        <v/>
      </c>
      <c r="M403" s="62">
        <f>$E$13</f>
        <v/>
      </c>
      <c r="N403" s="62" t="n">
        <v>0.3</v>
      </c>
      <c r="O403" s="62">
        <f>Table_1[[#This Row],[DPA]]/Table_1[[#This Row],[LPA]]</f>
        <v/>
      </c>
      <c r="P403" s="62">
        <f>IF(Table_1[[#This Row],[PAYOUT]]&lt;=40%,"CRESCIMENTO",IF(Table_1[[#This Row],[PAYOUT]]&lt;=60%,"INDEFINIDO","DIVIDENDOS"))</f>
        <v/>
      </c>
      <c r="Q403" s="62">
        <f>VLOOKUP(Table_1[[#This Row],[AÇÕES]],'Dados Status Invest'!A:R,18,0)/100</f>
        <v/>
      </c>
      <c r="R403" s="62">
        <f>VLOOKUP(Table_1[[#This Row],[AÇÕES]],'Dados Status Invest'!A:Y,25,0)/100</f>
        <v/>
      </c>
      <c r="S403" s="62">
        <f>(1-Table_1[[#This Row],[PAYOUT]])*Table_1[[#This Row],[ROE]]</f>
        <v/>
      </c>
      <c r="T403" s="98">
        <f>AVERAGE(Table_1[[#This Row],[CAGR LUCRO 5A]],Table_1[[#This Row],[CRESCIMENTO DAMODARAN]])</f>
        <v/>
      </c>
      <c r="U403" s="64">
        <f>(Table_1[[#This Row],[PREÇO JUSTO BAZIN]]-Table_1[[#This Row],[PREÇO]])/Table_1[[#This Row],[PREÇO JUSTO BAZIN]]</f>
        <v/>
      </c>
      <c r="V403" s="129">
        <f>Table_1[[#This Row],[DPA]]/6%</f>
        <v/>
      </c>
      <c r="W403" s="129">
        <f>Table_1[[#This Row],[PREÇO JUSTO BAZIN]]/(1+Table_1[[#This Row],[MARGEM DE DESCONTO]])</f>
        <v/>
      </c>
      <c r="X403" s="64">
        <f>(Table_1[[#This Row],[PREÇO JUSTO GRAHAM]]-Table_1[[#This Row],[PREÇO]])/Table_1[[#This Row],[PREÇO JUSTO GRAHAM]]</f>
        <v/>
      </c>
      <c r="Y403" s="129">
        <f>(22.5*Table_1[[#This Row],[LPA]]*Table_1[[#This Row],[VPA]])^0.5</f>
        <v/>
      </c>
      <c r="Z403" s="129">
        <f>Table_1[[#This Row],[PREÇO JUSTO GRAHAM]]/(1+Table_1[[#This Row],[MARGEM DE DESCONTO]])</f>
        <v/>
      </c>
      <c r="AA403" s="64">
        <f>(Table_1[[#This Row],[PREÇO JUSTO GORDON]]-Table_1[[#This Row],[PREÇO]])/Table_1[[#This Row],[PREÇO JUSTO GORDON]]</f>
        <v/>
      </c>
      <c r="AB403" s="130">
        <f>Table_1[[#This Row],[DPA]]*(1+Table_1[[#This Row],[MÉDIA DE CRESCIMENTO]])</f>
        <v/>
      </c>
      <c r="AC403" s="130">
        <f>Table_1[[#This Row],[D1]]/(Table_1[[#This Row],[RISCO]]-Table_1[[#This Row],[MÉDIA DE CRESCIMENTO]])</f>
        <v/>
      </c>
      <c r="AD403" s="130">
        <f>Table_1[[#This Row],[PREÇO JUSTO GORDON]]/(1+Table_1[[#This Row],[MARGEM DE DESCONTO]])</f>
        <v/>
      </c>
      <c r="AE403" s="78">
        <f>Table_1[[#This Row],[P/L]]/Table_1[[#This Row],[MÉDIA DE CRESCIMENTO]]</f>
        <v/>
      </c>
    </row>
    <row r="404" ht="15.75" customHeight="1">
      <c r="B404" s="77">
        <f>'Dados Status Invest'!A390</f>
        <v/>
      </c>
      <c r="C404" s="60">
        <f>VLOOKUP(Table_1[[#This Row],[AÇÕES]],'Classificação B3'!A:B,2,0)</f>
        <v/>
      </c>
      <c r="D404" s="60">
        <f>VLOOKUP(Table_1[[#This Row],[AÇÕES]],'Classificação B3'!A:D,4,0)</f>
        <v/>
      </c>
      <c r="E404" s="60">
        <f>VLOOKUP(Table_1[[#This Row],[AÇÕES]],'Classificação B3'!A:F,6,0)</f>
        <v/>
      </c>
      <c r="F404" s="60">
        <f>VLOOKUP(Table_1[[#This Row],[AÇÕES]],'Classificação B3'!A:G,7,0)</f>
        <v/>
      </c>
      <c r="G404" s="61">
        <f>VLOOKUP(Table_1[[#This Row],[AÇÕES]],'Dados Status Invest'!A:B,2,0)</f>
        <v/>
      </c>
      <c r="H404" s="62">
        <f>VLOOKUP(Table_1[[#This Row],[AÇÕES]],'Dados Status Invest'!A:C,3,0)/100</f>
        <v/>
      </c>
      <c r="I404" s="62">
        <f>VLOOKUP(Table_1[[#This Row],[AÇÕES]],'Dados Status Invest'!A:D,4,0)/100</f>
        <v/>
      </c>
      <c r="J404" s="63">
        <f>VLOOKUP(Table_1[[#This Row],[AÇÕES]],'Dados Status Invest'!A:AB,28,0)</f>
        <v/>
      </c>
      <c r="K404" s="63">
        <f>VLOOKUP(Table_1[[#This Row],[AÇÕES]],'Dados Status Invest'!A:AA,27,0)</f>
        <v/>
      </c>
      <c r="L404" s="63">
        <f>Table_1[[#This Row],[PREÇO]]*Table_1[[#This Row],[DY]]</f>
        <v/>
      </c>
      <c r="M404" s="62">
        <f>$E$13</f>
        <v/>
      </c>
      <c r="N404" s="62" t="n">
        <v>0.3</v>
      </c>
      <c r="O404" s="62">
        <f>Table_1[[#This Row],[DPA]]/Table_1[[#This Row],[LPA]]</f>
        <v/>
      </c>
      <c r="P404" s="62">
        <f>IF(Table_1[[#This Row],[PAYOUT]]&lt;=40%,"CRESCIMENTO",IF(Table_1[[#This Row],[PAYOUT]]&lt;=60%,"INDEFINIDO","DIVIDENDOS"))</f>
        <v/>
      </c>
      <c r="Q404" s="62">
        <f>VLOOKUP(Table_1[[#This Row],[AÇÕES]],'Dados Status Invest'!A:R,18,0)/100</f>
        <v/>
      </c>
      <c r="R404" s="62">
        <f>VLOOKUP(Table_1[[#This Row],[AÇÕES]],'Dados Status Invest'!A:Y,25,0)/100</f>
        <v/>
      </c>
      <c r="S404" s="62">
        <f>(1-Table_1[[#This Row],[PAYOUT]])*Table_1[[#This Row],[ROE]]</f>
        <v/>
      </c>
      <c r="T404" s="98">
        <f>AVERAGE(Table_1[[#This Row],[CAGR LUCRO 5A]],Table_1[[#This Row],[CRESCIMENTO DAMODARAN]])</f>
        <v/>
      </c>
      <c r="U404" s="64">
        <f>(Table_1[[#This Row],[PREÇO JUSTO BAZIN]]-Table_1[[#This Row],[PREÇO]])/Table_1[[#This Row],[PREÇO JUSTO BAZIN]]</f>
        <v/>
      </c>
      <c r="V404" s="129">
        <f>Table_1[[#This Row],[DPA]]/6%</f>
        <v/>
      </c>
      <c r="W404" s="129">
        <f>Table_1[[#This Row],[PREÇO JUSTO BAZIN]]/(1+Table_1[[#This Row],[MARGEM DE DESCONTO]])</f>
        <v/>
      </c>
      <c r="X404" s="64">
        <f>(Table_1[[#This Row],[PREÇO JUSTO GRAHAM]]-Table_1[[#This Row],[PREÇO]])/Table_1[[#This Row],[PREÇO JUSTO GRAHAM]]</f>
        <v/>
      </c>
      <c r="Y404" s="129">
        <f>(22.5*Table_1[[#This Row],[LPA]]*Table_1[[#This Row],[VPA]])^0.5</f>
        <v/>
      </c>
      <c r="Z404" s="129">
        <f>Table_1[[#This Row],[PREÇO JUSTO GRAHAM]]/(1+Table_1[[#This Row],[MARGEM DE DESCONTO]])</f>
        <v/>
      </c>
      <c r="AA404" s="64">
        <f>(Table_1[[#This Row],[PREÇO JUSTO GORDON]]-Table_1[[#This Row],[PREÇO]])/Table_1[[#This Row],[PREÇO JUSTO GORDON]]</f>
        <v/>
      </c>
      <c r="AB404" s="130">
        <f>Table_1[[#This Row],[DPA]]*(1+Table_1[[#This Row],[MÉDIA DE CRESCIMENTO]])</f>
        <v/>
      </c>
      <c r="AC404" s="130">
        <f>Table_1[[#This Row],[D1]]/(Table_1[[#This Row],[RISCO]]-Table_1[[#This Row],[MÉDIA DE CRESCIMENTO]])</f>
        <v/>
      </c>
      <c r="AD404" s="130">
        <f>Table_1[[#This Row],[PREÇO JUSTO GORDON]]/(1+Table_1[[#This Row],[MARGEM DE DESCONTO]])</f>
        <v/>
      </c>
      <c r="AE404" s="78">
        <f>Table_1[[#This Row],[P/L]]/Table_1[[#This Row],[MÉDIA DE CRESCIMENTO]]</f>
        <v/>
      </c>
    </row>
    <row r="405" ht="15.75" customHeight="1">
      <c r="B405" s="77">
        <f>'Dados Status Invest'!A391</f>
        <v/>
      </c>
      <c r="C405" s="60">
        <f>VLOOKUP(Table_1[[#This Row],[AÇÕES]],'Classificação B3'!A:B,2,0)</f>
        <v/>
      </c>
      <c r="D405" s="60">
        <f>VLOOKUP(Table_1[[#This Row],[AÇÕES]],'Classificação B3'!A:D,4,0)</f>
        <v/>
      </c>
      <c r="E405" s="60">
        <f>VLOOKUP(Table_1[[#This Row],[AÇÕES]],'Classificação B3'!A:F,6,0)</f>
        <v/>
      </c>
      <c r="F405" s="60">
        <f>VLOOKUP(Table_1[[#This Row],[AÇÕES]],'Classificação B3'!A:G,7,0)</f>
        <v/>
      </c>
      <c r="G405" s="61">
        <f>VLOOKUP(Table_1[[#This Row],[AÇÕES]],'Dados Status Invest'!A:B,2,0)</f>
        <v/>
      </c>
      <c r="H405" s="62">
        <f>VLOOKUP(Table_1[[#This Row],[AÇÕES]],'Dados Status Invest'!A:C,3,0)/100</f>
        <v/>
      </c>
      <c r="I405" s="62">
        <f>VLOOKUP(Table_1[[#This Row],[AÇÕES]],'Dados Status Invest'!A:D,4,0)/100</f>
        <v/>
      </c>
      <c r="J405" s="63">
        <f>VLOOKUP(Table_1[[#This Row],[AÇÕES]],'Dados Status Invest'!A:AB,28,0)</f>
        <v/>
      </c>
      <c r="K405" s="63">
        <f>VLOOKUP(Table_1[[#This Row],[AÇÕES]],'Dados Status Invest'!A:AA,27,0)</f>
        <v/>
      </c>
      <c r="L405" s="63">
        <f>Table_1[[#This Row],[PREÇO]]*Table_1[[#This Row],[DY]]</f>
        <v/>
      </c>
      <c r="M405" s="62">
        <f>$E$13</f>
        <v/>
      </c>
      <c r="N405" s="62" t="n">
        <v>0.3</v>
      </c>
      <c r="O405" s="62">
        <f>Table_1[[#This Row],[DPA]]/Table_1[[#This Row],[LPA]]</f>
        <v/>
      </c>
      <c r="P405" s="62">
        <f>IF(Table_1[[#This Row],[PAYOUT]]&lt;=40%,"CRESCIMENTO",IF(Table_1[[#This Row],[PAYOUT]]&lt;=60%,"INDEFINIDO","DIVIDENDOS"))</f>
        <v/>
      </c>
      <c r="Q405" s="62">
        <f>VLOOKUP(Table_1[[#This Row],[AÇÕES]],'Dados Status Invest'!A:R,18,0)/100</f>
        <v/>
      </c>
      <c r="R405" s="62">
        <f>VLOOKUP(Table_1[[#This Row],[AÇÕES]],'Dados Status Invest'!A:Y,25,0)/100</f>
        <v/>
      </c>
      <c r="S405" s="62">
        <f>(1-Table_1[[#This Row],[PAYOUT]])*Table_1[[#This Row],[ROE]]</f>
        <v/>
      </c>
      <c r="T405" s="98">
        <f>AVERAGE(Table_1[[#This Row],[CAGR LUCRO 5A]],Table_1[[#This Row],[CRESCIMENTO DAMODARAN]])</f>
        <v/>
      </c>
      <c r="U405" s="64">
        <f>(Table_1[[#This Row],[PREÇO JUSTO BAZIN]]-Table_1[[#This Row],[PREÇO]])/Table_1[[#This Row],[PREÇO JUSTO BAZIN]]</f>
        <v/>
      </c>
      <c r="V405" s="129">
        <f>Table_1[[#This Row],[DPA]]/6%</f>
        <v/>
      </c>
      <c r="W405" s="129">
        <f>Table_1[[#This Row],[PREÇO JUSTO BAZIN]]/(1+Table_1[[#This Row],[MARGEM DE DESCONTO]])</f>
        <v/>
      </c>
      <c r="X405" s="64">
        <f>(Table_1[[#This Row],[PREÇO JUSTO GRAHAM]]-Table_1[[#This Row],[PREÇO]])/Table_1[[#This Row],[PREÇO JUSTO GRAHAM]]</f>
        <v/>
      </c>
      <c r="Y405" s="129">
        <f>(22.5*Table_1[[#This Row],[LPA]]*Table_1[[#This Row],[VPA]])^0.5</f>
        <v/>
      </c>
      <c r="Z405" s="129">
        <f>Table_1[[#This Row],[PREÇO JUSTO GRAHAM]]/(1+Table_1[[#This Row],[MARGEM DE DESCONTO]])</f>
        <v/>
      </c>
      <c r="AA405" s="64">
        <f>(Table_1[[#This Row],[PREÇO JUSTO GORDON]]-Table_1[[#This Row],[PREÇO]])/Table_1[[#This Row],[PREÇO JUSTO GORDON]]</f>
        <v/>
      </c>
      <c r="AB405" s="130">
        <f>Table_1[[#This Row],[DPA]]*(1+Table_1[[#This Row],[MÉDIA DE CRESCIMENTO]])</f>
        <v/>
      </c>
      <c r="AC405" s="130">
        <f>Table_1[[#This Row],[D1]]/(Table_1[[#This Row],[RISCO]]-Table_1[[#This Row],[MÉDIA DE CRESCIMENTO]])</f>
        <v/>
      </c>
      <c r="AD405" s="130">
        <f>Table_1[[#This Row],[PREÇO JUSTO GORDON]]/(1+Table_1[[#This Row],[MARGEM DE DESCONTO]])</f>
        <v/>
      </c>
      <c r="AE405" s="78">
        <f>Table_1[[#This Row],[P/L]]/Table_1[[#This Row],[MÉDIA DE CRESCIMENTO]]</f>
        <v/>
      </c>
    </row>
    <row r="406" ht="15.75" customHeight="1">
      <c r="B406" s="77">
        <f>'Dados Status Invest'!A392</f>
        <v/>
      </c>
      <c r="C406" s="60">
        <f>VLOOKUP(Table_1[[#This Row],[AÇÕES]],'Classificação B3'!A:B,2,0)</f>
        <v/>
      </c>
      <c r="D406" s="60">
        <f>VLOOKUP(Table_1[[#This Row],[AÇÕES]],'Classificação B3'!A:D,4,0)</f>
        <v/>
      </c>
      <c r="E406" s="60">
        <f>VLOOKUP(Table_1[[#This Row],[AÇÕES]],'Classificação B3'!A:F,6,0)</f>
        <v/>
      </c>
      <c r="F406" s="60">
        <f>VLOOKUP(Table_1[[#This Row],[AÇÕES]],'Classificação B3'!A:G,7,0)</f>
        <v/>
      </c>
      <c r="G406" s="61">
        <f>VLOOKUP(Table_1[[#This Row],[AÇÕES]],'Dados Status Invest'!A:B,2,0)</f>
        <v/>
      </c>
      <c r="H406" s="62">
        <f>VLOOKUP(Table_1[[#This Row],[AÇÕES]],'Dados Status Invest'!A:C,3,0)/100</f>
        <v/>
      </c>
      <c r="I406" s="62">
        <f>VLOOKUP(Table_1[[#This Row],[AÇÕES]],'Dados Status Invest'!A:D,4,0)/100</f>
        <v/>
      </c>
      <c r="J406" s="63">
        <f>VLOOKUP(Table_1[[#This Row],[AÇÕES]],'Dados Status Invest'!A:AB,28,0)</f>
        <v/>
      </c>
      <c r="K406" s="63">
        <f>VLOOKUP(Table_1[[#This Row],[AÇÕES]],'Dados Status Invest'!A:AA,27,0)</f>
        <v/>
      </c>
      <c r="L406" s="63">
        <f>Table_1[[#This Row],[PREÇO]]*Table_1[[#This Row],[DY]]</f>
        <v/>
      </c>
      <c r="M406" s="62">
        <f>$E$13</f>
        <v/>
      </c>
      <c r="N406" s="62" t="n">
        <v>0.3</v>
      </c>
      <c r="O406" s="62">
        <f>Table_1[[#This Row],[DPA]]/Table_1[[#This Row],[LPA]]</f>
        <v/>
      </c>
      <c r="P406" s="62">
        <f>IF(Table_1[[#This Row],[PAYOUT]]&lt;=40%,"CRESCIMENTO",IF(Table_1[[#This Row],[PAYOUT]]&lt;=60%,"INDEFINIDO","DIVIDENDOS"))</f>
        <v/>
      </c>
      <c r="Q406" s="62">
        <f>VLOOKUP(Table_1[[#This Row],[AÇÕES]],'Dados Status Invest'!A:R,18,0)/100</f>
        <v/>
      </c>
      <c r="R406" s="62">
        <f>VLOOKUP(Table_1[[#This Row],[AÇÕES]],'Dados Status Invest'!A:Y,25,0)/100</f>
        <v/>
      </c>
      <c r="S406" s="62">
        <f>(1-Table_1[[#This Row],[PAYOUT]])*Table_1[[#This Row],[ROE]]</f>
        <v/>
      </c>
      <c r="T406" s="98">
        <f>AVERAGE(Table_1[[#This Row],[CAGR LUCRO 5A]],Table_1[[#This Row],[CRESCIMENTO DAMODARAN]])</f>
        <v/>
      </c>
      <c r="U406" s="64">
        <f>(Table_1[[#This Row],[PREÇO JUSTO BAZIN]]-Table_1[[#This Row],[PREÇO]])/Table_1[[#This Row],[PREÇO JUSTO BAZIN]]</f>
        <v/>
      </c>
      <c r="V406" s="129">
        <f>Table_1[[#This Row],[DPA]]/6%</f>
        <v/>
      </c>
      <c r="W406" s="129">
        <f>Table_1[[#This Row],[PREÇO JUSTO BAZIN]]/(1+Table_1[[#This Row],[MARGEM DE DESCONTO]])</f>
        <v/>
      </c>
      <c r="X406" s="64">
        <f>(Table_1[[#This Row],[PREÇO JUSTO GRAHAM]]-Table_1[[#This Row],[PREÇO]])/Table_1[[#This Row],[PREÇO JUSTO GRAHAM]]</f>
        <v/>
      </c>
      <c r="Y406" s="129">
        <f>(22.5*Table_1[[#This Row],[LPA]]*Table_1[[#This Row],[VPA]])^0.5</f>
        <v/>
      </c>
      <c r="Z406" s="129">
        <f>Table_1[[#This Row],[PREÇO JUSTO GRAHAM]]/(1+Table_1[[#This Row],[MARGEM DE DESCONTO]])</f>
        <v/>
      </c>
      <c r="AA406" s="64">
        <f>(Table_1[[#This Row],[PREÇO JUSTO GORDON]]-Table_1[[#This Row],[PREÇO]])/Table_1[[#This Row],[PREÇO JUSTO GORDON]]</f>
        <v/>
      </c>
      <c r="AB406" s="130">
        <f>Table_1[[#This Row],[DPA]]*(1+Table_1[[#This Row],[MÉDIA DE CRESCIMENTO]])</f>
        <v/>
      </c>
      <c r="AC406" s="130">
        <f>Table_1[[#This Row],[D1]]/(Table_1[[#This Row],[RISCO]]-Table_1[[#This Row],[MÉDIA DE CRESCIMENTO]])</f>
        <v/>
      </c>
      <c r="AD406" s="130">
        <f>Table_1[[#This Row],[PREÇO JUSTO GORDON]]/(1+Table_1[[#This Row],[MARGEM DE DESCONTO]])</f>
        <v/>
      </c>
      <c r="AE406" s="78">
        <f>Table_1[[#This Row],[P/L]]/Table_1[[#This Row],[MÉDIA DE CRESCIMENTO]]</f>
        <v/>
      </c>
    </row>
    <row r="407" ht="15.75" customHeight="1">
      <c r="B407" s="77">
        <f>'Dados Status Invest'!A393</f>
        <v/>
      </c>
      <c r="C407" s="60">
        <f>VLOOKUP(Table_1[[#This Row],[AÇÕES]],'Classificação B3'!A:B,2,0)</f>
        <v/>
      </c>
      <c r="D407" s="60">
        <f>VLOOKUP(Table_1[[#This Row],[AÇÕES]],'Classificação B3'!A:D,4,0)</f>
        <v/>
      </c>
      <c r="E407" s="60">
        <f>VLOOKUP(Table_1[[#This Row],[AÇÕES]],'Classificação B3'!A:F,6,0)</f>
        <v/>
      </c>
      <c r="F407" s="60">
        <f>VLOOKUP(Table_1[[#This Row],[AÇÕES]],'Classificação B3'!A:G,7,0)</f>
        <v/>
      </c>
      <c r="G407" s="61">
        <f>VLOOKUP(Table_1[[#This Row],[AÇÕES]],'Dados Status Invest'!A:B,2,0)</f>
        <v/>
      </c>
      <c r="H407" s="62">
        <f>VLOOKUP(Table_1[[#This Row],[AÇÕES]],'Dados Status Invest'!A:C,3,0)/100</f>
        <v/>
      </c>
      <c r="I407" s="62">
        <f>VLOOKUP(Table_1[[#This Row],[AÇÕES]],'Dados Status Invest'!A:D,4,0)/100</f>
        <v/>
      </c>
      <c r="J407" s="63">
        <f>VLOOKUP(Table_1[[#This Row],[AÇÕES]],'Dados Status Invest'!A:AB,28,0)</f>
        <v/>
      </c>
      <c r="K407" s="63">
        <f>VLOOKUP(Table_1[[#This Row],[AÇÕES]],'Dados Status Invest'!A:AA,27,0)</f>
        <v/>
      </c>
      <c r="L407" s="63">
        <f>Table_1[[#This Row],[PREÇO]]*Table_1[[#This Row],[DY]]</f>
        <v/>
      </c>
      <c r="M407" s="62">
        <f>$E$13</f>
        <v/>
      </c>
      <c r="N407" s="62" t="n">
        <v>0.3</v>
      </c>
      <c r="O407" s="62">
        <f>Table_1[[#This Row],[DPA]]/Table_1[[#This Row],[LPA]]</f>
        <v/>
      </c>
      <c r="P407" s="62">
        <f>IF(Table_1[[#This Row],[PAYOUT]]&lt;=40%,"CRESCIMENTO",IF(Table_1[[#This Row],[PAYOUT]]&lt;=60%,"INDEFINIDO","DIVIDENDOS"))</f>
        <v/>
      </c>
      <c r="Q407" s="62">
        <f>VLOOKUP(Table_1[[#This Row],[AÇÕES]],'Dados Status Invest'!A:R,18,0)/100</f>
        <v/>
      </c>
      <c r="R407" s="62">
        <f>VLOOKUP(Table_1[[#This Row],[AÇÕES]],'Dados Status Invest'!A:Y,25,0)/100</f>
        <v/>
      </c>
      <c r="S407" s="62">
        <f>(1-Table_1[[#This Row],[PAYOUT]])*Table_1[[#This Row],[ROE]]</f>
        <v/>
      </c>
      <c r="T407" s="98">
        <f>AVERAGE(Table_1[[#This Row],[CAGR LUCRO 5A]],Table_1[[#This Row],[CRESCIMENTO DAMODARAN]])</f>
        <v/>
      </c>
      <c r="U407" s="64">
        <f>(Table_1[[#This Row],[PREÇO JUSTO BAZIN]]-Table_1[[#This Row],[PREÇO]])/Table_1[[#This Row],[PREÇO JUSTO BAZIN]]</f>
        <v/>
      </c>
      <c r="V407" s="129">
        <f>Table_1[[#This Row],[DPA]]/6%</f>
        <v/>
      </c>
      <c r="W407" s="129">
        <f>Table_1[[#This Row],[PREÇO JUSTO BAZIN]]/(1+Table_1[[#This Row],[MARGEM DE DESCONTO]])</f>
        <v/>
      </c>
      <c r="X407" s="64">
        <f>(Table_1[[#This Row],[PREÇO JUSTO GRAHAM]]-Table_1[[#This Row],[PREÇO]])/Table_1[[#This Row],[PREÇO JUSTO GRAHAM]]</f>
        <v/>
      </c>
      <c r="Y407" s="129">
        <f>(22.5*Table_1[[#This Row],[LPA]]*Table_1[[#This Row],[VPA]])^0.5</f>
        <v/>
      </c>
      <c r="Z407" s="129">
        <f>Table_1[[#This Row],[PREÇO JUSTO GRAHAM]]/(1+Table_1[[#This Row],[MARGEM DE DESCONTO]])</f>
        <v/>
      </c>
      <c r="AA407" s="64">
        <f>(Table_1[[#This Row],[PREÇO JUSTO GORDON]]-Table_1[[#This Row],[PREÇO]])/Table_1[[#This Row],[PREÇO JUSTO GORDON]]</f>
        <v/>
      </c>
      <c r="AB407" s="130">
        <f>Table_1[[#This Row],[DPA]]*(1+Table_1[[#This Row],[MÉDIA DE CRESCIMENTO]])</f>
        <v/>
      </c>
      <c r="AC407" s="130">
        <f>Table_1[[#This Row],[D1]]/(Table_1[[#This Row],[RISCO]]-Table_1[[#This Row],[MÉDIA DE CRESCIMENTO]])</f>
        <v/>
      </c>
      <c r="AD407" s="130">
        <f>Table_1[[#This Row],[PREÇO JUSTO GORDON]]/(1+Table_1[[#This Row],[MARGEM DE DESCONTO]])</f>
        <v/>
      </c>
      <c r="AE407" s="78">
        <f>Table_1[[#This Row],[P/L]]/Table_1[[#This Row],[MÉDIA DE CRESCIMENTO]]</f>
        <v/>
      </c>
    </row>
    <row r="408" ht="15.75" customHeight="1">
      <c r="B408" s="77">
        <f>'Dados Status Invest'!A394</f>
        <v/>
      </c>
      <c r="C408" s="60">
        <f>VLOOKUP(Table_1[[#This Row],[AÇÕES]],'Classificação B3'!A:B,2,0)</f>
        <v/>
      </c>
      <c r="D408" s="60">
        <f>VLOOKUP(Table_1[[#This Row],[AÇÕES]],'Classificação B3'!A:D,4,0)</f>
        <v/>
      </c>
      <c r="E408" s="60">
        <f>VLOOKUP(Table_1[[#This Row],[AÇÕES]],'Classificação B3'!A:F,6,0)</f>
        <v/>
      </c>
      <c r="F408" s="60">
        <f>VLOOKUP(Table_1[[#This Row],[AÇÕES]],'Classificação B3'!A:G,7,0)</f>
        <v/>
      </c>
      <c r="G408" s="61">
        <f>VLOOKUP(Table_1[[#This Row],[AÇÕES]],'Dados Status Invest'!A:B,2,0)</f>
        <v/>
      </c>
      <c r="H408" s="62">
        <f>VLOOKUP(Table_1[[#This Row],[AÇÕES]],'Dados Status Invest'!A:C,3,0)/100</f>
        <v/>
      </c>
      <c r="I408" s="62">
        <f>VLOOKUP(Table_1[[#This Row],[AÇÕES]],'Dados Status Invest'!A:D,4,0)/100</f>
        <v/>
      </c>
      <c r="J408" s="63">
        <f>VLOOKUP(Table_1[[#This Row],[AÇÕES]],'Dados Status Invest'!A:AB,28,0)</f>
        <v/>
      </c>
      <c r="K408" s="63">
        <f>VLOOKUP(Table_1[[#This Row],[AÇÕES]],'Dados Status Invest'!A:AA,27,0)</f>
        <v/>
      </c>
      <c r="L408" s="63">
        <f>Table_1[[#This Row],[PREÇO]]*Table_1[[#This Row],[DY]]</f>
        <v/>
      </c>
      <c r="M408" s="62">
        <f>$E$13</f>
        <v/>
      </c>
      <c r="N408" s="62" t="n">
        <v>0.3</v>
      </c>
      <c r="O408" s="62">
        <f>Table_1[[#This Row],[DPA]]/Table_1[[#This Row],[LPA]]</f>
        <v/>
      </c>
      <c r="P408" s="62">
        <f>IF(Table_1[[#This Row],[PAYOUT]]&lt;=40%,"CRESCIMENTO",IF(Table_1[[#This Row],[PAYOUT]]&lt;=60%,"INDEFINIDO","DIVIDENDOS"))</f>
        <v/>
      </c>
      <c r="Q408" s="62">
        <f>VLOOKUP(Table_1[[#This Row],[AÇÕES]],'Dados Status Invest'!A:R,18,0)/100</f>
        <v/>
      </c>
      <c r="R408" s="62">
        <f>VLOOKUP(Table_1[[#This Row],[AÇÕES]],'Dados Status Invest'!A:Y,25,0)/100</f>
        <v/>
      </c>
      <c r="S408" s="62">
        <f>(1-Table_1[[#This Row],[PAYOUT]])*Table_1[[#This Row],[ROE]]</f>
        <v/>
      </c>
      <c r="T408" s="98">
        <f>AVERAGE(Table_1[[#This Row],[CAGR LUCRO 5A]],Table_1[[#This Row],[CRESCIMENTO DAMODARAN]])</f>
        <v/>
      </c>
      <c r="U408" s="64">
        <f>(Table_1[[#This Row],[PREÇO JUSTO BAZIN]]-Table_1[[#This Row],[PREÇO]])/Table_1[[#This Row],[PREÇO JUSTO BAZIN]]</f>
        <v/>
      </c>
      <c r="V408" s="129">
        <f>Table_1[[#This Row],[DPA]]/6%</f>
        <v/>
      </c>
      <c r="W408" s="129">
        <f>Table_1[[#This Row],[PREÇO JUSTO BAZIN]]/(1+Table_1[[#This Row],[MARGEM DE DESCONTO]])</f>
        <v/>
      </c>
      <c r="X408" s="64">
        <f>(Table_1[[#This Row],[PREÇO JUSTO GRAHAM]]-Table_1[[#This Row],[PREÇO]])/Table_1[[#This Row],[PREÇO JUSTO GRAHAM]]</f>
        <v/>
      </c>
      <c r="Y408" s="129">
        <f>(22.5*Table_1[[#This Row],[LPA]]*Table_1[[#This Row],[VPA]])^0.5</f>
        <v/>
      </c>
      <c r="Z408" s="129">
        <f>Table_1[[#This Row],[PREÇO JUSTO GRAHAM]]/(1+Table_1[[#This Row],[MARGEM DE DESCONTO]])</f>
        <v/>
      </c>
      <c r="AA408" s="64">
        <f>(Table_1[[#This Row],[PREÇO JUSTO GORDON]]-Table_1[[#This Row],[PREÇO]])/Table_1[[#This Row],[PREÇO JUSTO GORDON]]</f>
        <v/>
      </c>
      <c r="AB408" s="130">
        <f>Table_1[[#This Row],[DPA]]*(1+Table_1[[#This Row],[MÉDIA DE CRESCIMENTO]])</f>
        <v/>
      </c>
      <c r="AC408" s="130">
        <f>Table_1[[#This Row],[D1]]/(Table_1[[#This Row],[RISCO]]-Table_1[[#This Row],[MÉDIA DE CRESCIMENTO]])</f>
        <v/>
      </c>
      <c r="AD408" s="130">
        <f>Table_1[[#This Row],[PREÇO JUSTO GORDON]]/(1+Table_1[[#This Row],[MARGEM DE DESCONTO]])</f>
        <v/>
      </c>
      <c r="AE408" s="78">
        <f>Table_1[[#This Row],[P/L]]/Table_1[[#This Row],[MÉDIA DE CRESCIMENTO]]</f>
        <v/>
      </c>
    </row>
    <row r="409" ht="15.75" customHeight="1">
      <c r="B409" s="77">
        <f>'Dados Status Invest'!A395</f>
        <v/>
      </c>
      <c r="C409" s="60">
        <f>VLOOKUP(Table_1[[#This Row],[AÇÕES]],'Classificação B3'!A:B,2,0)</f>
        <v/>
      </c>
      <c r="D409" s="60">
        <f>VLOOKUP(Table_1[[#This Row],[AÇÕES]],'Classificação B3'!A:D,4,0)</f>
        <v/>
      </c>
      <c r="E409" s="60">
        <f>VLOOKUP(Table_1[[#This Row],[AÇÕES]],'Classificação B3'!A:F,6,0)</f>
        <v/>
      </c>
      <c r="F409" s="60">
        <f>VLOOKUP(Table_1[[#This Row],[AÇÕES]],'Classificação B3'!A:G,7,0)</f>
        <v/>
      </c>
      <c r="G409" s="61">
        <f>VLOOKUP(Table_1[[#This Row],[AÇÕES]],'Dados Status Invest'!A:B,2,0)</f>
        <v/>
      </c>
      <c r="H409" s="62">
        <f>VLOOKUP(Table_1[[#This Row],[AÇÕES]],'Dados Status Invest'!A:C,3,0)/100</f>
        <v/>
      </c>
      <c r="I409" s="62">
        <f>VLOOKUP(Table_1[[#This Row],[AÇÕES]],'Dados Status Invest'!A:D,4,0)/100</f>
        <v/>
      </c>
      <c r="J409" s="63">
        <f>VLOOKUP(Table_1[[#This Row],[AÇÕES]],'Dados Status Invest'!A:AB,28,0)</f>
        <v/>
      </c>
      <c r="K409" s="63">
        <f>VLOOKUP(Table_1[[#This Row],[AÇÕES]],'Dados Status Invest'!A:AA,27,0)</f>
        <v/>
      </c>
      <c r="L409" s="63">
        <f>Table_1[[#This Row],[PREÇO]]*Table_1[[#This Row],[DY]]</f>
        <v/>
      </c>
      <c r="M409" s="62">
        <f>$E$13</f>
        <v/>
      </c>
      <c r="N409" s="62" t="n">
        <v>0.3</v>
      </c>
      <c r="O409" s="62">
        <f>Table_1[[#This Row],[DPA]]/Table_1[[#This Row],[LPA]]</f>
        <v/>
      </c>
      <c r="P409" s="62">
        <f>IF(Table_1[[#This Row],[PAYOUT]]&lt;=40%,"CRESCIMENTO",IF(Table_1[[#This Row],[PAYOUT]]&lt;=60%,"INDEFINIDO","DIVIDENDOS"))</f>
        <v/>
      </c>
      <c r="Q409" s="62">
        <f>VLOOKUP(Table_1[[#This Row],[AÇÕES]],'Dados Status Invest'!A:R,18,0)/100</f>
        <v/>
      </c>
      <c r="R409" s="62">
        <f>VLOOKUP(Table_1[[#This Row],[AÇÕES]],'Dados Status Invest'!A:Y,25,0)/100</f>
        <v/>
      </c>
      <c r="S409" s="62">
        <f>(1-Table_1[[#This Row],[PAYOUT]])*Table_1[[#This Row],[ROE]]</f>
        <v/>
      </c>
      <c r="T409" s="98">
        <f>AVERAGE(Table_1[[#This Row],[CAGR LUCRO 5A]],Table_1[[#This Row],[CRESCIMENTO DAMODARAN]])</f>
        <v/>
      </c>
      <c r="U409" s="64">
        <f>(Table_1[[#This Row],[PREÇO JUSTO BAZIN]]-Table_1[[#This Row],[PREÇO]])/Table_1[[#This Row],[PREÇO JUSTO BAZIN]]</f>
        <v/>
      </c>
      <c r="V409" s="129">
        <f>Table_1[[#This Row],[DPA]]/6%</f>
        <v/>
      </c>
      <c r="W409" s="129">
        <f>Table_1[[#This Row],[PREÇO JUSTO BAZIN]]/(1+Table_1[[#This Row],[MARGEM DE DESCONTO]])</f>
        <v/>
      </c>
      <c r="X409" s="64">
        <f>(Table_1[[#This Row],[PREÇO JUSTO GRAHAM]]-Table_1[[#This Row],[PREÇO]])/Table_1[[#This Row],[PREÇO JUSTO GRAHAM]]</f>
        <v/>
      </c>
      <c r="Y409" s="129">
        <f>(22.5*Table_1[[#This Row],[LPA]]*Table_1[[#This Row],[VPA]])^0.5</f>
        <v/>
      </c>
      <c r="Z409" s="129">
        <f>Table_1[[#This Row],[PREÇO JUSTO GRAHAM]]/(1+Table_1[[#This Row],[MARGEM DE DESCONTO]])</f>
        <v/>
      </c>
      <c r="AA409" s="64">
        <f>(Table_1[[#This Row],[PREÇO JUSTO GORDON]]-Table_1[[#This Row],[PREÇO]])/Table_1[[#This Row],[PREÇO JUSTO GORDON]]</f>
        <v/>
      </c>
      <c r="AB409" s="130">
        <f>Table_1[[#This Row],[DPA]]*(1+Table_1[[#This Row],[MÉDIA DE CRESCIMENTO]])</f>
        <v/>
      </c>
      <c r="AC409" s="130">
        <f>Table_1[[#This Row],[D1]]/(Table_1[[#This Row],[RISCO]]-Table_1[[#This Row],[MÉDIA DE CRESCIMENTO]])</f>
        <v/>
      </c>
      <c r="AD409" s="130">
        <f>Table_1[[#This Row],[PREÇO JUSTO GORDON]]/(1+Table_1[[#This Row],[MARGEM DE DESCONTO]])</f>
        <v/>
      </c>
      <c r="AE409" s="78">
        <f>Table_1[[#This Row],[P/L]]/Table_1[[#This Row],[MÉDIA DE CRESCIMENTO]]</f>
        <v/>
      </c>
    </row>
    <row r="410" ht="15.75" customHeight="1">
      <c r="B410" s="77">
        <f>'Dados Status Invest'!A396</f>
        <v/>
      </c>
      <c r="C410" s="60">
        <f>VLOOKUP(Table_1[[#This Row],[AÇÕES]],'Classificação B3'!A:B,2,0)</f>
        <v/>
      </c>
      <c r="D410" s="60">
        <f>VLOOKUP(Table_1[[#This Row],[AÇÕES]],'Classificação B3'!A:D,4,0)</f>
        <v/>
      </c>
      <c r="E410" s="60">
        <f>VLOOKUP(Table_1[[#This Row],[AÇÕES]],'Classificação B3'!A:F,6,0)</f>
        <v/>
      </c>
      <c r="F410" s="60">
        <f>VLOOKUP(Table_1[[#This Row],[AÇÕES]],'Classificação B3'!A:G,7,0)</f>
        <v/>
      </c>
      <c r="G410" s="61">
        <f>VLOOKUP(Table_1[[#This Row],[AÇÕES]],'Dados Status Invest'!A:B,2,0)</f>
        <v/>
      </c>
      <c r="H410" s="62">
        <f>VLOOKUP(Table_1[[#This Row],[AÇÕES]],'Dados Status Invest'!A:C,3,0)/100</f>
        <v/>
      </c>
      <c r="I410" s="62">
        <f>VLOOKUP(Table_1[[#This Row],[AÇÕES]],'Dados Status Invest'!A:D,4,0)/100</f>
        <v/>
      </c>
      <c r="J410" s="63">
        <f>VLOOKUP(Table_1[[#This Row],[AÇÕES]],'Dados Status Invest'!A:AB,28,0)</f>
        <v/>
      </c>
      <c r="K410" s="63">
        <f>VLOOKUP(Table_1[[#This Row],[AÇÕES]],'Dados Status Invest'!A:AA,27,0)</f>
        <v/>
      </c>
      <c r="L410" s="63">
        <f>Table_1[[#This Row],[PREÇO]]*Table_1[[#This Row],[DY]]</f>
        <v/>
      </c>
      <c r="M410" s="62">
        <f>$E$13</f>
        <v/>
      </c>
      <c r="N410" s="62" t="n">
        <v>0.3</v>
      </c>
      <c r="O410" s="62">
        <f>Table_1[[#This Row],[DPA]]/Table_1[[#This Row],[LPA]]</f>
        <v/>
      </c>
      <c r="P410" s="62">
        <f>IF(Table_1[[#This Row],[PAYOUT]]&lt;=40%,"CRESCIMENTO",IF(Table_1[[#This Row],[PAYOUT]]&lt;=60%,"INDEFINIDO","DIVIDENDOS"))</f>
        <v/>
      </c>
      <c r="Q410" s="62">
        <f>VLOOKUP(Table_1[[#This Row],[AÇÕES]],'Dados Status Invest'!A:R,18,0)/100</f>
        <v/>
      </c>
      <c r="R410" s="62">
        <f>VLOOKUP(Table_1[[#This Row],[AÇÕES]],'Dados Status Invest'!A:Y,25,0)/100</f>
        <v/>
      </c>
      <c r="S410" s="62">
        <f>(1-Table_1[[#This Row],[PAYOUT]])*Table_1[[#This Row],[ROE]]</f>
        <v/>
      </c>
      <c r="T410" s="98">
        <f>AVERAGE(Table_1[[#This Row],[CAGR LUCRO 5A]],Table_1[[#This Row],[CRESCIMENTO DAMODARAN]])</f>
        <v/>
      </c>
      <c r="U410" s="64">
        <f>(Table_1[[#This Row],[PREÇO JUSTO BAZIN]]-Table_1[[#This Row],[PREÇO]])/Table_1[[#This Row],[PREÇO JUSTO BAZIN]]</f>
        <v/>
      </c>
      <c r="V410" s="129">
        <f>Table_1[[#This Row],[DPA]]/6%</f>
        <v/>
      </c>
      <c r="W410" s="129">
        <f>Table_1[[#This Row],[PREÇO JUSTO BAZIN]]/(1+Table_1[[#This Row],[MARGEM DE DESCONTO]])</f>
        <v/>
      </c>
      <c r="X410" s="64">
        <f>(Table_1[[#This Row],[PREÇO JUSTO GRAHAM]]-Table_1[[#This Row],[PREÇO]])/Table_1[[#This Row],[PREÇO JUSTO GRAHAM]]</f>
        <v/>
      </c>
      <c r="Y410" s="129">
        <f>(22.5*Table_1[[#This Row],[LPA]]*Table_1[[#This Row],[VPA]])^0.5</f>
        <v/>
      </c>
      <c r="Z410" s="129">
        <f>Table_1[[#This Row],[PREÇO JUSTO GRAHAM]]/(1+Table_1[[#This Row],[MARGEM DE DESCONTO]])</f>
        <v/>
      </c>
      <c r="AA410" s="64">
        <f>(Table_1[[#This Row],[PREÇO JUSTO GORDON]]-Table_1[[#This Row],[PREÇO]])/Table_1[[#This Row],[PREÇO JUSTO GORDON]]</f>
        <v/>
      </c>
      <c r="AB410" s="130">
        <f>Table_1[[#This Row],[DPA]]*(1+Table_1[[#This Row],[MÉDIA DE CRESCIMENTO]])</f>
        <v/>
      </c>
      <c r="AC410" s="130">
        <f>Table_1[[#This Row],[D1]]/(Table_1[[#This Row],[RISCO]]-Table_1[[#This Row],[MÉDIA DE CRESCIMENTO]])</f>
        <v/>
      </c>
      <c r="AD410" s="130">
        <f>Table_1[[#This Row],[PREÇO JUSTO GORDON]]/(1+Table_1[[#This Row],[MARGEM DE DESCONTO]])</f>
        <v/>
      </c>
      <c r="AE410" s="78">
        <f>Table_1[[#This Row],[P/L]]/Table_1[[#This Row],[MÉDIA DE CRESCIMENTO]]</f>
        <v/>
      </c>
    </row>
    <row r="411" ht="15.75" customHeight="1">
      <c r="B411" s="77">
        <f>'Dados Status Invest'!A397</f>
        <v/>
      </c>
      <c r="C411" s="60">
        <f>VLOOKUP(Table_1[[#This Row],[AÇÕES]],'Classificação B3'!A:B,2,0)</f>
        <v/>
      </c>
      <c r="D411" s="60">
        <f>VLOOKUP(Table_1[[#This Row],[AÇÕES]],'Classificação B3'!A:D,4,0)</f>
        <v/>
      </c>
      <c r="E411" s="60">
        <f>VLOOKUP(Table_1[[#This Row],[AÇÕES]],'Classificação B3'!A:F,6,0)</f>
        <v/>
      </c>
      <c r="F411" s="60">
        <f>VLOOKUP(Table_1[[#This Row],[AÇÕES]],'Classificação B3'!A:G,7,0)</f>
        <v/>
      </c>
      <c r="G411" s="61">
        <f>VLOOKUP(Table_1[[#This Row],[AÇÕES]],'Dados Status Invest'!A:B,2,0)</f>
        <v/>
      </c>
      <c r="H411" s="62">
        <f>VLOOKUP(Table_1[[#This Row],[AÇÕES]],'Dados Status Invest'!A:C,3,0)/100</f>
        <v/>
      </c>
      <c r="I411" s="62">
        <f>VLOOKUP(Table_1[[#This Row],[AÇÕES]],'Dados Status Invest'!A:D,4,0)/100</f>
        <v/>
      </c>
      <c r="J411" s="63">
        <f>VLOOKUP(Table_1[[#This Row],[AÇÕES]],'Dados Status Invest'!A:AB,28,0)</f>
        <v/>
      </c>
      <c r="K411" s="63">
        <f>VLOOKUP(Table_1[[#This Row],[AÇÕES]],'Dados Status Invest'!A:AA,27,0)</f>
        <v/>
      </c>
      <c r="L411" s="63">
        <f>Table_1[[#This Row],[PREÇO]]*Table_1[[#This Row],[DY]]</f>
        <v/>
      </c>
      <c r="M411" s="62">
        <f>$E$13</f>
        <v/>
      </c>
      <c r="N411" s="62" t="n">
        <v>0.3</v>
      </c>
      <c r="O411" s="62">
        <f>Table_1[[#This Row],[DPA]]/Table_1[[#This Row],[LPA]]</f>
        <v/>
      </c>
      <c r="P411" s="62">
        <f>IF(Table_1[[#This Row],[PAYOUT]]&lt;=40%,"CRESCIMENTO",IF(Table_1[[#This Row],[PAYOUT]]&lt;=60%,"INDEFINIDO","DIVIDENDOS"))</f>
        <v/>
      </c>
      <c r="Q411" s="62">
        <f>VLOOKUP(Table_1[[#This Row],[AÇÕES]],'Dados Status Invest'!A:R,18,0)/100</f>
        <v/>
      </c>
      <c r="R411" s="62">
        <f>VLOOKUP(Table_1[[#This Row],[AÇÕES]],'Dados Status Invest'!A:Y,25,0)/100</f>
        <v/>
      </c>
      <c r="S411" s="62">
        <f>(1-Table_1[[#This Row],[PAYOUT]])*Table_1[[#This Row],[ROE]]</f>
        <v/>
      </c>
      <c r="T411" s="98">
        <f>AVERAGE(Table_1[[#This Row],[CAGR LUCRO 5A]],Table_1[[#This Row],[CRESCIMENTO DAMODARAN]])</f>
        <v/>
      </c>
      <c r="U411" s="64">
        <f>(Table_1[[#This Row],[PREÇO JUSTO BAZIN]]-Table_1[[#This Row],[PREÇO]])/Table_1[[#This Row],[PREÇO JUSTO BAZIN]]</f>
        <v/>
      </c>
      <c r="V411" s="129">
        <f>Table_1[[#This Row],[DPA]]/6%</f>
        <v/>
      </c>
      <c r="W411" s="129">
        <f>Table_1[[#This Row],[PREÇO JUSTO BAZIN]]/(1+Table_1[[#This Row],[MARGEM DE DESCONTO]])</f>
        <v/>
      </c>
      <c r="X411" s="64">
        <f>(Table_1[[#This Row],[PREÇO JUSTO GRAHAM]]-Table_1[[#This Row],[PREÇO]])/Table_1[[#This Row],[PREÇO JUSTO GRAHAM]]</f>
        <v/>
      </c>
      <c r="Y411" s="129">
        <f>(22.5*Table_1[[#This Row],[LPA]]*Table_1[[#This Row],[VPA]])^0.5</f>
        <v/>
      </c>
      <c r="Z411" s="129">
        <f>Table_1[[#This Row],[PREÇO JUSTO GRAHAM]]/(1+Table_1[[#This Row],[MARGEM DE DESCONTO]])</f>
        <v/>
      </c>
      <c r="AA411" s="64">
        <f>(Table_1[[#This Row],[PREÇO JUSTO GORDON]]-Table_1[[#This Row],[PREÇO]])/Table_1[[#This Row],[PREÇO JUSTO GORDON]]</f>
        <v/>
      </c>
      <c r="AB411" s="130">
        <f>Table_1[[#This Row],[DPA]]*(1+Table_1[[#This Row],[MÉDIA DE CRESCIMENTO]])</f>
        <v/>
      </c>
      <c r="AC411" s="130">
        <f>Table_1[[#This Row],[D1]]/(Table_1[[#This Row],[RISCO]]-Table_1[[#This Row],[MÉDIA DE CRESCIMENTO]])</f>
        <v/>
      </c>
      <c r="AD411" s="130">
        <f>Table_1[[#This Row],[PREÇO JUSTO GORDON]]/(1+Table_1[[#This Row],[MARGEM DE DESCONTO]])</f>
        <v/>
      </c>
      <c r="AE411" s="78">
        <f>Table_1[[#This Row],[P/L]]/Table_1[[#This Row],[MÉDIA DE CRESCIMENTO]]</f>
        <v/>
      </c>
    </row>
    <row r="412" ht="15.75" customHeight="1">
      <c r="B412" s="77">
        <f>'Dados Status Invest'!A398</f>
        <v/>
      </c>
      <c r="C412" s="60">
        <f>VLOOKUP(Table_1[[#This Row],[AÇÕES]],'Classificação B3'!A:B,2,0)</f>
        <v/>
      </c>
      <c r="D412" s="60">
        <f>VLOOKUP(Table_1[[#This Row],[AÇÕES]],'Classificação B3'!A:D,4,0)</f>
        <v/>
      </c>
      <c r="E412" s="60">
        <f>VLOOKUP(Table_1[[#This Row],[AÇÕES]],'Classificação B3'!A:F,6,0)</f>
        <v/>
      </c>
      <c r="F412" s="60">
        <f>VLOOKUP(Table_1[[#This Row],[AÇÕES]],'Classificação B3'!A:G,7,0)</f>
        <v/>
      </c>
      <c r="G412" s="61">
        <f>VLOOKUP(Table_1[[#This Row],[AÇÕES]],'Dados Status Invest'!A:B,2,0)</f>
        <v/>
      </c>
      <c r="H412" s="62">
        <f>VLOOKUP(Table_1[[#This Row],[AÇÕES]],'Dados Status Invest'!A:C,3,0)/100</f>
        <v/>
      </c>
      <c r="I412" s="62">
        <f>VLOOKUP(Table_1[[#This Row],[AÇÕES]],'Dados Status Invest'!A:D,4,0)/100</f>
        <v/>
      </c>
      <c r="J412" s="63">
        <f>VLOOKUP(Table_1[[#This Row],[AÇÕES]],'Dados Status Invest'!A:AB,28,0)</f>
        <v/>
      </c>
      <c r="K412" s="63">
        <f>VLOOKUP(Table_1[[#This Row],[AÇÕES]],'Dados Status Invest'!A:AA,27,0)</f>
        <v/>
      </c>
      <c r="L412" s="63">
        <f>Table_1[[#This Row],[PREÇO]]*Table_1[[#This Row],[DY]]</f>
        <v/>
      </c>
      <c r="M412" s="62">
        <f>$E$13</f>
        <v/>
      </c>
      <c r="N412" s="62" t="n">
        <v>0.3</v>
      </c>
      <c r="O412" s="62">
        <f>Table_1[[#This Row],[DPA]]/Table_1[[#This Row],[LPA]]</f>
        <v/>
      </c>
      <c r="P412" s="62">
        <f>IF(Table_1[[#This Row],[PAYOUT]]&lt;=40%,"CRESCIMENTO",IF(Table_1[[#This Row],[PAYOUT]]&lt;=60%,"INDEFINIDO","DIVIDENDOS"))</f>
        <v/>
      </c>
      <c r="Q412" s="62">
        <f>VLOOKUP(Table_1[[#This Row],[AÇÕES]],'Dados Status Invest'!A:R,18,0)/100</f>
        <v/>
      </c>
      <c r="R412" s="62">
        <f>VLOOKUP(Table_1[[#This Row],[AÇÕES]],'Dados Status Invest'!A:Y,25,0)/100</f>
        <v/>
      </c>
      <c r="S412" s="62">
        <f>(1-Table_1[[#This Row],[PAYOUT]])*Table_1[[#This Row],[ROE]]</f>
        <v/>
      </c>
      <c r="T412" s="98">
        <f>AVERAGE(Table_1[[#This Row],[CAGR LUCRO 5A]],Table_1[[#This Row],[CRESCIMENTO DAMODARAN]])</f>
        <v/>
      </c>
      <c r="U412" s="64">
        <f>(Table_1[[#This Row],[PREÇO JUSTO BAZIN]]-Table_1[[#This Row],[PREÇO]])/Table_1[[#This Row],[PREÇO JUSTO BAZIN]]</f>
        <v/>
      </c>
      <c r="V412" s="129">
        <f>Table_1[[#This Row],[DPA]]/6%</f>
        <v/>
      </c>
      <c r="W412" s="129">
        <f>Table_1[[#This Row],[PREÇO JUSTO BAZIN]]/(1+Table_1[[#This Row],[MARGEM DE DESCONTO]])</f>
        <v/>
      </c>
      <c r="X412" s="64">
        <f>(Table_1[[#This Row],[PREÇO JUSTO GRAHAM]]-Table_1[[#This Row],[PREÇO]])/Table_1[[#This Row],[PREÇO JUSTO GRAHAM]]</f>
        <v/>
      </c>
      <c r="Y412" s="129">
        <f>(22.5*Table_1[[#This Row],[LPA]]*Table_1[[#This Row],[VPA]])^0.5</f>
        <v/>
      </c>
      <c r="Z412" s="129">
        <f>Table_1[[#This Row],[PREÇO JUSTO GRAHAM]]/(1+Table_1[[#This Row],[MARGEM DE DESCONTO]])</f>
        <v/>
      </c>
      <c r="AA412" s="64">
        <f>(Table_1[[#This Row],[PREÇO JUSTO GORDON]]-Table_1[[#This Row],[PREÇO]])/Table_1[[#This Row],[PREÇO JUSTO GORDON]]</f>
        <v/>
      </c>
      <c r="AB412" s="130">
        <f>Table_1[[#This Row],[DPA]]*(1+Table_1[[#This Row],[MÉDIA DE CRESCIMENTO]])</f>
        <v/>
      </c>
      <c r="AC412" s="130">
        <f>Table_1[[#This Row],[D1]]/(Table_1[[#This Row],[RISCO]]-Table_1[[#This Row],[MÉDIA DE CRESCIMENTO]])</f>
        <v/>
      </c>
      <c r="AD412" s="130">
        <f>Table_1[[#This Row],[PREÇO JUSTO GORDON]]/(1+Table_1[[#This Row],[MARGEM DE DESCONTO]])</f>
        <v/>
      </c>
      <c r="AE412" s="78">
        <f>Table_1[[#This Row],[P/L]]/Table_1[[#This Row],[MÉDIA DE CRESCIMENTO]]</f>
        <v/>
      </c>
    </row>
    <row r="413" ht="15.75" customHeight="1">
      <c r="B413" s="77">
        <f>'Dados Status Invest'!A399</f>
        <v/>
      </c>
      <c r="C413" s="60">
        <f>VLOOKUP(Table_1[[#This Row],[AÇÕES]],'Classificação B3'!A:B,2,0)</f>
        <v/>
      </c>
      <c r="D413" s="60">
        <f>VLOOKUP(Table_1[[#This Row],[AÇÕES]],'Classificação B3'!A:D,4,0)</f>
        <v/>
      </c>
      <c r="E413" s="60">
        <f>VLOOKUP(Table_1[[#This Row],[AÇÕES]],'Classificação B3'!A:F,6,0)</f>
        <v/>
      </c>
      <c r="F413" s="60">
        <f>VLOOKUP(Table_1[[#This Row],[AÇÕES]],'Classificação B3'!A:G,7,0)</f>
        <v/>
      </c>
      <c r="G413" s="61">
        <f>VLOOKUP(Table_1[[#This Row],[AÇÕES]],'Dados Status Invest'!A:B,2,0)</f>
        <v/>
      </c>
      <c r="H413" s="62">
        <f>VLOOKUP(Table_1[[#This Row],[AÇÕES]],'Dados Status Invest'!A:C,3,0)/100</f>
        <v/>
      </c>
      <c r="I413" s="62">
        <f>VLOOKUP(Table_1[[#This Row],[AÇÕES]],'Dados Status Invest'!A:D,4,0)/100</f>
        <v/>
      </c>
      <c r="J413" s="63">
        <f>VLOOKUP(Table_1[[#This Row],[AÇÕES]],'Dados Status Invest'!A:AB,28,0)</f>
        <v/>
      </c>
      <c r="K413" s="63">
        <f>VLOOKUP(Table_1[[#This Row],[AÇÕES]],'Dados Status Invest'!A:AA,27,0)</f>
        <v/>
      </c>
      <c r="L413" s="63">
        <f>Table_1[[#This Row],[PREÇO]]*Table_1[[#This Row],[DY]]</f>
        <v/>
      </c>
      <c r="M413" s="62">
        <f>$E$13</f>
        <v/>
      </c>
      <c r="N413" s="62" t="n">
        <v>0.3</v>
      </c>
      <c r="O413" s="62">
        <f>Table_1[[#This Row],[DPA]]/Table_1[[#This Row],[LPA]]</f>
        <v/>
      </c>
      <c r="P413" s="62">
        <f>IF(Table_1[[#This Row],[PAYOUT]]&lt;=40%,"CRESCIMENTO",IF(Table_1[[#This Row],[PAYOUT]]&lt;=60%,"INDEFINIDO","DIVIDENDOS"))</f>
        <v/>
      </c>
      <c r="Q413" s="62">
        <f>VLOOKUP(Table_1[[#This Row],[AÇÕES]],'Dados Status Invest'!A:R,18,0)/100</f>
        <v/>
      </c>
      <c r="R413" s="62">
        <f>VLOOKUP(Table_1[[#This Row],[AÇÕES]],'Dados Status Invest'!A:Y,25,0)/100</f>
        <v/>
      </c>
      <c r="S413" s="62">
        <f>(1-Table_1[[#This Row],[PAYOUT]])*Table_1[[#This Row],[ROE]]</f>
        <v/>
      </c>
      <c r="T413" s="98">
        <f>AVERAGE(Table_1[[#This Row],[CAGR LUCRO 5A]],Table_1[[#This Row],[CRESCIMENTO DAMODARAN]])</f>
        <v/>
      </c>
      <c r="U413" s="64">
        <f>(Table_1[[#This Row],[PREÇO JUSTO BAZIN]]-Table_1[[#This Row],[PREÇO]])/Table_1[[#This Row],[PREÇO JUSTO BAZIN]]</f>
        <v/>
      </c>
      <c r="V413" s="129">
        <f>Table_1[[#This Row],[DPA]]/6%</f>
        <v/>
      </c>
      <c r="W413" s="129">
        <f>Table_1[[#This Row],[PREÇO JUSTO BAZIN]]/(1+Table_1[[#This Row],[MARGEM DE DESCONTO]])</f>
        <v/>
      </c>
      <c r="X413" s="64">
        <f>(Table_1[[#This Row],[PREÇO JUSTO GRAHAM]]-Table_1[[#This Row],[PREÇO]])/Table_1[[#This Row],[PREÇO JUSTO GRAHAM]]</f>
        <v/>
      </c>
      <c r="Y413" s="129">
        <f>(22.5*Table_1[[#This Row],[LPA]]*Table_1[[#This Row],[VPA]])^0.5</f>
        <v/>
      </c>
      <c r="Z413" s="129">
        <f>Table_1[[#This Row],[PREÇO JUSTO GRAHAM]]/(1+Table_1[[#This Row],[MARGEM DE DESCONTO]])</f>
        <v/>
      </c>
      <c r="AA413" s="64">
        <f>(Table_1[[#This Row],[PREÇO JUSTO GORDON]]-Table_1[[#This Row],[PREÇO]])/Table_1[[#This Row],[PREÇO JUSTO GORDON]]</f>
        <v/>
      </c>
      <c r="AB413" s="130">
        <f>Table_1[[#This Row],[DPA]]*(1+Table_1[[#This Row],[MÉDIA DE CRESCIMENTO]])</f>
        <v/>
      </c>
      <c r="AC413" s="130">
        <f>Table_1[[#This Row],[D1]]/(Table_1[[#This Row],[RISCO]]-Table_1[[#This Row],[MÉDIA DE CRESCIMENTO]])</f>
        <v/>
      </c>
      <c r="AD413" s="130">
        <f>Table_1[[#This Row],[PREÇO JUSTO GORDON]]/(1+Table_1[[#This Row],[MARGEM DE DESCONTO]])</f>
        <v/>
      </c>
      <c r="AE413" s="78">
        <f>Table_1[[#This Row],[P/L]]/Table_1[[#This Row],[MÉDIA DE CRESCIMENTO]]</f>
        <v/>
      </c>
    </row>
    <row r="414" ht="15.75" customHeight="1">
      <c r="B414" s="77">
        <f>'Dados Status Invest'!A400</f>
        <v/>
      </c>
      <c r="C414" s="60">
        <f>VLOOKUP(Table_1[[#This Row],[AÇÕES]],'Classificação B3'!A:B,2,0)</f>
        <v/>
      </c>
      <c r="D414" s="60">
        <f>VLOOKUP(Table_1[[#This Row],[AÇÕES]],'Classificação B3'!A:D,4,0)</f>
        <v/>
      </c>
      <c r="E414" s="60">
        <f>VLOOKUP(Table_1[[#This Row],[AÇÕES]],'Classificação B3'!A:F,6,0)</f>
        <v/>
      </c>
      <c r="F414" s="60">
        <f>VLOOKUP(Table_1[[#This Row],[AÇÕES]],'Classificação B3'!A:G,7,0)</f>
        <v/>
      </c>
      <c r="G414" s="61">
        <f>VLOOKUP(Table_1[[#This Row],[AÇÕES]],'Dados Status Invest'!A:B,2,0)</f>
        <v/>
      </c>
      <c r="H414" s="62">
        <f>VLOOKUP(Table_1[[#This Row],[AÇÕES]],'Dados Status Invest'!A:C,3,0)/100</f>
        <v/>
      </c>
      <c r="I414" s="62">
        <f>VLOOKUP(Table_1[[#This Row],[AÇÕES]],'Dados Status Invest'!A:D,4,0)/100</f>
        <v/>
      </c>
      <c r="J414" s="63">
        <f>VLOOKUP(Table_1[[#This Row],[AÇÕES]],'Dados Status Invest'!A:AB,28,0)</f>
        <v/>
      </c>
      <c r="K414" s="63">
        <f>VLOOKUP(Table_1[[#This Row],[AÇÕES]],'Dados Status Invest'!A:AA,27,0)</f>
        <v/>
      </c>
      <c r="L414" s="63">
        <f>Table_1[[#This Row],[PREÇO]]*Table_1[[#This Row],[DY]]</f>
        <v/>
      </c>
      <c r="M414" s="62">
        <f>$E$13</f>
        <v/>
      </c>
      <c r="N414" s="62" t="n">
        <v>0.3</v>
      </c>
      <c r="O414" s="62">
        <f>Table_1[[#This Row],[DPA]]/Table_1[[#This Row],[LPA]]</f>
        <v/>
      </c>
      <c r="P414" s="62">
        <f>IF(Table_1[[#This Row],[PAYOUT]]&lt;=40%,"CRESCIMENTO",IF(Table_1[[#This Row],[PAYOUT]]&lt;=60%,"INDEFINIDO","DIVIDENDOS"))</f>
        <v/>
      </c>
      <c r="Q414" s="62">
        <f>VLOOKUP(Table_1[[#This Row],[AÇÕES]],'Dados Status Invest'!A:R,18,0)/100</f>
        <v/>
      </c>
      <c r="R414" s="62">
        <f>VLOOKUP(Table_1[[#This Row],[AÇÕES]],'Dados Status Invest'!A:Y,25,0)/100</f>
        <v/>
      </c>
      <c r="S414" s="62">
        <f>(1-Table_1[[#This Row],[PAYOUT]])*Table_1[[#This Row],[ROE]]</f>
        <v/>
      </c>
      <c r="T414" s="98">
        <f>AVERAGE(Table_1[[#This Row],[CAGR LUCRO 5A]],Table_1[[#This Row],[CRESCIMENTO DAMODARAN]])</f>
        <v/>
      </c>
      <c r="U414" s="64">
        <f>(Table_1[[#This Row],[PREÇO JUSTO BAZIN]]-Table_1[[#This Row],[PREÇO]])/Table_1[[#This Row],[PREÇO JUSTO BAZIN]]</f>
        <v/>
      </c>
      <c r="V414" s="129">
        <f>Table_1[[#This Row],[DPA]]/6%</f>
        <v/>
      </c>
      <c r="W414" s="129">
        <f>Table_1[[#This Row],[PREÇO JUSTO BAZIN]]/(1+Table_1[[#This Row],[MARGEM DE DESCONTO]])</f>
        <v/>
      </c>
      <c r="X414" s="64">
        <f>(Table_1[[#This Row],[PREÇO JUSTO GRAHAM]]-Table_1[[#This Row],[PREÇO]])/Table_1[[#This Row],[PREÇO JUSTO GRAHAM]]</f>
        <v/>
      </c>
      <c r="Y414" s="129">
        <f>(22.5*Table_1[[#This Row],[LPA]]*Table_1[[#This Row],[VPA]])^0.5</f>
        <v/>
      </c>
      <c r="Z414" s="129">
        <f>Table_1[[#This Row],[PREÇO JUSTO GRAHAM]]/(1+Table_1[[#This Row],[MARGEM DE DESCONTO]])</f>
        <v/>
      </c>
      <c r="AA414" s="64">
        <f>(Table_1[[#This Row],[PREÇO JUSTO GORDON]]-Table_1[[#This Row],[PREÇO]])/Table_1[[#This Row],[PREÇO JUSTO GORDON]]</f>
        <v/>
      </c>
      <c r="AB414" s="130">
        <f>Table_1[[#This Row],[DPA]]*(1+Table_1[[#This Row],[MÉDIA DE CRESCIMENTO]])</f>
        <v/>
      </c>
      <c r="AC414" s="130">
        <f>Table_1[[#This Row],[D1]]/(Table_1[[#This Row],[RISCO]]-Table_1[[#This Row],[MÉDIA DE CRESCIMENTO]])</f>
        <v/>
      </c>
      <c r="AD414" s="130">
        <f>Table_1[[#This Row],[PREÇO JUSTO GORDON]]/(1+Table_1[[#This Row],[MARGEM DE DESCONTO]])</f>
        <v/>
      </c>
      <c r="AE414" s="78">
        <f>Table_1[[#This Row],[P/L]]/Table_1[[#This Row],[MÉDIA DE CRESCIMENTO]]</f>
        <v/>
      </c>
    </row>
    <row r="415" ht="15.75" customHeight="1">
      <c r="B415" s="77">
        <f>'Dados Status Invest'!A401</f>
        <v/>
      </c>
      <c r="C415" s="60">
        <f>VLOOKUP(Table_1[[#This Row],[AÇÕES]],'Classificação B3'!A:B,2,0)</f>
        <v/>
      </c>
      <c r="D415" s="60">
        <f>VLOOKUP(Table_1[[#This Row],[AÇÕES]],'Classificação B3'!A:D,4,0)</f>
        <v/>
      </c>
      <c r="E415" s="60">
        <f>VLOOKUP(Table_1[[#This Row],[AÇÕES]],'Classificação B3'!A:F,6,0)</f>
        <v/>
      </c>
      <c r="F415" s="60">
        <f>VLOOKUP(Table_1[[#This Row],[AÇÕES]],'Classificação B3'!A:G,7,0)</f>
        <v/>
      </c>
      <c r="G415" s="61">
        <f>VLOOKUP(Table_1[[#This Row],[AÇÕES]],'Dados Status Invest'!A:B,2,0)</f>
        <v/>
      </c>
      <c r="H415" s="62">
        <f>VLOOKUP(Table_1[[#This Row],[AÇÕES]],'Dados Status Invest'!A:C,3,0)/100</f>
        <v/>
      </c>
      <c r="I415" s="62">
        <f>VLOOKUP(Table_1[[#This Row],[AÇÕES]],'Dados Status Invest'!A:D,4,0)/100</f>
        <v/>
      </c>
      <c r="J415" s="63">
        <f>VLOOKUP(Table_1[[#This Row],[AÇÕES]],'Dados Status Invest'!A:AB,28,0)</f>
        <v/>
      </c>
      <c r="K415" s="63">
        <f>VLOOKUP(Table_1[[#This Row],[AÇÕES]],'Dados Status Invest'!A:AA,27,0)</f>
        <v/>
      </c>
      <c r="L415" s="63">
        <f>Table_1[[#This Row],[PREÇO]]*Table_1[[#This Row],[DY]]</f>
        <v/>
      </c>
      <c r="M415" s="62">
        <f>$E$13</f>
        <v/>
      </c>
      <c r="N415" s="62" t="n">
        <v>0.3</v>
      </c>
      <c r="O415" s="62">
        <f>Table_1[[#This Row],[DPA]]/Table_1[[#This Row],[LPA]]</f>
        <v/>
      </c>
      <c r="P415" s="62">
        <f>IF(Table_1[[#This Row],[PAYOUT]]&lt;=40%,"CRESCIMENTO",IF(Table_1[[#This Row],[PAYOUT]]&lt;=60%,"INDEFINIDO","DIVIDENDOS"))</f>
        <v/>
      </c>
      <c r="Q415" s="62">
        <f>VLOOKUP(Table_1[[#This Row],[AÇÕES]],'Dados Status Invest'!A:R,18,0)/100</f>
        <v/>
      </c>
      <c r="R415" s="62">
        <f>VLOOKUP(Table_1[[#This Row],[AÇÕES]],'Dados Status Invest'!A:Y,25,0)/100</f>
        <v/>
      </c>
      <c r="S415" s="62">
        <f>(1-Table_1[[#This Row],[PAYOUT]])*Table_1[[#This Row],[ROE]]</f>
        <v/>
      </c>
      <c r="T415" s="98">
        <f>AVERAGE(Table_1[[#This Row],[CAGR LUCRO 5A]],Table_1[[#This Row],[CRESCIMENTO DAMODARAN]])</f>
        <v/>
      </c>
      <c r="U415" s="64">
        <f>(Table_1[[#This Row],[PREÇO JUSTO BAZIN]]-Table_1[[#This Row],[PREÇO]])/Table_1[[#This Row],[PREÇO JUSTO BAZIN]]</f>
        <v/>
      </c>
      <c r="V415" s="129">
        <f>Table_1[[#This Row],[DPA]]/6%</f>
        <v/>
      </c>
      <c r="W415" s="129">
        <f>Table_1[[#This Row],[PREÇO JUSTO BAZIN]]/(1+Table_1[[#This Row],[MARGEM DE DESCONTO]])</f>
        <v/>
      </c>
      <c r="X415" s="64">
        <f>(Table_1[[#This Row],[PREÇO JUSTO GRAHAM]]-Table_1[[#This Row],[PREÇO]])/Table_1[[#This Row],[PREÇO JUSTO GRAHAM]]</f>
        <v/>
      </c>
      <c r="Y415" s="129">
        <f>(22.5*Table_1[[#This Row],[LPA]]*Table_1[[#This Row],[VPA]])^0.5</f>
        <v/>
      </c>
      <c r="Z415" s="129">
        <f>Table_1[[#This Row],[PREÇO JUSTO GRAHAM]]/(1+Table_1[[#This Row],[MARGEM DE DESCONTO]])</f>
        <v/>
      </c>
      <c r="AA415" s="64">
        <f>(Table_1[[#This Row],[PREÇO JUSTO GORDON]]-Table_1[[#This Row],[PREÇO]])/Table_1[[#This Row],[PREÇO JUSTO GORDON]]</f>
        <v/>
      </c>
      <c r="AB415" s="130">
        <f>Table_1[[#This Row],[DPA]]*(1+Table_1[[#This Row],[MÉDIA DE CRESCIMENTO]])</f>
        <v/>
      </c>
      <c r="AC415" s="130">
        <f>Table_1[[#This Row],[D1]]/(Table_1[[#This Row],[RISCO]]-Table_1[[#This Row],[MÉDIA DE CRESCIMENTO]])</f>
        <v/>
      </c>
      <c r="AD415" s="130">
        <f>Table_1[[#This Row],[PREÇO JUSTO GORDON]]/(1+Table_1[[#This Row],[MARGEM DE DESCONTO]])</f>
        <v/>
      </c>
      <c r="AE415" s="78">
        <f>Table_1[[#This Row],[P/L]]/Table_1[[#This Row],[MÉDIA DE CRESCIMENTO]]</f>
        <v/>
      </c>
    </row>
    <row r="416" ht="15.75" customHeight="1">
      <c r="B416" s="77">
        <f>'Dados Status Invest'!A402</f>
        <v/>
      </c>
      <c r="C416" s="60">
        <f>VLOOKUP(Table_1[[#This Row],[AÇÕES]],'Classificação B3'!A:B,2,0)</f>
        <v/>
      </c>
      <c r="D416" s="60">
        <f>VLOOKUP(Table_1[[#This Row],[AÇÕES]],'Classificação B3'!A:D,4,0)</f>
        <v/>
      </c>
      <c r="E416" s="60">
        <f>VLOOKUP(Table_1[[#This Row],[AÇÕES]],'Classificação B3'!A:F,6,0)</f>
        <v/>
      </c>
      <c r="F416" s="60">
        <f>VLOOKUP(Table_1[[#This Row],[AÇÕES]],'Classificação B3'!A:G,7,0)</f>
        <v/>
      </c>
      <c r="G416" s="61">
        <f>VLOOKUP(Table_1[[#This Row],[AÇÕES]],'Dados Status Invest'!A:B,2,0)</f>
        <v/>
      </c>
      <c r="H416" s="62">
        <f>VLOOKUP(Table_1[[#This Row],[AÇÕES]],'Dados Status Invest'!A:C,3,0)/100</f>
        <v/>
      </c>
      <c r="I416" s="62">
        <f>VLOOKUP(Table_1[[#This Row],[AÇÕES]],'Dados Status Invest'!A:D,4,0)/100</f>
        <v/>
      </c>
      <c r="J416" s="63">
        <f>VLOOKUP(Table_1[[#This Row],[AÇÕES]],'Dados Status Invest'!A:AB,28,0)</f>
        <v/>
      </c>
      <c r="K416" s="63">
        <f>VLOOKUP(Table_1[[#This Row],[AÇÕES]],'Dados Status Invest'!A:AA,27,0)</f>
        <v/>
      </c>
      <c r="L416" s="63">
        <f>Table_1[[#This Row],[PREÇO]]*Table_1[[#This Row],[DY]]</f>
        <v/>
      </c>
      <c r="M416" s="62">
        <f>$E$13</f>
        <v/>
      </c>
      <c r="N416" s="62" t="n">
        <v>0.3</v>
      </c>
      <c r="O416" s="62">
        <f>Table_1[[#This Row],[DPA]]/Table_1[[#This Row],[LPA]]</f>
        <v/>
      </c>
      <c r="P416" s="62">
        <f>IF(Table_1[[#This Row],[PAYOUT]]&lt;=40%,"CRESCIMENTO",IF(Table_1[[#This Row],[PAYOUT]]&lt;=60%,"INDEFINIDO","DIVIDENDOS"))</f>
        <v/>
      </c>
      <c r="Q416" s="62">
        <f>VLOOKUP(Table_1[[#This Row],[AÇÕES]],'Dados Status Invest'!A:R,18,0)/100</f>
        <v/>
      </c>
      <c r="R416" s="62">
        <f>VLOOKUP(Table_1[[#This Row],[AÇÕES]],'Dados Status Invest'!A:Y,25,0)/100</f>
        <v/>
      </c>
      <c r="S416" s="62">
        <f>(1-Table_1[[#This Row],[PAYOUT]])*Table_1[[#This Row],[ROE]]</f>
        <v/>
      </c>
      <c r="T416" s="98">
        <f>AVERAGE(Table_1[[#This Row],[CAGR LUCRO 5A]],Table_1[[#This Row],[CRESCIMENTO DAMODARAN]])</f>
        <v/>
      </c>
      <c r="U416" s="64">
        <f>(Table_1[[#This Row],[PREÇO JUSTO BAZIN]]-Table_1[[#This Row],[PREÇO]])/Table_1[[#This Row],[PREÇO JUSTO BAZIN]]</f>
        <v/>
      </c>
      <c r="V416" s="129">
        <f>Table_1[[#This Row],[DPA]]/6%</f>
        <v/>
      </c>
      <c r="W416" s="129">
        <f>Table_1[[#This Row],[PREÇO JUSTO BAZIN]]/(1+Table_1[[#This Row],[MARGEM DE DESCONTO]])</f>
        <v/>
      </c>
      <c r="X416" s="64">
        <f>(Table_1[[#This Row],[PREÇO JUSTO GRAHAM]]-Table_1[[#This Row],[PREÇO]])/Table_1[[#This Row],[PREÇO JUSTO GRAHAM]]</f>
        <v/>
      </c>
      <c r="Y416" s="129">
        <f>(22.5*Table_1[[#This Row],[LPA]]*Table_1[[#This Row],[VPA]])^0.5</f>
        <v/>
      </c>
      <c r="Z416" s="129">
        <f>Table_1[[#This Row],[PREÇO JUSTO GRAHAM]]/(1+Table_1[[#This Row],[MARGEM DE DESCONTO]])</f>
        <v/>
      </c>
      <c r="AA416" s="64">
        <f>(Table_1[[#This Row],[PREÇO JUSTO GORDON]]-Table_1[[#This Row],[PREÇO]])/Table_1[[#This Row],[PREÇO JUSTO GORDON]]</f>
        <v/>
      </c>
      <c r="AB416" s="130">
        <f>Table_1[[#This Row],[DPA]]*(1+Table_1[[#This Row],[MÉDIA DE CRESCIMENTO]])</f>
        <v/>
      </c>
      <c r="AC416" s="130">
        <f>Table_1[[#This Row],[D1]]/(Table_1[[#This Row],[RISCO]]-Table_1[[#This Row],[MÉDIA DE CRESCIMENTO]])</f>
        <v/>
      </c>
      <c r="AD416" s="130">
        <f>Table_1[[#This Row],[PREÇO JUSTO GORDON]]/(1+Table_1[[#This Row],[MARGEM DE DESCONTO]])</f>
        <v/>
      </c>
      <c r="AE416" s="78">
        <f>Table_1[[#This Row],[P/L]]/Table_1[[#This Row],[MÉDIA DE CRESCIMENTO]]</f>
        <v/>
      </c>
    </row>
    <row r="417" ht="15.75" customHeight="1">
      <c r="B417" s="77">
        <f>'Dados Status Invest'!A403</f>
        <v/>
      </c>
      <c r="C417" s="60">
        <f>VLOOKUP(Table_1[[#This Row],[AÇÕES]],'Classificação B3'!A:B,2,0)</f>
        <v/>
      </c>
      <c r="D417" s="60">
        <f>VLOOKUP(Table_1[[#This Row],[AÇÕES]],'Classificação B3'!A:D,4,0)</f>
        <v/>
      </c>
      <c r="E417" s="60">
        <f>VLOOKUP(Table_1[[#This Row],[AÇÕES]],'Classificação B3'!A:F,6,0)</f>
        <v/>
      </c>
      <c r="F417" s="60">
        <f>VLOOKUP(Table_1[[#This Row],[AÇÕES]],'Classificação B3'!A:G,7,0)</f>
        <v/>
      </c>
      <c r="G417" s="61">
        <f>VLOOKUP(Table_1[[#This Row],[AÇÕES]],'Dados Status Invest'!A:B,2,0)</f>
        <v/>
      </c>
      <c r="H417" s="62">
        <f>VLOOKUP(Table_1[[#This Row],[AÇÕES]],'Dados Status Invest'!A:C,3,0)/100</f>
        <v/>
      </c>
      <c r="I417" s="62">
        <f>VLOOKUP(Table_1[[#This Row],[AÇÕES]],'Dados Status Invest'!A:D,4,0)/100</f>
        <v/>
      </c>
      <c r="J417" s="63">
        <f>VLOOKUP(Table_1[[#This Row],[AÇÕES]],'Dados Status Invest'!A:AB,28,0)</f>
        <v/>
      </c>
      <c r="K417" s="63">
        <f>VLOOKUP(Table_1[[#This Row],[AÇÕES]],'Dados Status Invest'!A:AA,27,0)</f>
        <v/>
      </c>
      <c r="L417" s="63">
        <f>Table_1[[#This Row],[PREÇO]]*Table_1[[#This Row],[DY]]</f>
        <v/>
      </c>
      <c r="M417" s="62">
        <f>$E$13</f>
        <v/>
      </c>
      <c r="N417" s="62" t="n">
        <v>0.3</v>
      </c>
      <c r="O417" s="62">
        <f>Table_1[[#This Row],[DPA]]/Table_1[[#This Row],[LPA]]</f>
        <v/>
      </c>
      <c r="P417" s="62">
        <f>IF(Table_1[[#This Row],[PAYOUT]]&lt;=40%,"CRESCIMENTO",IF(Table_1[[#This Row],[PAYOUT]]&lt;=60%,"INDEFINIDO","DIVIDENDOS"))</f>
        <v/>
      </c>
      <c r="Q417" s="62">
        <f>VLOOKUP(Table_1[[#This Row],[AÇÕES]],'Dados Status Invest'!A:R,18,0)/100</f>
        <v/>
      </c>
      <c r="R417" s="62">
        <f>VLOOKUP(Table_1[[#This Row],[AÇÕES]],'Dados Status Invest'!A:Y,25,0)/100</f>
        <v/>
      </c>
      <c r="S417" s="62">
        <f>(1-Table_1[[#This Row],[PAYOUT]])*Table_1[[#This Row],[ROE]]</f>
        <v/>
      </c>
      <c r="T417" s="98">
        <f>AVERAGE(Table_1[[#This Row],[CAGR LUCRO 5A]],Table_1[[#This Row],[CRESCIMENTO DAMODARAN]])</f>
        <v/>
      </c>
      <c r="U417" s="64">
        <f>(Table_1[[#This Row],[PREÇO JUSTO BAZIN]]-Table_1[[#This Row],[PREÇO]])/Table_1[[#This Row],[PREÇO JUSTO BAZIN]]</f>
        <v/>
      </c>
      <c r="V417" s="129">
        <f>Table_1[[#This Row],[DPA]]/6%</f>
        <v/>
      </c>
      <c r="W417" s="129">
        <f>Table_1[[#This Row],[PREÇO JUSTO BAZIN]]/(1+Table_1[[#This Row],[MARGEM DE DESCONTO]])</f>
        <v/>
      </c>
      <c r="X417" s="64">
        <f>(Table_1[[#This Row],[PREÇO JUSTO GRAHAM]]-Table_1[[#This Row],[PREÇO]])/Table_1[[#This Row],[PREÇO JUSTO GRAHAM]]</f>
        <v/>
      </c>
      <c r="Y417" s="129">
        <f>(22.5*Table_1[[#This Row],[LPA]]*Table_1[[#This Row],[VPA]])^0.5</f>
        <v/>
      </c>
      <c r="Z417" s="129">
        <f>Table_1[[#This Row],[PREÇO JUSTO GRAHAM]]/(1+Table_1[[#This Row],[MARGEM DE DESCONTO]])</f>
        <v/>
      </c>
      <c r="AA417" s="64">
        <f>(Table_1[[#This Row],[PREÇO JUSTO GORDON]]-Table_1[[#This Row],[PREÇO]])/Table_1[[#This Row],[PREÇO JUSTO GORDON]]</f>
        <v/>
      </c>
      <c r="AB417" s="130">
        <f>Table_1[[#This Row],[DPA]]*(1+Table_1[[#This Row],[MÉDIA DE CRESCIMENTO]])</f>
        <v/>
      </c>
      <c r="AC417" s="130">
        <f>Table_1[[#This Row],[D1]]/(Table_1[[#This Row],[RISCO]]-Table_1[[#This Row],[MÉDIA DE CRESCIMENTO]])</f>
        <v/>
      </c>
      <c r="AD417" s="130">
        <f>Table_1[[#This Row],[PREÇO JUSTO GORDON]]/(1+Table_1[[#This Row],[MARGEM DE DESCONTO]])</f>
        <v/>
      </c>
      <c r="AE417" s="78">
        <f>Table_1[[#This Row],[P/L]]/Table_1[[#This Row],[MÉDIA DE CRESCIMENTO]]</f>
        <v/>
      </c>
    </row>
    <row r="418" ht="15.75" customHeight="1">
      <c r="B418" s="77">
        <f>'Dados Status Invest'!A404</f>
        <v/>
      </c>
      <c r="C418" s="60">
        <f>VLOOKUP(Table_1[[#This Row],[AÇÕES]],'Classificação B3'!A:B,2,0)</f>
        <v/>
      </c>
      <c r="D418" s="60">
        <f>VLOOKUP(Table_1[[#This Row],[AÇÕES]],'Classificação B3'!A:D,4,0)</f>
        <v/>
      </c>
      <c r="E418" s="60">
        <f>VLOOKUP(Table_1[[#This Row],[AÇÕES]],'Classificação B3'!A:F,6,0)</f>
        <v/>
      </c>
      <c r="F418" s="60">
        <f>VLOOKUP(Table_1[[#This Row],[AÇÕES]],'Classificação B3'!A:G,7,0)</f>
        <v/>
      </c>
      <c r="G418" s="61">
        <f>VLOOKUP(Table_1[[#This Row],[AÇÕES]],'Dados Status Invest'!A:B,2,0)</f>
        <v/>
      </c>
      <c r="H418" s="62">
        <f>VLOOKUP(Table_1[[#This Row],[AÇÕES]],'Dados Status Invest'!A:C,3,0)/100</f>
        <v/>
      </c>
      <c r="I418" s="62">
        <f>VLOOKUP(Table_1[[#This Row],[AÇÕES]],'Dados Status Invest'!A:D,4,0)/100</f>
        <v/>
      </c>
      <c r="J418" s="63">
        <f>VLOOKUP(Table_1[[#This Row],[AÇÕES]],'Dados Status Invest'!A:AB,28,0)</f>
        <v/>
      </c>
      <c r="K418" s="63">
        <f>VLOOKUP(Table_1[[#This Row],[AÇÕES]],'Dados Status Invest'!A:AA,27,0)</f>
        <v/>
      </c>
      <c r="L418" s="63">
        <f>Table_1[[#This Row],[PREÇO]]*Table_1[[#This Row],[DY]]</f>
        <v/>
      </c>
      <c r="M418" s="62">
        <f>$E$13</f>
        <v/>
      </c>
      <c r="N418" s="62" t="n">
        <v>0.3</v>
      </c>
      <c r="O418" s="62">
        <f>Table_1[[#This Row],[DPA]]/Table_1[[#This Row],[LPA]]</f>
        <v/>
      </c>
      <c r="P418" s="62">
        <f>IF(Table_1[[#This Row],[PAYOUT]]&lt;=40%,"CRESCIMENTO",IF(Table_1[[#This Row],[PAYOUT]]&lt;=60%,"INDEFINIDO","DIVIDENDOS"))</f>
        <v/>
      </c>
      <c r="Q418" s="62">
        <f>VLOOKUP(Table_1[[#This Row],[AÇÕES]],'Dados Status Invest'!A:R,18,0)/100</f>
        <v/>
      </c>
      <c r="R418" s="62">
        <f>VLOOKUP(Table_1[[#This Row],[AÇÕES]],'Dados Status Invest'!A:Y,25,0)/100</f>
        <v/>
      </c>
      <c r="S418" s="62">
        <f>(1-Table_1[[#This Row],[PAYOUT]])*Table_1[[#This Row],[ROE]]</f>
        <v/>
      </c>
      <c r="T418" s="98">
        <f>AVERAGE(Table_1[[#This Row],[CAGR LUCRO 5A]],Table_1[[#This Row],[CRESCIMENTO DAMODARAN]])</f>
        <v/>
      </c>
      <c r="U418" s="64">
        <f>(Table_1[[#This Row],[PREÇO JUSTO BAZIN]]-Table_1[[#This Row],[PREÇO]])/Table_1[[#This Row],[PREÇO JUSTO BAZIN]]</f>
        <v/>
      </c>
      <c r="V418" s="129">
        <f>Table_1[[#This Row],[DPA]]/6%</f>
        <v/>
      </c>
      <c r="W418" s="129">
        <f>Table_1[[#This Row],[PREÇO JUSTO BAZIN]]/(1+Table_1[[#This Row],[MARGEM DE DESCONTO]])</f>
        <v/>
      </c>
      <c r="X418" s="64">
        <f>(Table_1[[#This Row],[PREÇO JUSTO GRAHAM]]-Table_1[[#This Row],[PREÇO]])/Table_1[[#This Row],[PREÇO JUSTO GRAHAM]]</f>
        <v/>
      </c>
      <c r="Y418" s="129">
        <f>(22.5*Table_1[[#This Row],[LPA]]*Table_1[[#This Row],[VPA]])^0.5</f>
        <v/>
      </c>
      <c r="Z418" s="129">
        <f>Table_1[[#This Row],[PREÇO JUSTO GRAHAM]]/(1+Table_1[[#This Row],[MARGEM DE DESCONTO]])</f>
        <v/>
      </c>
      <c r="AA418" s="64">
        <f>(Table_1[[#This Row],[PREÇO JUSTO GORDON]]-Table_1[[#This Row],[PREÇO]])/Table_1[[#This Row],[PREÇO JUSTO GORDON]]</f>
        <v/>
      </c>
      <c r="AB418" s="130">
        <f>Table_1[[#This Row],[DPA]]*(1+Table_1[[#This Row],[MÉDIA DE CRESCIMENTO]])</f>
        <v/>
      </c>
      <c r="AC418" s="130">
        <f>Table_1[[#This Row],[D1]]/(Table_1[[#This Row],[RISCO]]-Table_1[[#This Row],[MÉDIA DE CRESCIMENTO]])</f>
        <v/>
      </c>
      <c r="AD418" s="130">
        <f>Table_1[[#This Row],[PREÇO JUSTO GORDON]]/(1+Table_1[[#This Row],[MARGEM DE DESCONTO]])</f>
        <v/>
      </c>
      <c r="AE418" s="78">
        <f>Table_1[[#This Row],[P/L]]/Table_1[[#This Row],[MÉDIA DE CRESCIMENTO]]</f>
        <v/>
      </c>
    </row>
    <row r="419" ht="15.75" customHeight="1">
      <c r="B419" s="77">
        <f>'Dados Status Invest'!A405</f>
        <v/>
      </c>
      <c r="C419" s="60">
        <f>VLOOKUP(Table_1[[#This Row],[AÇÕES]],'Classificação B3'!A:B,2,0)</f>
        <v/>
      </c>
      <c r="D419" s="60">
        <f>VLOOKUP(Table_1[[#This Row],[AÇÕES]],'Classificação B3'!A:D,4,0)</f>
        <v/>
      </c>
      <c r="E419" s="60">
        <f>VLOOKUP(Table_1[[#This Row],[AÇÕES]],'Classificação B3'!A:F,6,0)</f>
        <v/>
      </c>
      <c r="F419" s="60">
        <f>VLOOKUP(Table_1[[#This Row],[AÇÕES]],'Classificação B3'!A:G,7,0)</f>
        <v/>
      </c>
      <c r="G419" s="61">
        <f>VLOOKUP(Table_1[[#This Row],[AÇÕES]],'Dados Status Invest'!A:B,2,0)</f>
        <v/>
      </c>
      <c r="H419" s="62">
        <f>VLOOKUP(Table_1[[#This Row],[AÇÕES]],'Dados Status Invest'!A:C,3,0)/100</f>
        <v/>
      </c>
      <c r="I419" s="62">
        <f>VLOOKUP(Table_1[[#This Row],[AÇÕES]],'Dados Status Invest'!A:D,4,0)/100</f>
        <v/>
      </c>
      <c r="J419" s="63">
        <f>VLOOKUP(Table_1[[#This Row],[AÇÕES]],'Dados Status Invest'!A:AB,28,0)</f>
        <v/>
      </c>
      <c r="K419" s="63">
        <f>VLOOKUP(Table_1[[#This Row],[AÇÕES]],'Dados Status Invest'!A:AA,27,0)</f>
        <v/>
      </c>
      <c r="L419" s="63">
        <f>Table_1[[#This Row],[PREÇO]]*Table_1[[#This Row],[DY]]</f>
        <v/>
      </c>
      <c r="M419" s="62">
        <f>$E$13</f>
        <v/>
      </c>
      <c r="N419" s="62" t="n">
        <v>0.3</v>
      </c>
      <c r="O419" s="62">
        <f>Table_1[[#This Row],[DPA]]/Table_1[[#This Row],[LPA]]</f>
        <v/>
      </c>
      <c r="P419" s="62">
        <f>IF(Table_1[[#This Row],[PAYOUT]]&lt;=40%,"CRESCIMENTO",IF(Table_1[[#This Row],[PAYOUT]]&lt;=60%,"INDEFINIDO","DIVIDENDOS"))</f>
        <v/>
      </c>
      <c r="Q419" s="62">
        <f>VLOOKUP(Table_1[[#This Row],[AÇÕES]],'Dados Status Invest'!A:R,18,0)/100</f>
        <v/>
      </c>
      <c r="R419" s="62">
        <f>VLOOKUP(Table_1[[#This Row],[AÇÕES]],'Dados Status Invest'!A:Y,25,0)/100</f>
        <v/>
      </c>
      <c r="S419" s="62">
        <f>(1-Table_1[[#This Row],[PAYOUT]])*Table_1[[#This Row],[ROE]]</f>
        <v/>
      </c>
      <c r="T419" s="98">
        <f>AVERAGE(Table_1[[#This Row],[CAGR LUCRO 5A]],Table_1[[#This Row],[CRESCIMENTO DAMODARAN]])</f>
        <v/>
      </c>
      <c r="U419" s="64">
        <f>(Table_1[[#This Row],[PREÇO JUSTO BAZIN]]-Table_1[[#This Row],[PREÇO]])/Table_1[[#This Row],[PREÇO JUSTO BAZIN]]</f>
        <v/>
      </c>
      <c r="V419" s="129">
        <f>Table_1[[#This Row],[DPA]]/6%</f>
        <v/>
      </c>
      <c r="W419" s="129">
        <f>Table_1[[#This Row],[PREÇO JUSTO BAZIN]]/(1+Table_1[[#This Row],[MARGEM DE DESCONTO]])</f>
        <v/>
      </c>
      <c r="X419" s="64">
        <f>(Table_1[[#This Row],[PREÇO JUSTO GRAHAM]]-Table_1[[#This Row],[PREÇO]])/Table_1[[#This Row],[PREÇO JUSTO GRAHAM]]</f>
        <v/>
      </c>
      <c r="Y419" s="129">
        <f>(22.5*Table_1[[#This Row],[LPA]]*Table_1[[#This Row],[VPA]])^0.5</f>
        <v/>
      </c>
      <c r="Z419" s="129">
        <f>Table_1[[#This Row],[PREÇO JUSTO GRAHAM]]/(1+Table_1[[#This Row],[MARGEM DE DESCONTO]])</f>
        <v/>
      </c>
      <c r="AA419" s="64">
        <f>(Table_1[[#This Row],[PREÇO JUSTO GORDON]]-Table_1[[#This Row],[PREÇO]])/Table_1[[#This Row],[PREÇO JUSTO GORDON]]</f>
        <v/>
      </c>
      <c r="AB419" s="130">
        <f>Table_1[[#This Row],[DPA]]*(1+Table_1[[#This Row],[MÉDIA DE CRESCIMENTO]])</f>
        <v/>
      </c>
      <c r="AC419" s="130">
        <f>Table_1[[#This Row],[D1]]/(Table_1[[#This Row],[RISCO]]-Table_1[[#This Row],[MÉDIA DE CRESCIMENTO]])</f>
        <v/>
      </c>
      <c r="AD419" s="130">
        <f>Table_1[[#This Row],[PREÇO JUSTO GORDON]]/(1+Table_1[[#This Row],[MARGEM DE DESCONTO]])</f>
        <v/>
      </c>
      <c r="AE419" s="78">
        <f>Table_1[[#This Row],[P/L]]/Table_1[[#This Row],[MÉDIA DE CRESCIMENTO]]</f>
        <v/>
      </c>
    </row>
    <row r="420" ht="15.75" customHeight="1">
      <c r="B420" s="77">
        <f>'Dados Status Invest'!A406</f>
        <v/>
      </c>
      <c r="C420" s="60">
        <f>VLOOKUP(Table_1[[#This Row],[AÇÕES]],'Classificação B3'!A:B,2,0)</f>
        <v/>
      </c>
      <c r="D420" s="60">
        <f>VLOOKUP(Table_1[[#This Row],[AÇÕES]],'Classificação B3'!A:D,4,0)</f>
        <v/>
      </c>
      <c r="E420" s="60">
        <f>VLOOKUP(Table_1[[#This Row],[AÇÕES]],'Classificação B3'!A:F,6,0)</f>
        <v/>
      </c>
      <c r="F420" s="60">
        <f>VLOOKUP(Table_1[[#This Row],[AÇÕES]],'Classificação B3'!A:G,7,0)</f>
        <v/>
      </c>
      <c r="G420" s="61">
        <f>VLOOKUP(Table_1[[#This Row],[AÇÕES]],'Dados Status Invest'!A:B,2,0)</f>
        <v/>
      </c>
      <c r="H420" s="62">
        <f>VLOOKUP(Table_1[[#This Row],[AÇÕES]],'Dados Status Invest'!A:C,3,0)/100</f>
        <v/>
      </c>
      <c r="I420" s="62">
        <f>VLOOKUP(Table_1[[#This Row],[AÇÕES]],'Dados Status Invest'!A:D,4,0)/100</f>
        <v/>
      </c>
      <c r="J420" s="63">
        <f>VLOOKUP(Table_1[[#This Row],[AÇÕES]],'Dados Status Invest'!A:AB,28,0)</f>
        <v/>
      </c>
      <c r="K420" s="63">
        <f>VLOOKUP(Table_1[[#This Row],[AÇÕES]],'Dados Status Invest'!A:AA,27,0)</f>
        <v/>
      </c>
      <c r="L420" s="63">
        <f>Table_1[[#This Row],[PREÇO]]*Table_1[[#This Row],[DY]]</f>
        <v/>
      </c>
      <c r="M420" s="62">
        <f>$E$13</f>
        <v/>
      </c>
      <c r="N420" s="62" t="n">
        <v>0.3</v>
      </c>
      <c r="O420" s="62">
        <f>Table_1[[#This Row],[DPA]]/Table_1[[#This Row],[LPA]]</f>
        <v/>
      </c>
      <c r="P420" s="62">
        <f>IF(Table_1[[#This Row],[PAYOUT]]&lt;=40%,"CRESCIMENTO",IF(Table_1[[#This Row],[PAYOUT]]&lt;=60%,"INDEFINIDO","DIVIDENDOS"))</f>
        <v/>
      </c>
      <c r="Q420" s="62">
        <f>VLOOKUP(Table_1[[#This Row],[AÇÕES]],'Dados Status Invest'!A:R,18,0)/100</f>
        <v/>
      </c>
      <c r="R420" s="62">
        <f>VLOOKUP(Table_1[[#This Row],[AÇÕES]],'Dados Status Invest'!A:Y,25,0)/100</f>
        <v/>
      </c>
      <c r="S420" s="62">
        <f>(1-Table_1[[#This Row],[PAYOUT]])*Table_1[[#This Row],[ROE]]</f>
        <v/>
      </c>
      <c r="T420" s="98">
        <f>AVERAGE(Table_1[[#This Row],[CAGR LUCRO 5A]],Table_1[[#This Row],[CRESCIMENTO DAMODARAN]])</f>
        <v/>
      </c>
      <c r="U420" s="64">
        <f>(Table_1[[#This Row],[PREÇO JUSTO BAZIN]]-Table_1[[#This Row],[PREÇO]])/Table_1[[#This Row],[PREÇO JUSTO BAZIN]]</f>
        <v/>
      </c>
      <c r="V420" s="129">
        <f>Table_1[[#This Row],[DPA]]/6%</f>
        <v/>
      </c>
      <c r="W420" s="129">
        <f>Table_1[[#This Row],[PREÇO JUSTO BAZIN]]/(1+Table_1[[#This Row],[MARGEM DE DESCONTO]])</f>
        <v/>
      </c>
      <c r="X420" s="64">
        <f>(Table_1[[#This Row],[PREÇO JUSTO GRAHAM]]-Table_1[[#This Row],[PREÇO]])/Table_1[[#This Row],[PREÇO JUSTO GRAHAM]]</f>
        <v/>
      </c>
      <c r="Y420" s="129">
        <f>(22.5*Table_1[[#This Row],[LPA]]*Table_1[[#This Row],[VPA]])^0.5</f>
        <v/>
      </c>
      <c r="Z420" s="129">
        <f>Table_1[[#This Row],[PREÇO JUSTO GRAHAM]]/(1+Table_1[[#This Row],[MARGEM DE DESCONTO]])</f>
        <v/>
      </c>
      <c r="AA420" s="64">
        <f>(Table_1[[#This Row],[PREÇO JUSTO GORDON]]-Table_1[[#This Row],[PREÇO]])/Table_1[[#This Row],[PREÇO JUSTO GORDON]]</f>
        <v/>
      </c>
      <c r="AB420" s="130">
        <f>Table_1[[#This Row],[DPA]]*(1+Table_1[[#This Row],[MÉDIA DE CRESCIMENTO]])</f>
        <v/>
      </c>
      <c r="AC420" s="130">
        <f>Table_1[[#This Row],[D1]]/(Table_1[[#This Row],[RISCO]]-Table_1[[#This Row],[MÉDIA DE CRESCIMENTO]])</f>
        <v/>
      </c>
      <c r="AD420" s="130">
        <f>Table_1[[#This Row],[PREÇO JUSTO GORDON]]/(1+Table_1[[#This Row],[MARGEM DE DESCONTO]])</f>
        <v/>
      </c>
      <c r="AE420" s="78">
        <f>Table_1[[#This Row],[P/L]]/Table_1[[#This Row],[MÉDIA DE CRESCIMENTO]]</f>
        <v/>
      </c>
    </row>
    <row r="421" ht="15.75" customHeight="1">
      <c r="B421" s="77">
        <f>'Dados Status Invest'!A407</f>
        <v/>
      </c>
      <c r="C421" s="60">
        <f>VLOOKUP(Table_1[[#This Row],[AÇÕES]],'Classificação B3'!A:B,2,0)</f>
        <v/>
      </c>
      <c r="D421" s="60">
        <f>VLOOKUP(Table_1[[#This Row],[AÇÕES]],'Classificação B3'!A:D,4,0)</f>
        <v/>
      </c>
      <c r="E421" s="60">
        <f>VLOOKUP(Table_1[[#This Row],[AÇÕES]],'Classificação B3'!A:F,6,0)</f>
        <v/>
      </c>
      <c r="F421" s="60">
        <f>VLOOKUP(Table_1[[#This Row],[AÇÕES]],'Classificação B3'!A:G,7,0)</f>
        <v/>
      </c>
      <c r="G421" s="61">
        <f>VLOOKUP(Table_1[[#This Row],[AÇÕES]],'Dados Status Invest'!A:B,2,0)</f>
        <v/>
      </c>
      <c r="H421" s="62">
        <f>VLOOKUP(Table_1[[#This Row],[AÇÕES]],'Dados Status Invest'!A:C,3,0)/100</f>
        <v/>
      </c>
      <c r="I421" s="62">
        <f>VLOOKUP(Table_1[[#This Row],[AÇÕES]],'Dados Status Invest'!A:D,4,0)/100</f>
        <v/>
      </c>
      <c r="J421" s="63">
        <f>VLOOKUP(Table_1[[#This Row],[AÇÕES]],'Dados Status Invest'!A:AB,28,0)</f>
        <v/>
      </c>
      <c r="K421" s="63">
        <f>VLOOKUP(Table_1[[#This Row],[AÇÕES]],'Dados Status Invest'!A:AA,27,0)</f>
        <v/>
      </c>
      <c r="L421" s="63">
        <f>Table_1[[#This Row],[PREÇO]]*Table_1[[#This Row],[DY]]</f>
        <v/>
      </c>
      <c r="M421" s="62">
        <f>$E$13</f>
        <v/>
      </c>
      <c r="N421" s="62" t="n">
        <v>0.3</v>
      </c>
      <c r="O421" s="62">
        <f>Table_1[[#This Row],[DPA]]/Table_1[[#This Row],[LPA]]</f>
        <v/>
      </c>
      <c r="P421" s="62">
        <f>IF(Table_1[[#This Row],[PAYOUT]]&lt;=40%,"CRESCIMENTO",IF(Table_1[[#This Row],[PAYOUT]]&lt;=60%,"INDEFINIDO","DIVIDENDOS"))</f>
        <v/>
      </c>
      <c r="Q421" s="62">
        <f>VLOOKUP(Table_1[[#This Row],[AÇÕES]],'Dados Status Invest'!A:R,18,0)/100</f>
        <v/>
      </c>
      <c r="R421" s="62">
        <f>VLOOKUP(Table_1[[#This Row],[AÇÕES]],'Dados Status Invest'!A:Y,25,0)/100</f>
        <v/>
      </c>
      <c r="S421" s="62">
        <f>(1-Table_1[[#This Row],[PAYOUT]])*Table_1[[#This Row],[ROE]]</f>
        <v/>
      </c>
      <c r="T421" s="98">
        <f>AVERAGE(Table_1[[#This Row],[CAGR LUCRO 5A]],Table_1[[#This Row],[CRESCIMENTO DAMODARAN]])</f>
        <v/>
      </c>
      <c r="U421" s="64">
        <f>(Table_1[[#This Row],[PREÇO JUSTO BAZIN]]-Table_1[[#This Row],[PREÇO]])/Table_1[[#This Row],[PREÇO JUSTO BAZIN]]</f>
        <v/>
      </c>
      <c r="V421" s="129">
        <f>Table_1[[#This Row],[DPA]]/6%</f>
        <v/>
      </c>
      <c r="W421" s="129">
        <f>Table_1[[#This Row],[PREÇO JUSTO BAZIN]]/(1+Table_1[[#This Row],[MARGEM DE DESCONTO]])</f>
        <v/>
      </c>
      <c r="X421" s="64">
        <f>(Table_1[[#This Row],[PREÇO JUSTO GRAHAM]]-Table_1[[#This Row],[PREÇO]])/Table_1[[#This Row],[PREÇO JUSTO GRAHAM]]</f>
        <v/>
      </c>
      <c r="Y421" s="129">
        <f>(22.5*Table_1[[#This Row],[LPA]]*Table_1[[#This Row],[VPA]])^0.5</f>
        <v/>
      </c>
      <c r="Z421" s="129">
        <f>Table_1[[#This Row],[PREÇO JUSTO GRAHAM]]/(1+Table_1[[#This Row],[MARGEM DE DESCONTO]])</f>
        <v/>
      </c>
      <c r="AA421" s="64">
        <f>(Table_1[[#This Row],[PREÇO JUSTO GORDON]]-Table_1[[#This Row],[PREÇO]])/Table_1[[#This Row],[PREÇO JUSTO GORDON]]</f>
        <v/>
      </c>
      <c r="AB421" s="130">
        <f>Table_1[[#This Row],[DPA]]*(1+Table_1[[#This Row],[MÉDIA DE CRESCIMENTO]])</f>
        <v/>
      </c>
      <c r="AC421" s="130">
        <f>Table_1[[#This Row],[D1]]/(Table_1[[#This Row],[RISCO]]-Table_1[[#This Row],[MÉDIA DE CRESCIMENTO]])</f>
        <v/>
      </c>
      <c r="AD421" s="130">
        <f>Table_1[[#This Row],[PREÇO JUSTO GORDON]]/(1+Table_1[[#This Row],[MARGEM DE DESCONTO]])</f>
        <v/>
      </c>
      <c r="AE421" s="78">
        <f>Table_1[[#This Row],[P/L]]/Table_1[[#This Row],[MÉDIA DE CRESCIMENTO]]</f>
        <v/>
      </c>
    </row>
    <row r="422" ht="15.75" customHeight="1">
      <c r="B422" s="77">
        <f>'Dados Status Invest'!A408</f>
        <v/>
      </c>
      <c r="C422" s="60">
        <f>VLOOKUP(Table_1[[#This Row],[AÇÕES]],'Classificação B3'!A:B,2,0)</f>
        <v/>
      </c>
      <c r="D422" s="60">
        <f>VLOOKUP(Table_1[[#This Row],[AÇÕES]],'Classificação B3'!A:D,4,0)</f>
        <v/>
      </c>
      <c r="E422" s="60">
        <f>VLOOKUP(Table_1[[#This Row],[AÇÕES]],'Classificação B3'!A:F,6,0)</f>
        <v/>
      </c>
      <c r="F422" s="60">
        <f>VLOOKUP(Table_1[[#This Row],[AÇÕES]],'Classificação B3'!A:G,7,0)</f>
        <v/>
      </c>
      <c r="G422" s="61">
        <f>VLOOKUP(Table_1[[#This Row],[AÇÕES]],'Dados Status Invest'!A:B,2,0)</f>
        <v/>
      </c>
      <c r="H422" s="62">
        <f>VLOOKUP(Table_1[[#This Row],[AÇÕES]],'Dados Status Invest'!A:C,3,0)/100</f>
        <v/>
      </c>
      <c r="I422" s="62">
        <f>VLOOKUP(Table_1[[#This Row],[AÇÕES]],'Dados Status Invest'!A:D,4,0)/100</f>
        <v/>
      </c>
      <c r="J422" s="63">
        <f>VLOOKUP(Table_1[[#This Row],[AÇÕES]],'Dados Status Invest'!A:AB,28,0)</f>
        <v/>
      </c>
      <c r="K422" s="63">
        <f>VLOOKUP(Table_1[[#This Row],[AÇÕES]],'Dados Status Invest'!A:AA,27,0)</f>
        <v/>
      </c>
      <c r="L422" s="63">
        <f>Table_1[[#This Row],[PREÇO]]*Table_1[[#This Row],[DY]]</f>
        <v/>
      </c>
      <c r="M422" s="62">
        <f>$E$13</f>
        <v/>
      </c>
      <c r="N422" s="62" t="n">
        <v>0.3</v>
      </c>
      <c r="O422" s="62">
        <f>Table_1[[#This Row],[DPA]]/Table_1[[#This Row],[LPA]]</f>
        <v/>
      </c>
      <c r="P422" s="62">
        <f>IF(Table_1[[#This Row],[PAYOUT]]&lt;=40%,"CRESCIMENTO",IF(Table_1[[#This Row],[PAYOUT]]&lt;=60%,"INDEFINIDO","DIVIDENDOS"))</f>
        <v/>
      </c>
      <c r="Q422" s="62">
        <f>VLOOKUP(Table_1[[#This Row],[AÇÕES]],'Dados Status Invest'!A:R,18,0)/100</f>
        <v/>
      </c>
      <c r="R422" s="62">
        <f>VLOOKUP(Table_1[[#This Row],[AÇÕES]],'Dados Status Invest'!A:Y,25,0)/100</f>
        <v/>
      </c>
      <c r="S422" s="62">
        <f>(1-Table_1[[#This Row],[PAYOUT]])*Table_1[[#This Row],[ROE]]</f>
        <v/>
      </c>
      <c r="T422" s="98">
        <f>AVERAGE(Table_1[[#This Row],[CAGR LUCRO 5A]],Table_1[[#This Row],[CRESCIMENTO DAMODARAN]])</f>
        <v/>
      </c>
      <c r="U422" s="64">
        <f>(Table_1[[#This Row],[PREÇO JUSTO BAZIN]]-Table_1[[#This Row],[PREÇO]])/Table_1[[#This Row],[PREÇO JUSTO BAZIN]]</f>
        <v/>
      </c>
      <c r="V422" s="129">
        <f>Table_1[[#This Row],[DPA]]/6%</f>
        <v/>
      </c>
      <c r="W422" s="129">
        <f>Table_1[[#This Row],[PREÇO JUSTO BAZIN]]/(1+Table_1[[#This Row],[MARGEM DE DESCONTO]])</f>
        <v/>
      </c>
      <c r="X422" s="64">
        <f>(Table_1[[#This Row],[PREÇO JUSTO GRAHAM]]-Table_1[[#This Row],[PREÇO]])/Table_1[[#This Row],[PREÇO JUSTO GRAHAM]]</f>
        <v/>
      </c>
      <c r="Y422" s="129">
        <f>(22.5*Table_1[[#This Row],[LPA]]*Table_1[[#This Row],[VPA]])^0.5</f>
        <v/>
      </c>
      <c r="Z422" s="129">
        <f>Table_1[[#This Row],[PREÇO JUSTO GRAHAM]]/(1+Table_1[[#This Row],[MARGEM DE DESCONTO]])</f>
        <v/>
      </c>
      <c r="AA422" s="64">
        <f>(Table_1[[#This Row],[PREÇO JUSTO GORDON]]-Table_1[[#This Row],[PREÇO]])/Table_1[[#This Row],[PREÇO JUSTO GORDON]]</f>
        <v/>
      </c>
      <c r="AB422" s="130">
        <f>Table_1[[#This Row],[DPA]]*(1+Table_1[[#This Row],[MÉDIA DE CRESCIMENTO]])</f>
        <v/>
      </c>
      <c r="AC422" s="130">
        <f>Table_1[[#This Row],[D1]]/(Table_1[[#This Row],[RISCO]]-Table_1[[#This Row],[MÉDIA DE CRESCIMENTO]])</f>
        <v/>
      </c>
      <c r="AD422" s="130">
        <f>Table_1[[#This Row],[PREÇO JUSTO GORDON]]/(1+Table_1[[#This Row],[MARGEM DE DESCONTO]])</f>
        <v/>
      </c>
      <c r="AE422" s="78">
        <f>Table_1[[#This Row],[P/L]]/Table_1[[#This Row],[MÉDIA DE CRESCIMENTO]]</f>
        <v/>
      </c>
    </row>
    <row r="423" ht="15.75" customHeight="1">
      <c r="B423" s="77">
        <f>'Dados Status Invest'!A409</f>
        <v/>
      </c>
      <c r="C423" s="60">
        <f>VLOOKUP(Table_1[[#This Row],[AÇÕES]],'Classificação B3'!A:B,2,0)</f>
        <v/>
      </c>
      <c r="D423" s="60">
        <f>VLOOKUP(Table_1[[#This Row],[AÇÕES]],'Classificação B3'!A:D,4,0)</f>
        <v/>
      </c>
      <c r="E423" s="60">
        <f>VLOOKUP(Table_1[[#This Row],[AÇÕES]],'Classificação B3'!A:F,6,0)</f>
        <v/>
      </c>
      <c r="F423" s="60">
        <f>VLOOKUP(Table_1[[#This Row],[AÇÕES]],'Classificação B3'!A:G,7,0)</f>
        <v/>
      </c>
      <c r="G423" s="61">
        <f>VLOOKUP(Table_1[[#This Row],[AÇÕES]],'Dados Status Invest'!A:B,2,0)</f>
        <v/>
      </c>
      <c r="H423" s="62">
        <f>VLOOKUP(Table_1[[#This Row],[AÇÕES]],'Dados Status Invest'!A:C,3,0)/100</f>
        <v/>
      </c>
      <c r="I423" s="62">
        <f>VLOOKUP(Table_1[[#This Row],[AÇÕES]],'Dados Status Invest'!A:D,4,0)/100</f>
        <v/>
      </c>
      <c r="J423" s="63">
        <f>VLOOKUP(Table_1[[#This Row],[AÇÕES]],'Dados Status Invest'!A:AB,28,0)</f>
        <v/>
      </c>
      <c r="K423" s="63">
        <f>VLOOKUP(Table_1[[#This Row],[AÇÕES]],'Dados Status Invest'!A:AA,27,0)</f>
        <v/>
      </c>
      <c r="L423" s="63">
        <f>Table_1[[#This Row],[PREÇO]]*Table_1[[#This Row],[DY]]</f>
        <v/>
      </c>
      <c r="M423" s="62">
        <f>$E$13</f>
        <v/>
      </c>
      <c r="N423" s="62" t="n">
        <v>0.3</v>
      </c>
      <c r="O423" s="62">
        <f>Table_1[[#This Row],[DPA]]/Table_1[[#This Row],[LPA]]</f>
        <v/>
      </c>
      <c r="P423" s="62">
        <f>IF(Table_1[[#This Row],[PAYOUT]]&lt;=40%,"CRESCIMENTO",IF(Table_1[[#This Row],[PAYOUT]]&lt;=60%,"INDEFINIDO","DIVIDENDOS"))</f>
        <v/>
      </c>
      <c r="Q423" s="62">
        <f>VLOOKUP(Table_1[[#This Row],[AÇÕES]],'Dados Status Invest'!A:R,18,0)/100</f>
        <v/>
      </c>
      <c r="R423" s="62">
        <f>VLOOKUP(Table_1[[#This Row],[AÇÕES]],'Dados Status Invest'!A:Y,25,0)/100</f>
        <v/>
      </c>
      <c r="S423" s="62">
        <f>(1-Table_1[[#This Row],[PAYOUT]])*Table_1[[#This Row],[ROE]]</f>
        <v/>
      </c>
      <c r="T423" s="98">
        <f>AVERAGE(Table_1[[#This Row],[CAGR LUCRO 5A]],Table_1[[#This Row],[CRESCIMENTO DAMODARAN]])</f>
        <v/>
      </c>
      <c r="U423" s="64">
        <f>(Table_1[[#This Row],[PREÇO JUSTO BAZIN]]-Table_1[[#This Row],[PREÇO]])/Table_1[[#This Row],[PREÇO JUSTO BAZIN]]</f>
        <v/>
      </c>
      <c r="V423" s="129">
        <f>Table_1[[#This Row],[DPA]]/6%</f>
        <v/>
      </c>
      <c r="W423" s="129">
        <f>Table_1[[#This Row],[PREÇO JUSTO BAZIN]]/(1+Table_1[[#This Row],[MARGEM DE DESCONTO]])</f>
        <v/>
      </c>
      <c r="X423" s="64">
        <f>(Table_1[[#This Row],[PREÇO JUSTO GRAHAM]]-Table_1[[#This Row],[PREÇO]])/Table_1[[#This Row],[PREÇO JUSTO GRAHAM]]</f>
        <v/>
      </c>
      <c r="Y423" s="129">
        <f>(22.5*Table_1[[#This Row],[LPA]]*Table_1[[#This Row],[VPA]])^0.5</f>
        <v/>
      </c>
      <c r="Z423" s="129">
        <f>Table_1[[#This Row],[PREÇO JUSTO GRAHAM]]/(1+Table_1[[#This Row],[MARGEM DE DESCONTO]])</f>
        <v/>
      </c>
      <c r="AA423" s="64">
        <f>(Table_1[[#This Row],[PREÇO JUSTO GORDON]]-Table_1[[#This Row],[PREÇO]])/Table_1[[#This Row],[PREÇO JUSTO GORDON]]</f>
        <v/>
      </c>
      <c r="AB423" s="130">
        <f>Table_1[[#This Row],[DPA]]*(1+Table_1[[#This Row],[MÉDIA DE CRESCIMENTO]])</f>
        <v/>
      </c>
      <c r="AC423" s="130">
        <f>Table_1[[#This Row],[D1]]/(Table_1[[#This Row],[RISCO]]-Table_1[[#This Row],[MÉDIA DE CRESCIMENTO]])</f>
        <v/>
      </c>
      <c r="AD423" s="130">
        <f>Table_1[[#This Row],[PREÇO JUSTO GORDON]]/(1+Table_1[[#This Row],[MARGEM DE DESCONTO]])</f>
        <v/>
      </c>
      <c r="AE423" s="78">
        <f>Table_1[[#This Row],[P/L]]/Table_1[[#This Row],[MÉDIA DE CRESCIMENTO]]</f>
        <v/>
      </c>
    </row>
    <row r="424" ht="15.75" customHeight="1">
      <c r="B424" s="77">
        <f>'Dados Status Invest'!A410</f>
        <v/>
      </c>
      <c r="C424" s="60">
        <f>VLOOKUP(Table_1[[#This Row],[AÇÕES]],'Classificação B3'!A:B,2,0)</f>
        <v/>
      </c>
      <c r="D424" s="60">
        <f>VLOOKUP(Table_1[[#This Row],[AÇÕES]],'Classificação B3'!A:D,4,0)</f>
        <v/>
      </c>
      <c r="E424" s="60">
        <f>VLOOKUP(Table_1[[#This Row],[AÇÕES]],'Classificação B3'!A:F,6,0)</f>
        <v/>
      </c>
      <c r="F424" s="60">
        <f>VLOOKUP(Table_1[[#This Row],[AÇÕES]],'Classificação B3'!A:G,7,0)</f>
        <v/>
      </c>
      <c r="G424" s="61">
        <f>VLOOKUP(Table_1[[#This Row],[AÇÕES]],'Dados Status Invest'!A:B,2,0)</f>
        <v/>
      </c>
      <c r="H424" s="62">
        <f>VLOOKUP(Table_1[[#This Row],[AÇÕES]],'Dados Status Invest'!A:C,3,0)/100</f>
        <v/>
      </c>
      <c r="I424" s="62">
        <f>VLOOKUP(Table_1[[#This Row],[AÇÕES]],'Dados Status Invest'!A:D,4,0)/100</f>
        <v/>
      </c>
      <c r="J424" s="63">
        <f>VLOOKUP(Table_1[[#This Row],[AÇÕES]],'Dados Status Invest'!A:AB,28,0)</f>
        <v/>
      </c>
      <c r="K424" s="63">
        <f>VLOOKUP(Table_1[[#This Row],[AÇÕES]],'Dados Status Invest'!A:AA,27,0)</f>
        <v/>
      </c>
      <c r="L424" s="63">
        <f>Table_1[[#This Row],[PREÇO]]*Table_1[[#This Row],[DY]]</f>
        <v/>
      </c>
      <c r="M424" s="62">
        <f>$E$13</f>
        <v/>
      </c>
      <c r="N424" s="62" t="n">
        <v>0.3</v>
      </c>
      <c r="O424" s="62">
        <f>Table_1[[#This Row],[DPA]]/Table_1[[#This Row],[LPA]]</f>
        <v/>
      </c>
      <c r="P424" s="62">
        <f>IF(Table_1[[#This Row],[PAYOUT]]&lt;=40%,"CRESCIMENTO",IF(Table_1[[#This Row],[PAYOUT]]&lt;=60%,"INDEFINIDO","DIVIDENDOS"))</f>
        <v/>
      </c>
      <c r="Q424" s="62">
        <f>VLOOKUP(Table_1[[#This Row],[AÇÕES]],'Dados Status Invest'!A:R,18,0)/100</f>
        <v/>
      </c>
      <c r="R424" s="62">
        <f>VLOOKUP(Table_1[[#This Row],[AÇÕES]],'Dados Status Invest'!A:Y,25,0)/100</f>
        <v/>
      </c>
      <c r="S424" s="62">
        <f>(1-Table_1[[#This Row],[PAYOUT]])*Table_1[[#This Row],[ROE]]</f>
        <v/>
      </c>
      <c r="T424" s="98">
        <f>AVERAGE(Table_1[[#This Row],[CAGR LUCRO 5A]],Table_1[[#This Row],[CRESCIMENTO DAMODARAN]])</f>
        <v/>
      </c>
      <c r="U424" s="64">
        <f>(Table_1[[#This Row],[PREÇO JUSTO BAZIN]]-Table_1[[#This Row],[PREÇO]])/Table_1[[#This Row],[PREÇO JUSTO BAZIN]]</f>
        <v/>
      </c>
      <c r="V424" s="129">
        <f>Table_1[[#This Row],[DPA]]/6%</f>
        <v/>
      </c>
      <c r="W424" s="129">
        <f>Table_1[[#This Row],[PREÇO JUSTO BAZIN]]/(1+Table_1[[#This Row],[MARGEM DE DESCONTO]])</f>
        <v/>
      </c>
      <c r="X424" s="64">
        <f>(Table_1[[#This Row],[PREÇO JUSTO GRAHAM]]-Table_1[[#This Row],[PREÇO]])/Table_1[[#This Row],[PREÇO JUSTO GRAHAM]]</f>
        <v/>
      </c>
      <c r="Y424" s="129">
        <f>(22.5*Table_1[[#This Row],[LPA]]*Table_1[[#This Row],[VPA]])^0.5</f>
        <v/>
      </c>
      <c r="Z424" s="129">
        <f>Table_1[[#This Row],[PREÇO JUSTO GRAHAM]]/(1+Table_1[[#This Row],[MARGEM DE DESCONTO]])</f>
        <v/>
      </c>
      <c r="AA424" s="64">
        <f>(Table_1[[#This Row],[PREÇO JUSTO GORDON]]-Table_1[[#This Row],[PREÇO]])/Table_1[[#This Row],[PREÇO JUSTO GORDON]]</f>
        <v/>
      </c>
      <c r="AB424" s="130">
        <f>Table_1[[#This Row],[DPA]]*(1+Table_1[[#This Row],[MÉDIA DE CRESCIMENTO]])</f>
        <v/>
      </c>
      <c r="AC424" s="130">
        <f>Table_1[[#This Row],[D1]]/(Table_1[[#This Row],[RISCO]]-Table_1[[#This Row],[MÉDIA DE CRESCIMENTO]])</f>
        <v/>
      </c>
      <c r="AD424" s="130">
        <f>Table_1[[#This Row],[PREÇO JUSTO GORDON]]/(1+Table_1[[#This Row],[MARGEM DE DESCONTO]])</f>
        <v/>
      </c>
      <c r="AE424" s="78">
        <f>Table_1[[#This Row],[P/L]]/Table_1[[#This Row],[MÉDIA DE CRESCIMENTO]]</f>
        <v/>
      </c>
    </row>
    <row r="425" ht="15.75" customHeight="1">
      <c r="B425" s="77">
        <f>'Dados Status Invest'!A411</f>
        <v/>
      </c>
      <c r="C425" s="60">
        <f>VLOOKUP(Table_1[[#This Row],[AÇÕES]],'Classificação B3'!A:B,2,0)</f>
        <v/>
      </c>
      <c r="D425" s="60">
        <f>VLOOKUP(Table_1[[#This Row],[AÇÕES]],'Classificação B3'!A:D,4,0)</f>
        <v/>
      </c>
      <c r="E425" s="60">
        <f>VLOOKUP(Table_1[[#This Row],[AÇÕES]],'Classificação B3'!A:F,6,0)</f>
        <v/>
      </c>
      <c r="F425" s="60">
        <f>VLOOKUP(Table_1[[#This Row],[AÇÕES]],'Classificação B3'!A:G,7,0)</f>
        <v/>
      </c>
      <c r="G425" s="61">
        <f>VLOOKUP(Table_1[[#This Row],[AÇÕES]],'Dados Status Invest'!A:B,2,0)</f>
        <v/>
      </c>
      <c r="H425" s="62">
        <f>VLOOKUP(Table_1[[#This Row],[AÇÕES]],'Dados Status Invest'!A:C,3,0)/100</f>
        <v/>
      </c>
      <c r="I425" s="62">
        <f>VLOOKUP(Table_1[[#This Row],[AÇÕES]],'Dados Status Invest'!A:D,4,0)/100</f>
        <v/>
      </c>
      <c r="J425" s="63">
        <f>VLOOKUP(Table_1[[#This Row],[AÇÕES]],'Dados Status Invest'!A:AB,28,0)</f>
        <v/>
      </c>
      <c r="K425" s="63">
        <f>VLOOKUP(Table_1[[#This Row],[AÇÕES]],'Dados Status Invest'!A:AA,27,0)</f>
        <v/>
      </c>
      <c r="L425" s="63">
        <f>Table_1[[#This Row],[PREÇO]]*Table_1[[#This Row],[DY]]</f>
        <v/>
      </c>
      <c r="M425" s="62">
        <f>$E$13</f>
        <v/>
      </c>
      <c r="N425" s="62" t="n">
        <v>0.3</v>
      </c>
      <c r="O425" s="62">
        <f>Table_1[[#This Row],[DPA]]/Table_1[[#This Row],[LPA]]</f>
        <v/>
      </c>
      <c r="P425" s="62">
        <f>IF(Table_1[[#This Row],[PAYOUT]]&lt;=40%,"CRESCIMENTO",IF(Table_1[[#This Row],[PAYOUT]]&lt;=60%,"INDEFINIDO","DIVIDENDOS"))</f>
        <v/>
      </c>
      <c r="Q425" s="62">
        <f>VLOOKUP(Table_1[[#This Row],[AÇÕES]],'Dados Status Invest'!A:R,18,0)/100</f>
        <v/>
      </c>
      <c r="R425" s="62">
        <f>VLOOKUP(Table_1[[#This Row],[AÇÕES]],'Dados Status Invest'!A:Y,25,0)/100</f>
        <v/>
      </c>
      <c r="S425" s="62">
        <f>(1-Table_1[[#This Row],[PAYOUT]])*Table_1[[#This Row],[ROE]]</f>
        <v/>
      </c>
      <c r="T425" s="98">
        <f>AVERAGE(Table_1[[#This Row],[CAGR LUCRO 5A]],Table_1[[#This Row],[CRESCIMENTO DAMODARAN]])</f>
        <v/>
      </c>
      <c r="U425" s="64">
        <f>(Table_1[[#This Row],[PREÇO JUSTO BAZIN]]-Table_1[[#This Row],[PREÇO]])/Table_1[[#This Row],[PREÇO JUSTO BAZIN]]</f>
        <v/>
      </c>
      <c r="V425" s="129">
        <f>Table_1[[#This Row],[DPA]]/6%</f>
        <v/>
      </c>
      <c r="W425" s="129">
        <f>Table_1[[#This Row],[PREÇO JUSTO BAZIN]]/(1+Table_1[[#This Row],[MARGEM DE DESCONTO]])</f>
        <v/>
      </c>
      <c r="X425" s="64">
        <f>(Table_1[[#This Row],[PREÇO JUSTO GRAHAM]]-Table_1[[#This Row],[PREÇO]])/Table_1[[#This Row],[PREÇO JUSTO GRAHAM]]</f>
        <v/>
      </c>
      <c r="Y425" s="129">
        <f>(22.5*Table_1[[#This Row],[LPA]]*Table_1[[#This Row],[VPA]])^0.5</f>
        <v/>
      </c>
      <c r="Z425" s="129">
        <f>Table_1[[#This Row],[PREÇO JUSTO GRAHAM]]/(1+Table_1[[#This Row],[MARGEM DE DESCONTO]])</f>
        <v/>
      </c>
      <c r="AA425" s="64">
        <f>(Table_1[[#This Row],[PREÇO JUSTO GORDON]]-Table_1[[#This Row],[PREÇO]])/Table_1[[#This Row],[PREÇO JUSTO GORDON]]</f>
        <v/>
      </c>
      <c r="AB425" s="130">
        <f>Table_1[[#This Row],[DPA]]*(1+Table_1[[#This Row],[MÉDIA DE CRESCIMENTO]])</f>
        <v/>
      </c>
      <c r="AC425" s="130">
        <f>Table_1[[#This Row],[D1]]/(Table_1[[#This Row],[RISCO]]-Table_1[[#This Row],[MÉDIA DE CRESCIMENTO]])</f>
        <v/>
      </c>
      <c r="AD425" s="130">
        <f>Table_1[[#This Row],[PREÇO JUSTO GORDON]]/(1+Table_1[[#This Row],[MARGEM DE DESCONTO]])</f>
        <v/>
      </c>
      <c r="AE425" s="78">
        <f>Table_1[[#This Row],[P/L]]/Table_1[[#This Row],[MÉDIA DE CRESCIMENTO]]</f>
        <v/>
      </c>
    </row>
    <row r="426" ht="15.75" customHeight="1">
      <c r="B426" s="77">
        <f>'Dados Status Invest'!A412</f>
        <v/>
      </c>
      <c r="C426" s="60">
        <f>VLOOKUP(Table_1[[#This Row],[AÇÕES]],'Classificação B3'!A:B,2,0)</f>
        <v/>
      </c>
      <c r="D426" s="60">
        <f>VLOOKUP(Table_1[[#This Row],[AÇÕES]],'Classificação B3'!A:D,4,0)</f>
        <v/>
      </c>
      <c r="E426" s="60">
        <f>VLOOKUP(Table_1[[#This Row],[AÇÕES]],'Classificação B3'!A:F,6,0)</f>
        <v/>
      </c>
      <c r="F426" s="60">
        <f>VLOOKUP(Table_1[[#This Row],[AÇÕES]],'Classificação B3'!A:G,7,0)</f>
        <v/>
      </c>
      <c r="G426" s="61">
        <f>VLOOKUP(Table_1[[#This Row],[AÇÕES]],'Dados Status Invest'!A:B,2,0)</f>
        <v/>
      </c>
      <c r="H426" s="62">
        <f>VLOOKUP(Table_1[[#This Row],[AÇÕES]],'Dados Status Invest'!A:C,3,0)/100</f>
        <v/>
      </c>
      <c r="I426" s="62">
        <f>VLOOKUP(Table_1[[#This Row],[AÇÕES]],'Dados Status Invest'!A:D,4,0)/100</f>
        <v/>
      </c>
      <c r="J426" s="63">
        <f>VLOOKUP(Table_1[[#This Row],[AÇÕES]],'Dados Status Invest'!A:AB,28,0)</f>
        <v/>
      </c>
      <c r="K426" s="63">
        <f>VLOOKUP(Table_1[[#This Row],[AÇÕES]],'Dados Status Invest'!A:AA,27,0)</f>
        <v/>
      </c>
      <c r="L426" s="63">
        <f>Table_1[[#This Row],[PREÇO]]*Table_1[[#This Row],[DY]]</f>
        <v/>
      </c>
      <c r="M426" s="62">
        <f>$E$13</f>
        <v/>
      </c>
      <c r="N426" s="62" t="n">
        <v>0.3</v>
      </c>
      <c r="O426" s="62">
        <f>Table_1[[#This Row],[DPA]]/Table_1[[#This Row],[LPA]]</f>
        <v/>
      </c>
      <c r="P426" s="62">
        <f>IF(Table_1[[#This Row],[PAYOUT]]&lt;=40%,"CRESCIMENTO",IF(Table_1[[#This Row],[PAYOUT]]&lt;=60%,"INDEFINIDO","DIVIDENDOS"))</f>
        <v/>
      </c>
      <c r="Q426" s="62">
        <f>VLOOKUP(Table_1[[#This Row],[AÇÕES]],'Dados Status Invest'!A:R,18,0)/100</f>
        <v/>
      </c>
      <c r="R426" s="62">
        <f>VLOOKUP(Table_1[[#This Row],[AÇÕES]],'Dados Status Invest'!A:Y,25,0)/100</f>
        <v/>
      </c>
      <c r="S426" s="62">
        <f>(1-Table_1[[#This Row],[PAYOUT]])*Table_1[[#This Row],[ROE]]</f>
        <v/>
      </c>
      <c r="T426" s="98">
        <f>AVERAGE(Table_1[[#This Row],[CAGR LUCRO 5A]],Table_1[[#This Row],[CRESCIMENTO DAMODARAN]])</f>
        <v/>
      </c>
      <c r="U426" s="64">
        <f>(Table_1[[#This Row],[PREÇO JUSTO BAZIN]]-Table_1[[#This Row],[PREÇO]])/Table_1[[#This Row],[PREÇO JUSTO BAZIN]]</f>
        <v/>
      </c>
      <c r="V426" s="129">
        <f>Table_1[[#This Row],[DPA]]/6%</f>
        <v/>
      </c>
      <c r="W426" s="129">
        <f>Table_1[[#This Row],[PREÇO JUSTO BAZIN]]/(1+Table_1[[#This Row],[MARGEM DE DESCONTO]])</f>
        <v/>
      </c>
      <c r="X426" s="64">
        <f>(Table_1[[#This Row],[PREÇO JUSTO GRAHAM]]-Table_1[[#This Row],[PREÇO]])/Table_1[[#This Row],[PREÇO JUSTO GRAHAM]]</f>
        <v/>
      </c>
      <c r="Y426" s="129">
        <f>(22.5*Table_1[[#This Row],[LPA]]*Table_1[[#This Row],[VPA]])^0.5</f>
        <v/>
      </c>
      <c r="Z426" s="129">
        <f>Table_1[[#This Row],[PREÇO JUSTO GRAHAM]]/(1+Table_1[[#This Row],[MARGEM DE DESCONTO]])</f>
        <v/>
      </c>
      <c r="AA426" s="64">
        <f>(Table_1[[#This Row],[PREÇO JUSTO GORDON]]-Table_1[[#This Row],[PREÇO]])/Table_1[[#This Row],[PREÇO JUSTO GORDON]]</f>
        <v/>
      </c>
      <c r="AB426" s="130">
        <f>Table_1[[#This Row],[DPA]]*(1+Table_1[[#This Row],[MÉDIA DE CRESCIMENTO]])</f>
        <v/>
      </c>
      <c r="AC426" s="130">
        <f>Table_1[[#This Row],[D1]]/(Table_1[[#This Row],[RISCO]]-Table_1[[#This Row],[MÉDIA DE CRESCIMENTO]])</f>
        <v/>
      </c>
      <c r="AD426" s="130">
        <f>Table_1[[#This Row],[PREÇO JUSTO GORDON]]/(1+Table_1[[#This Row],[MARGEM DE DESCONTO]])</f>
        <v/>
      </c>
      <c r="AE426" s="78">
        <f>Table_1[[#This Row],[P/L]]/Table_1[[#This Row],[MÉDIA DE CRESCIMENTO]]</f>
        <v/>
      </c>
    </row>
    <row r="427" ht="15.75" customHeight="1">
      <c r="B427" s="77">
        <f>'Dados Status Invest'!A413</f>
        <v/>
      </c>
      <c r="C427" s="60">
        <f>VLOOKUP(Table_1[[#This Row],[AÇÕES]],'Classificação B3'!A:B,2,0)</f>
        <v/>
      </c>
      <c r="D427" s="60">
        <f>VLOOKUP(Table_1[[#This Row],[AÇÕES]],'Classificação B3'!A:D,4,0)</f>
        <v/>
      </c>
      <c r="E427" s="60">
        <f>VLOOKUP(Table_1[[#This Row],[AÇÕES]],'Classificação B3'!A:F,6,0)</f>
        <v/>
      </c>
      <c r="F427" s="60">
        <f>VLOOKUP(Table_1[[#This Row],[AÇÕES]],'Classificação B3'!A:G,7,0)</f>
        <v/>
      </c>
      <c r="G427" s="61">
        <f>VLOOKUP(Table_1[[#This Row],[AÇÕES]],'Dados Status Invest'!A:B,2,0)</f>
        <v/>
      </c>
      <c r="H427" s="62">
        <f>VLOOKUP(Table_1[[#This Row],[AÇÕES]],'Dados Status Invest'!A:C,3,0)/100</f>
        <v/>
      </c>
      <c r="I427" s="62">
        <f>VLOOKUP(Table_1[[#This Row],[AÇÕES]],'Dados Status Invest'!A:D,4,0)/100</f>
        <v/>
      </c>
      <c r="J427" s="63">
        <f>VLOOKUP(Table_1[[#This Row],[AÇÕES]],'Dados Status Invest'!A:AB,28,0)</f>
        <v/>
      </c>
      <c r="K427" s="63">
        <f>VLOOKUP(Table_1[[#This Row],[AÇÕES]],'Dados Status Invest'!A:AA,27,0)</f>
        <v/>
      </c>
      <c r="L427" s="63">
        <f>Table_1[[#This Row],[PREÇO]]*Table_1[[#This Row],[DY]]</f>
        <v/>
      </c>
      <c r="M427" s="62">
        <f>$E$13</f>
        <v/>
      </c>
      <c r="N427" s="62" t="n">
        <v>0.3</v>
      </c>
      <c r="O427" s="62">
        <f>Table_1[[#This Row],[DPA]]/Table_1[[#This Row],[LPA]]</f>
        <v/>
      </c>
      <c r="P427" s="62">
        <f>IF(Table_1[[#This Row],[PAYOUT]]&lt;=40%,"CRESCIMENTO",IF(Table_1[[#This Row],[PAYOUT]]&lt;=60%,"INDEFINIDO","DIVIDENDOS"))</f>
        <v/>
      </c>
      <c r="Q427" s="62">
        <f>VLOOKUP(Table_1[[#This Row],[AÇÕES]],'Dados Status Invest'!A:R,18,0)/100</f>
        <v/>
      </c>
      <c r="R427" s="62">
        <f>VLOOKUP(Table_1[[#This Row],[AÇÕES]],'Dados Status Invest'!A:Y,25,0)/100</f>
        <v/>
      </c>
      <c r="S427" s="62">
        <f>(1-Table_1[[#This Row],[PAYOUT]])*Table_1[[#This Row],[ROE]]</f>
        <v/>
      </c>
      <c r="T427" s="98">
        <f>AVERAGE(Table_1[[#This Row],[CAGR LUCRO 5A]],Table_1[[#This Row],[CRESCIMENTO DAMODARAN]])</f>
        <v/>
      </c>
      <c r="U427" s="64">
        <f>(Table_1[[#This Row],[PREÇO JUSTO BAZIN]]-Table_1[[#This Row],[PREÇO]])/Table_1[[#This Row],[PREÇO JUSTO BAZIN]]</f>
        <v/>
      </c>
      <c r="V427" s="129">
        <f>Table_1[[#This Row],[DPA]]/6%</f>
        <v/>
      </c>
      <c r="W427" s="129">
        <f>Table_1[[#This Row],[PREÇO JUSTO BAZIN]]/(1+Table_1[[#This Row],[MARGEM DE DESCONTO]])</f>
        <v/>
      </c>
      <c r="X427" s="64">
        <f>(Table_1[[#This Row],[PREÇO JUSTO GRAHAM]]-Table_1[[#This Row],[PREÇO]])/Table_1[[#This Row],[PREÇO JUSTO GRAHAM]]</f>
        <v/>
      </c>
      <c r="Y427" s="129">
        <f>(22.5*Table_1[[#This Row],[LPA]]*Table_1[[#This Row],[VPA]])^0.5</f>
        <v/>
      </c>
      <c r="Z427" s="129">
        <f>Table_1[[#This Row],[PREÇO JUSTO GRAHAM]]/(1+Table_1[[#This Row],[MARGEM DE DESCONTO]])</f>
        <v/>
      </c>
      <c r="AA427" s="64">
        <f>(Table_1[[#This Row],[PREÇO JUSTO GORDON]]-Table_1[[#This Row],[PREÇO]])/Table_1[[#This Row],[PREÇO JUSTO GORDON]]</f>
        <v/>
      </c>
      <c r="AB427" s="130">
        <f>Table_1[[#This Row],[DPA]]*(1+Table_1[[#This Row],[MÉDIA DE CRESCIMENTO]])</f>
        <v/>
      </c>
      <c r="AC427" s="130">
        <f>Table_1[[#This Row],[D1]]/(Table_1[[#This Row],[RISCO]]-Table_1[[#This Row],[MÉDIA DE CRESCIMENTO]])</f>
        <v/>
      </c>
      <c r="AD427" s="130">
        <f>Table_1[[#This Row],[PREÇO JUSTO GORDON]]/(1+Table_1[[#This Row],[MARGEM DE DESCONTO]])</f>
        <v/>
      </c>
      <c r="AE427" s="78">
        <f>Table_1[[#This Row],[P/L]]/Table_1[[#This Row],[MÉDIA DE CRESCIMENTO]]</f>
        <v/>
      </c>
    </row>
    <row r="428" ht="15.75" customHeight="1">
      <c r="B428" s="77">
        <f>'Dados Status Invest'!A414</f>
        <v/>
      </c>
      <c r="C428" s="60">
        <f>VLOOKUP(Table_1[[#This Row],[AÇÕES]],'Classificação B3'!A:B,2,0)</f>
        <v/>
      </c>
      <c r="D428" s="60">
        <f>VLOOKUP(Table_1[[#This Row],[AÇÕES]],'Classificação B3'!A:D,4,0)</f>
        <v/>
      </c>
      <c r="E428" s="60">
        <f>VLOOKUP(Table_1[[#This Row],[AÇÕES]],'Classificação B3'!A:F,6,0)</f>
        <v/>
      </c>
      <c r="F428" s="60">
        <f>VLOOKUP(Table_1[[#This Row],[AÇÕES]],'Classificação B3'!A:G,7,0)</f>
        <v/>
      </c>
      <c r="G428" s="61">
        <f>VLOOKUP(Table_1[[#This Row],[AÇÕES]],'Dados Status Invest'!A:B,2,0)</f>
        <v/>
      </c>
      <c r="H428" s="62">
        <f>VLOOKUP(Table_1[[#This Row],[AÇÕES]],'Dados Status Invest'!A:C,3,0)/100</f>
        <v/>
      </c>
      <c r="I428" s="62">
        <f>VLOOKUP(Table_1[[#This Row],[AÇÕES]],'Dados Status Invest'!A:D,4,0)/100</f>
        <v/>
      </c>
      <c r="J428" s="63">
        <f>VLOOKUP(Table_1[[#This Row],[AÇÕES]],'Dados Status Invest'!A:AB,28,0)</f>
        <v/>
      </c>
      <c r="K428" s="63">
        <f>VLOOKUP(Table_1[[#This Row],[AÇÕES]],'Dados Status Invest'!A:AA,27,0)</f>
        <v/>
      </c>
      <c r="L428" s="63">
        <f>Table_1[[#This Row],[PREÇO]]*Table_1[[#This Row],[DY]]</f>
        <v/>
      </c>
      <c r="M428" s="62">
        <f>$E$13</f>
        <v/>
      </c>
      <c r="N428" s="62" t="n">
        <v>0.3</v>
      </c>
      <c r="O428" s="62">
        <f>Table_1[[#This Row],[DPA]]/Table_1[[#This Row],[LPA]]</f>
        <v/>
      </c>
      <c r="P428" s="62">
        <f>IF(Table_1[[#This Row],[PAYOUT]]&lt;=40%,"CRESCIMENTO",IF(Table_1[[#This Row],[PAYOUT]]&lt;=60%,"INDEFINIDO","DIVIDENDOS"))</f>
        <v/>
      </c>
      <c r="Q428" s="62">
        <f>VLOOKUP(Table_1[[#This Row],[AÇÕES]],'Dados Status Invest'!A:R,18,0)/100</f>
        <v/>
      </c>
      <c r="R428" s="62">
        <f>VLOOKUP(Table_1[[#This Row],[AÇÕES]],'Dados Status Invest'!A:Y,25,0)/100</f>
        <v/>
      </c>
      <c r="S428" s="62">
        <f>(1-Table_1[[#This Row],[PAYOUT]])*Table_1[[#This Row],[ROE]]</f>
        <v/>
      </c>
      <c r="T428" s="98">
        <f>AVERAGE(Table_1[[#This Row],[CAGR LUCRO 5A]],Table_1[[#This Row],[CRESCIMENTO DAMODARAN]])</f>
        <v/>
      </c>
      <c r="U428" s="64">
        <f>(Table_1[[#This Row],[PREÇO JUSTO BAZIN]]-Table_1[[#This Row],[PREÇO]])/Table_1[[#This Row],[PREÇO JUSTO BAZIN]]</f>
        <v/>
      </c>
      <c r="V428" s="129">
        <f>Table_1[[#This Row],[DPA]]/6%</f>
        <v/>
      </c>
      <c r="W428" s="129">
        <f>Table_1[[#This Row],[PREÇO JUSTO BAZIN]]/(1+Table_1[[#This Row],[MARGEM DE DESCONTO]])</f>
        <v/>
      </c>
      <c r="X428" s="64">
        <f>(Table_1[[#This Row],[PREÇO JUSTO GRAHAM]]-Table_1[[#This Row],[PREÇO]])/Table_1[[#This Row],[PREÇO JUSTO GRAHAM]]</f>
        <v/>
      </c>
      <c r="Y428" s="129">
        <f>(22.5*Table_1[[#This Row],[LPA]]*Table_1[[#This Row],[VPA]])^0.5</f>
        <v/>
      </c>
      <c r="Z428" s="129">
        <f>Table_1[[#This Row],[PREÇO JUSTO GRAHAM]]/(1+Table_1[[#This Row],[MARGEM DE DESCONTO]])</f>
        <v/>
      </c>
      <c r="AA428" s="64">
        <f>(Table_1[[#This Row],[PREÇO JUSTO GORDON]]-Table_1[[#This Row],[PREÇO]])/Table_1[[#This Row],[PREÇO JUSTO GORDON]]</f>
        <v/>
      </c>
      <c r="AB428" s="130">
        <f>Table_1[[#This Row],[DPA]]*(1+Table_1[[#This Row],[MÉDIA DE CRESCIMENTO]])</f>
        <v/>
      </c>
      <c r="AC428" s="130">
        <f>Table_1[[#This Row],[D1]]/(Table_1[[#This Row],[RISCO]]-Table_1[[#This Row],[MÉDIA DE CRESCIMENTO]])</f>
        <v/>
      </c>
      <c r="AD428" s="130">
        <f>Table_1[[#This Row],[PREÇO JUSTO GORDON]]/(1+Table_1[[#This Row],[MARGEM DE DESCONTO]])</f>
        <v/>
      </c>
      <c r="AE428" s="78">
        <f>Table_1[[#This Row],[P/L]]/Table_1[[#This Row],[MÉDIA DE CRESCIMENTO]]</f>
        <v/>
      </c>
    </row>
    <row r="429" ht="15.75" customHeight="1">
      <c r="B429" s="77">
        <f>'Dados Status Invest'!A415</f>
        <v/>
      </c>
      <c r="C429" s="60">
        <f>VLOOKUP(Table_1[[#This Row],[AÇÕES]],'Classificação B3'!A:B,2,0)</f>
        <v/>
      </c>
      <c r="D429" s="60">
        <f>VLOOKUP(Table_1[[#This Row],[AÇÕES]],'Classificação B3'!A:D,4,0)</f>
        <v/>
      </c>
      <c r="E429" s="60">
        <f>VLOOKUP(Table_1[[#This Row],[AÇÕES]],'Classificação B3'!A:F,6,0)</f>
        <v/>
      </c>
      <c r="F429" s="60">
        <f>VLOOKUP(Table_1[[#This Row],[AÇÕES]],'Classificação B3'!A:G,7,0)</f>
        <v/>
      </c>
      <c r="G429" s="61">
        <f>VLOOKUP(Table_1[[#This Row],[AÇÕES]],'Dados Status Invest'!A:B,2,0)</f>
        <v/>
      </c>
      <c r="H429" s="62">
        <f>VLOOKUP(Table_1[[#This Row],[AÇÕES]],'Dados Status Invest'!A:C,3,0)/100</f>
        <v/>
      </c>
      <c r="I429" s="62">
        <f>VLOOKUP(Table_1[[#This Row],[AÇÕES]],'Dados Status Invest'!A:D,4,0)/100</f>
        <v/>
      </c>
      <c r="J429" s="63">
        <f>VLOOKUP(Table_1[[#This Row],[AÇÕES]],'Dados Status Invest'!A:AB,28,0)</f>
        <v/>
      </c>
      <c r="K429" s="63">
        <f>VLOOKUP(Table_1[[#This Row],[AÇÕES]],'Dados Status Invest'!A:AA,27,0)</f>
        <v/>
      </c>
      <c r="L429" s="63">
        <f>Table_1[[#This Row],[PREÇO]]*Table_1[[#This Row],[DY]]</f>
        <v/>
      </c>
      <c r="M429" s="62">
        <f>$E$13</f>
        <v/>
      </c>
      <c r="N429" s="62" t="n">
        <v>0.3</v>
      </c>
      <c r="O429" s="62">
        <f>Table_1[[#This Row],[DPA]]/Table_1[[#This Row],[LPA]]</f>
        <v/>
      </c>
      <c r="P429" s="62">
        <f>IF(Table_1[[#This Row],[PAYOUT]]&lt;=40%,"CRESCIMENTO",IF(Table_1[[#This Row],[PAYOUT]]&lt;=60%,"INDEFINIDO","DIVIDENDOS"))</f>
        <v/>
      </c>
      <c r="Q429" s="62">
        <f>VLOOKUP(Table_1[[#This Row],[AÇÕES]],'Dados Status Invest'!A:R,18,0)/100</f>
        <v/>
      </c>
      <c r="R429" s="62">
        <f>VLOOKUP(Table_1[[#This Row],[AÇÕES]],'Dados Status Invest'!A:Y,25,0)/100</f>
        <v/>
      </c>
      <c r="S429" s="62">
        <f>(1-Table_1[[#This Row],[PAYOUT]])*Table_1[[#This Row],[ROE]]</f>
        <v/>
      </c>
      <c r="T429" s="98">
        <f>AVERAGE(Table_1[[#This Row],[CAGR LUCRO 5A]],Table_1[[#This Row],[CRESCIMENTO DAMODARAN]])</f>
        <v/>
      </c>
      <c r="U429" s="64">
        <f>(Table_1[[#This Row],[PREÇO JUSTO BAZIN]]-Table_1[[#This Row],[PREÇO]])/Table_1[[#This Row],[PREÇO JUSTO BAZIN]]</f>
        <v/>
      </c>
      <c r="V429" s="129">
        <f>Table_1[[#This Row],[DPA]]/6%</f>
        <v/>
      </c>
      <c r="W429" s="129">
        <f>Table_1[[#This Row],[PREÇO JUSTO BAZIN]]/(1+Table_1[[#This Row],[MARGEM DE DESCONTO]])</f>
        <v/>
      </c>
      <c r="X429" s="64">
        <f>(Table_1[[#This Row],[PREÇO JUSTO GRAHAM]]-Table_1[[#This Row],[PREÇO]])/Table_1[[#This Row],[PREÇO JUSTO GRAHAM]]</f>
        <v/>
      </c>
      <c r="Y429" s="129">
        <f>(22.5*Table_1[[#This Row],[LPA]]*Table_1[[#This Row],[VPA]])^0.5</f>
        <v/>
      </c>
      <c r="Z429" s="129">
        <f>Table_1[[#This Row],[PREÇO JUSTO GRAHAM]]/(1+Table_1[[#This Row],[MARGEM DE DESCONTO]])</f>
        <v/>
      </c>
      <c r="AA429" s="64">
        <f>(Table_1[[#This Row],[PREÇO JUSTO GORDON]]-Table_1[[#This Row],[PREÇO]])/Table_1[[#This Row],[PREÇO JUSTO GORDON]]</f>
        <v/>
      </c>
      <c r="AB429" s="130">
        <f>Table_1[[#This Row],[DPA]]*(1+Table_1[[#This Row],[MÉDIA DE CRESCIMENTO]])</f>
        <v/>
      </c>
      <c r="AC429" s="130">
        <f>Table_1[[#This Row],[D1]]/(Table_1[[#This Row],[RISCO]]-Table_1[[#This Row],[MÉDIA DE CRESCIMENTO]])</f>
        <v/>
      </c>
      <c r="AD429" s="130">
        <f>Table_1[[#This Row],[PREÇO JUSTO GORDON]]/(1+Table_1[[#This Row],[MARGEM DE DESCONTO]])</f>
        <v/>
      </c>
      <c r="AE429" s="78">
        <f>Table_1[[#This Row],[P/L]]/Table_1[[#This Row],[MÉDIA DE CRESCIMENTO]]</f>
        <v/>
      </c>
    </row>
    <row r="430" ht="15.75" customHeight="1">
      <c r="B430" s="77">
        <f>'Dados Status Invest'!A416</f>
        <v/>
      </c>
      <c r="C430" s="60">
        <f>VLOOKUP(Table_1[[#This Row],[AÇÕES]],'Classificação B3'!A:B,2,0)</f>
        <v/>
      </c>
      <c r="D430" s="60">
        <f>VLOOKUP(Table_1[[#This Row],[AÇÕES]],'Classificação B3'!A:D,4,0)</f>
        <v/>
      </c>
      <c r="E430" s="60">
        <f>VLOOKUP(Table_1[[#This Row],[AÇÕES]],'Classificação B3'!A:F,6,0)</f>
        <v/>
      </c>
      <c r="F430" s="60">
        <f>VLOOKUP(Table_1[[#This Row],[AÇÕES]],'Classificação B3'!A:G,7,0)</f>
        <v/>
      </c>
      <c r="G430" s="61">
        <f>VLOOKUP(Table_1[[#This Row],[AÇÕES]],'Dados Status Invest'!A:B,2,0)</f>
        <v/>
      </c>
      <c r="H430" s="62">
        <f>VLOOKUP(Table_1[[#This Row],[AÇÕES]],'Dados Status Invest'!A:C,3,0)/100</f>
        <v/>
      </c>
      <c r="I430" s="62">
        <f>VLOOKUP(Table_1[[#This Row],[AÇÕES]],'Dados Status Invest'!A:D,4,0)/100</f>
        <v/>
      </c>
      <c r="J430" s="63">
        <f>VLOOKUP(Table_1[[#This Row],[AÇÕES]],'Dados Status Invest'!A:AB,28,0)</f>
        <v/>
      </c>
      <c r="K430" s="63">
        <f>VLOOKUP(Table_1[[#This Row],[AÇÕES]],'Dados Status Invest'!A:AA,27,0)</f>
        <v/>
      </c>
      <c r="L430" s="63">
        <f>Table_1[[#This Row],[PREÇO]]*Table_1[[#This Row],[DY]]</f>
        <v/>
      </c>
      <c r="M430" s="62">
        <f>$E$13</f>
        <v/>
      </c>
      <c r="N430" s="62" t="n">
        <v>0.3</v>
      </c>
      <c r="O430" s="62">
        <f>Table_1[[#This Row],[DPA]]/Table_1[[#This Row],[LPA]]</f>
        <v/>
      </c>
      <c r="P430" s="62">
        <f>IF(Table_1[[#This Row],[PAYOUT]]&lt;=40%,"CRESCIMENTO",IF(Table_1[[#This Row],[PAYOUT]]&lt;=60%,"INDEFINIDO","DIVIDENDOS"))</f>
        <v/>
      </c>
      <c r="Q430" s="62">
        <f>VLOOKUP(Table_1[[#This Row],[AÇÕES]],'Dados Status Invest'!A:R,18,0)/100</f>
        <v/>
      </c>
      <c r="R430" s="62">
        <f>VLOOKUP(Table_1[[#This Row],[AÇÕES]],'Dados Status Invest'!A:Y,25,0)/100</f>
        <v/>
      </c>
      <c r="S430" s="62">
        <f>(1-Table_1[[#This Row],[PAYOUT]])*Table_1[[#This Row],[ROE]]</f>
        <v/>
      </c>
      <c r="T430" s="98">
        <f>AVERAGE(Table_1[[#This Row],[CAGR LUCRO 5A]],Table_1[[#This Row],[CRESCIMENTO DAMODARAN]])</f>
        <v/>
      </c>
      <c r="U430" s="64">
        <f>(Table_1[[#This Row],[PREÇO JUSTO BAZIN]]-Table_1[[#This Row],[PREÇO]])/Table_1[[#This Row],[PREÇO JUSTO BAZIN]]</f>
        <v/>
      </c>
      <c r="V430" s="129">
        <f>Table_1[[#This Row],[DPA]]/6%</f>
        <v/>
      </c>
      <c r="W430" s="129">
        <f>Table_1[[#This Row],[PREÇO JUSTO BAZIN]]/(1+Table_1[[#This Row],[MARGEM DE DESCONTO]])</f>
        <v/>
      </c>
      <c r="X430" s="64">
        <f>(Table_1[[#This Row],[PREÇO JUSTO GRAHAM]]-Table_1[[#This Row],[PREÇO]])/Table_1[[#This Row],[PREÇO JUSTO GRAHAM]]</f>
        <v/>
      </c>
      <c r="Y430" s="129">
        <f>(22.5*Table_1[[#This Row],[LPA]]*Table_1[[#This Row],[VPA]])^0.5</f>
        <v/>
      </c>
      <c r="Z430" s="129">
        <f>Table_1[[#This Row],[PREÇO JUSTO GRAHAM]]/(1+Table_1[[#This Row],[MARGEM DE DESCONTO]])</f>
        <v/>
      </c>
      <c r="AA430" s="64">
        <f>(Table_1[[#This Row],[PREÇO JUSTO GORDON]]-Table_1[[#This Row],[PREÇO]])/Table_1[[#This Row],[PREÇO JUSTO GORDON]]</f>
        <v/>
      </c>
      <c r="AB430" s="130">
        <f>Table_1[[#This Row],[DPA]]*(1+Table_1[[#This Row],[MÉDIA DE CRESCIMENTO]])</f>
        <v/>
      </c>
      <c r="AC430" s="130">
        <f>Table_1[[#This Row],[D1]]/(Table_1[[#This Row],[RISCO]]-Table_1[[#This Row],[MÉDIA DE CRESCIMENTO]])</f>
        <v/>
      </c>
      <c r="AD430" s="130">
        <f>Table_1[[#This Row],[PREÇO JUSTO GORDON]]/(1+Table_1[[#This Row],[MARGEM DE DESCONTO]])</f>
        <v/>
      </c>
      <c r="AE430" s="78">
        <f>Table_1[[#This Row],[P/L]]/Table_1[[#This Row],[MÉDIA DE CRESCIMENTO]]</f>
        <v/>
      </c>
    </row>
    <row r="431" ht="15.75" customHeight="1">
      <c r="B431" s="77">
        <f>'Dados Status Invest'!A417</f>
        <v/>
      </c>
      <c r="C431" s="60">
        <f>VLOOKUP(Table_1[[#This Row],[AÇÕES]],'Classificação B3'!A:B,2,0)</f>
        <v/>
      </c>
      <c r="D431" s="60">
        <f>VLOOKUP(Table_1[[#This Row],[AÇÕES]],'Classificação B3'!A:D,4,0)</f>
        <v/>
      </c>
      <c r="E431" s="60">
        <f>VLOOKUP(Table_1[[#This Row],[AÇÕES]],'Classificação B3'!A:F,6,0)</f>
        <v/>
      </c>
      <c r="F431" s="60">
        <f>VLOOKUP(Table_1[[#This Row],[AÇÕES]],'Classificação B3'!A:G,7,0)</f>
        <v/>
      </c>
      <c r="G431" s="61">
        <f>VLOOKUP(Table_1[[#This Row],[AÇÕES]],'Dados Status Invest'!A:B,2,0)</f>
        <v/>
      </c>
      <c r="H431" s="62">
        <f>VLOOKUP(Table_1[[#This Row],[AÇÕES]],'Dados Status Invest'!A:C,3,0)/100</f>
        <v/>
      </c>
      <c r="I431" s="62">
        <f>VLOOKUP(Table_1[[#This Row],[AÇÕES]],'Dados Status Invest'!A:D,4,0)/100</f>
        <v/>
      </c>
      <c r="J431" s="63">
        <f>VLOOKUP(Table_1[[#This Row],[AÇÕES]],'Dados Status Invest'!A:AB,28,0)</f>
        <v/>
      </c>
      <c r="K431" s="63">
        <f>VLOOKUP(Table_1[[#This Row],[AÇÕES]],'Dados Status Invest'!A:AA,27,0)</f>
        <v/>
      </c>
      <c r="L431" s="63">
        <f>Table_1[[#This Row],[PREÇO]]*Table_1[[#This Row],[DY]]</f>
        <v/>
      </c>
      <c r="M431" s="62">
        <f>$E$13</f>
        <v/>
      </c>
      <c r="N431" s="62" t="n">
        <v>0.3</v>
      </c>
      <c r="O431" s="62">
        <f>Table_1[[#This Row],[DPA]]/Table_1[[#This Row],[LPA]]</f>
        <v/>
      </c>
      <c r="P431" s="62">
        <f>IF(Table_1[[#This Row],[PAYOUT]]&lt;=40%,"CRESCIMENTO",IF(Table_1[[#This Row],[PAYOUT]]&lt;=60%,"INDEFINIDO","DIVIDENDOS"))</f>
        <v/>
      </c>
      <c r="Q431" s="62">
        <f>VLOOKUP(Table_1[[#This Row],[AÇÕES]],'Dados Status Invest'!A:R,18,0)/100</f>
        <v/>
      </c>
      <c r="R431" s="62">
        <f>VLOOKUP(Table_1[[#This Row],[AÇÕES]],'Dados Status Invest'!A:Y,25,0)/100</f>
        <v/>
      </c>
      <c r="S431" s="62">
        <f>(1-Table_1[[#This Row],[PAYOUT]])*Table_1[[#This Row],[ROE]]</f>
        <v/>
      </c>
      <c r="T431" s="98">
        <f>AVERAGE(Table_1[[#This Row],[CAGR LUCRO 5A]],Table_1[[#This Row],[CRESCIMENTO DAMODARAN]])</f>
        <v/>
      </c>
      <c r="U431" s="64">
        <f>(Table_1[[#This Row],[PREÇO JUSTO BAZIN]]-Table_1[[#This Row],[PREÇO]])/Table_1[[#This Row],[PREÇO JUSTO BAZIN]]</f>
        <v/>
      </c>
      <c r="V431" s="129">
        <f>Table_1[[#This Row],[DPA]]/6%</f>
        <v/>
      </c>
      <c r="W431" s="129">
        <f>Table_1[[#This Row],[PREÇO JUSTO BAZIN]]/(1+Table_1[[#This Row],[MARGEM DE DESCONTO]])</f>
        <v/>
      </c>
      <c r="X431" s="64">
        <f>(Table_1[[#This Row],[PREÇO JUSTO GRAHAM]]-Table_1[[#This Row],[PREÇO]])/Table_1[[#This Row],[PREÇO JUSTO GRAHAM]]</f>
        <v/>
      </c>
      <c r="Y431" s="129">
        <f>(22.5*Table_1[[#This Row],[LPA]]*Table_1[[#This Row],[VPA]])^0.5</f>
        <v/>
      </c>
      <c r="Z431" s="129">
        <f>Table_1[[#This Row],[PREÇO JUSTO GRAHAM]]/(1+Table_1[[#This Row],[MARGEM DE DESCONTO]])</f>
        <v/>
      </c>
      <c r="AA431" s="64">
        <f>(Table_1[[#This Row],[PREÇO JUSTO GORDON]]-Table_1[[#This Row],[PREÇO]])/Table_1[[#This Row],[PREÇO JUSTO GORDON]]</f>
        <v/>
      </c>
      <c r="AB431" s="130">
        <f>Table_1[[#This Row],[DPA]]*(1+Table_1[[#This Row],[MÉDIA DE CRESCIMENTO]])</f>
        <v/>
      </c>
      <c r="AC431" s="130">
        <f>Table_1[[#This Row],[D1]]/(Table_1[[#This Row],[RISCO]]-Table_1[[#This Row],[MÉDIA DE CRESCIMENTO]])</f>
        <v/>
      </c>
      <c r="AD431" s="130">
        <f>Table_1[[#This Row],[PREÇO JUSTO GORDON]]/(1+Table_1[[#This Row],[MARGEM DE DESCONTO]])</f>
        <v/>
      </c>
      <c r="AE431" s="78">
        <f>Table_1[[#This Row],[P/L]]/Table_1[[#This Row],[MÉDIA DE CRESCIMENTO]]</f>
        <v/>
      </c>
    </row>
    <row r="432" ht="15.75" customHeight="1">
      <c r="B432" s="77">
        <f>'Dados Status Invest'!A418</f>
        <v/>
      </c>
      <c r="C432" s="60">
        <f>VLOOKUP(Table_1[[#This Row],[AÇÕES]],'Classificação B3'!A:B,2,0)</f>
        <v/>
      </c>
      <c r="D432" s="60">
        <f>VLOOKUP(Table_1[[#This Row],[AÇÕES]],'Classificação B3'!A:D,4,0)</f>
        <v/>
      </c>
      <c r="E432" s="60">
        <f>VLOOKUP(Table_1[[#This Row],[AÇÕES]],'Classificação B3'!A:F,6,0)</f>
        <v/>
      </c>
      <c r="F432" s="60">
        <f>VLOOKUP(Table_1[[#This Row],[AÇÕES]],'Classificação B3'!A:G,7,0)</f>
        <v/>
      </c>
      <c r="G432" s="61">
        <f>VLOOKUP(Table_1[[#This Row],[AÇÕES]],'Dados Status Invest'!A:B,2,0)</f>
        <v/>
      </c>
      <c r="H432" s="62">
        <f>VLOOKUP(Table_1[[#This Row],[AÇÕES]],'Dados Status Invest'!A:C,3,0)/100</f>
        <v/>
      </c>
      <c r="I432" s="62">
        <f>VLOOKUP(Table_1[[#This Row],[AÇÕES]],'Dados Status Invest'!A:D,4,0)/100</f>
        <v/>
      </c>
      <c r="J432" s="63">
        <f>VLOOKUP(Table_1[[#This Row],[AÇÕES]],'Dados Status Invest'!A:AB,28,0)</f>
        <v/>
      </c>
      <c r="K432" s="63">
        <f>VLOOKUP(Table_1[[#This Row],[AÇÕES]],'Dados Status Invest'!A:AA,27,0)</f>
        <v/>
      </c>
      <c r="L432" s="63">
        <f>Table_1[[#This Row],[PREÇO]]*Table_1[[#This Row],[DY]]</f>
        <v/>
      </c>
      <c r="M432" s="62">
        <f>$E$13</f>
        <v/>
      </c>
      <c r="N432" s="62" t="n">
        <v>0.3</v>
      </c>
      <c r="O432" s="62">
        <f>Table_1[[#This Row],[DPA]]/Table_1[[#This Row],[LPA]]</f>
        <v/>
      </c>
      <c r="P432" s="62">
        <f>IF(Table_1[[#This Row],[PAYOUT]]&lt;=40%,"CRESCIMENTO",IF(Table_1[[#This Row],[PAYOUT]]&lt;=60%,"INDEFINIDO","DIVIDENDOS"))</f>
        <v/>
      </c>
      <c r="Q432" s="62">
        <f>VLOOKUP(Table_1[[#This Row],[AÇÕES]],'Dados Status Invest'!A:R,18,0)/100</f>
        <v/>
      </c>
      <c r="R432" s="62">
        <f>VLOOKUP(Table_1[[#This Row],[AÇÕES]],'Dados Status Invest'!A:Y,25,0)/100</f>
        <v/>
      </c>
      <c r="S432" s="62">
        <f>(1-Table_1[[#This Row],[PAYOUT]])*Table_1[[#This Row],[ROE]]</f>
        <v/>
      </c>
      <c r="T432" s="98">
        <f>AVERAGE(Table_1[[#This Row],[CAGR LUCRO 5A]],Table_1[[#This Row],[CRESCIMENTO DAMODARAN]])</f>
        <v/>
      </c>
      <c r="U432" s="64">
        <f>(Table_1[[#This Row],[PREÇO JUSTO BAZIN]]-Table_1[[#This Row],[PREÇO]])/Table_1[[#This Row],[PREÇO JUSTO BAZIN]]</f>
        <v/>
      </c>
      <c r="V432" s="129">
        <f>Table_1[[#This Row],[DPA]]/6%</f>
        <v/>
      </c>
      <c r="W432" s="129">
        <f>Table_1[[#This Row],[PREÇO JUSTO BAZIN]]/(1+Table_1[[#This Row],[MARGEM DE DESCONTO]])</f>
        <v/>
      </c>
      <c r="X432" s="64">
        <f>(Table_1[[#This Row],[PREÇO JUSTO GRAHAM]]-Table_1[[#This Row],[PREÇO]])/Table_1[[#This Row],[PREÇO JUSTO GRAHAM]]</f>
        <v/>
      </c>
      <c r="Y432" s="129">
        <f>(22.5*Table_1[[#This Row],[LPA]]*Table_1[[#This Row],[VPA]])^0.5</f>
        <v/>
      </c>
      <c r="Z432" s="129">
        <f>Table_1[[#This Row],[PREÇO JUSTO GRAHAM]]/(1+Table_1[[#This Row],[MARGEM DE DESCONTO]])</f>
        <v/>
      </c>
      <c r="AA432" s="64">
        <f>(Table_1[[#This Row],[PREÇO JUSTO GORDON]]-Table_1[[#This Row],[PREÇO]])/Table_1[[#This Row],[PREÇO JUSTO GORDON]]</f>
        <v/>
      </c>
      <c r="AB432" s="130">
        <f>Table_1[[#This Row],[DPA]]*(1+Table_1[[#This Row],[MÉDIA DE CRESCIMENTO]])</f>
        <v/>
      </c>
      <c r="AC432" s="130">
        <f>Table_1[[#This Row],[D1]]/(Table_1[[#This Row],[RISCO]]-Table_1[[#This Row],[MÉDIA DE CRESCIMENTO]])</f>
        <v/>
      </c>
      <c r="AD432" s="130">
        <f>Table_1[[#This Row],[PREÇO JUSTO GORDON]]/(1+Table_1[[#This Row],[MARGEM DE DESCONTO]])</f>
        <v/>
      </c>
      <c r="AE432" s="78">
        <f>Table_1[[#This Row],[P/L]]/Table_1[[#This Row],[MÉDIA DE CRESCIMENTO]]</f>
        <v/>
      </c>
    </row>
    <row r="433" ht="15.75" customHeight="1">
      <c r="B433" s="77">
        <f>'Dados Status Invest'!A419</f>
        <v/>
      </c>
      <c r="C433" s="60">
        <f>VLOOKUP(Table_1[[#This Row],[AÇÕES]],'Classificação B3'!A:B,2,0)</f>
        <v/>
      </c>
      <c r="D433" s="60">
        <f>VLOOKUP(Table_1[[#This Row],[AÇÕES]],'Classificação B3'!A:D,4,0)</f>
        <v/>
      </c>
      <c r="E433" s="60">
        <f>VLOOKUP(Table_1[[#This Row],[AÇÕES]],'Classificação B3'!A:F,6,0)</f>
        <v/>
      </c>
      <c r="F433" s="60">
        <f>VLOOKUP(Table_1[[#This Row],[AÇÕES]],'Classificação B3'!A:G,7,0)</f>
        <v/>
      </c>
      <c r="G433" s="61">
        <f>VLOOKUP(Table_1[[#This Row],[AÇÕES]],'Dados Status Invest'!A:B,2,0)</f>
        <v/>
      </c>
      <c r="H433" s="62">
        <f>VLOOKUP(Table_1[[#This Row],[AÇÕES]],'Dados Status Invest'!A:C,3,0)/100</f>
        <v/>
      </c>
      <c r="I433" s="62">
        <f>VLOOKUP(Table_1[[#This Row],[AÇÕES]],'Dados Status Invest'!A:D,4,0)/100</f>
        <v/>
      </c>
      <c r="J433" s="63">
        <f>VLOOKUP(Table_1[[#This Row],[AÇÕES]],'Dados Status Invest'!A:AB,28,0)</f>
        <v/>
      </c>
      <c r="K433" s="63">
        <f>VLOOKUP(Table_1[[#This Row],[AÇÕES]],'Dados Status Invest'!A:AA,27,0)</f>
        <v/>
      </c>
      <c r="L433" s="63">
        <f>Table_1[[#This Row],[PREÇO]]*Table_1[[#This Row],[DY]]</f>
        <v/>
      </c>
      <c r="M433" s="62">
        <f>$E$13</f>
        <v/>
      </c>
      <c r="N433" s="62" t="n">
        <v>0.3</v>
      </c>
      <c r="O433" s="62">
        <f>Table_1[[#This Row],[DPA]]/Table_1[[#This Row],[LPA]]</f>
        <v/>
      </c>
      <c r="P433" s="62">
        <f>IF(Table_1[[#This Row],[PAYOUT]]&lt;=40%,"CRESCIMENTO",IF(Table_1[[#This Row],[PAYOUT]]&lt;=60%,"INDEFINIDO","DIVIDENDOS"))</f>
        <v/>
      </c>
      <c r="Q433" s="62">
        <f>VLOOKUP(Table_1[[#This Row],[AÇÕES]],'Dados Status Invest'!A:R,18,0)/100</f>
        <v/>
      </c>
      <c r="R433" s="62">
        <f>VLOOKUP(Table_1[[#This Row],[AÇÕES]],'Dados Status Invest'!A:Y,25,0)/100</f>
        <v/>
      </c>
      <c r="S433" s="62">
        <f>(1-Table_1[[#This Row],[PAYOUT]])*Table_1[[#This Row],[ROE]]</f>
        <v/>
      </c>
      <c r="T433" s="98">
        <f>AVERAGE(Table_1[[#This Row],[CAGR LUCRO 5A]],Table_1[[#This Row],[CRESCIMENTO DAMODARAN]])</f>
        <v/>
      </c>
      <c r="U433" s="64">
        <f>(Table_1[[#This Row],[PREÇO JUSTO BAZIN]]-Table_1[[#This Row],[PREÇO]])/Table_1[[#This Row],[PREÇO JUSTO BAZIN]]</f>
        <v/>
      </c>
      <c r="V433" s="129">
        <f>Table_1[[#This Row],[DPA]]/6%</f>
        <v/>
      </c>
      <c r="W433" s="129">
        <f>Table_1[[#This Row],[PREÇO JUSTO BAZIN]]/(1+Table_1[[#This Row],[MARGEM DE DESCONTO]])</f>
        <v/>
      </c>
      <c r="X433" s="64">
        <f>(Table_1[[#This Row],[PREÇO JUSTO GRAHAM]]-Table_1[[#This Row],[PREÇO]])/Table_1[[#This Row],[PREÇO JUSTO GRAHAM]]</f>
        <v/>
      </c>
      <c r="Y433" s="129">
        <f>(22.5*Table_1[[#This Row],[LPA]]*Table_1[[#This Row],[VPA]])^0.5</f>
        <v/>
      </c>
      <c r="Z433" s="129">
        <f>Table_1[[#This Row],[PREÇO JUSTO GRAHAM]]/(1+Table_1[[#This Row],[MARGEM DE DESCONTO]])</f>
        <v/>
      </c>
      <c r="AA433" s="64">
        <f>(Table_1[[#This Row],[PREÇO JUSTO GORDON]]-Table_1[[#This Row],[PREÇO]])/Table_1[[#This Row],[PREÇO JUSTO GORDON]]</f>
        <v/>
      </c>
      <c r="AB433" s="130">
        <f>Table_1[[#This Row],[DPA]]*(1+Table_1[[#This Row],[MÉDIA DE CRESCIMENTO]])</f>
        <v/>
      </c>
      <c r="AC433" s="130">
        <f>Table_1[[#This Row],[D1]]/(Table_1[[#This Row],[RISCO]]-Table_1[[#This Row],[MÉDIA DE CRESCIMENTO]])</f>
        <v/>
      </c>
      <c r="AD433" s="130">
        <f>Table_1[[#This Row],[PREÇO JUSTO GORDON]]/(1+Table_1[[#This Row],[MARGEM DE DESCONTO]])</f>
        <v/>
      </c>
      <c r="AE433" s="78">
        <f>Table_1[[#This Row],[P/L]]/Table_1[[#This Row],[MÉDIA DE CRESCIMENTO]]</f>
        <v/>
      </c>
    </row>
    <row r="434" ht="15.75" customHeight="1">
      <c r="B434" s="77">
        <f>'Dados Status Invest'!A420</f>
        <v/>
      </c>
      <c r="C434" s="60">
        <f>VLOOKUP(Table_1[[#This Row],[AÇÕES]],'Classificação B3'!A:B,2,0)</f>
        <v/>
      </c>
      <c r="D434" s="60">
        <f>VLOOKUP(Table_1[[#This Row],[AÇÕES]],'Classificação B3'!A:D,4,0)</f>
        <v/>
      </c>
      <c r="E434" s="60">
        <f>VLOOKUP(Table_1[[#This Row],[AÇÕES]],'Classificação B3'!A:F,6,0)</f>
        <v/>
      </c>
      <c r="F434" s="60">
        <f>VLOOKUP(Table_1[[#This Row],[AÇÕES]],'Classificação B3'!A:G,7,0)</f>
        <v/>
      </c>
      <c r="G434" s="61">
        <f>VLOOKUP(Table_1[[#This Row],[AÇÕES]],'Dados Status Invest'!A:B,2,0)</f>
        <v/>
      </c>
      <c r="H434" s="62">
        <f>VLOOKUP(Table_1[[#This Row],[AÇÕES]],'Dados Status Invest'!A:C,3,0)/100</f>
        <v/>
      </c>
      <c r="I434" s="62">
        <f>VLOOKUP(Table_1[[#This Row],[AÇÕES]],'Dados Status Invest'!A:D,4,0)/100</f>
        <v/>
      </c>
      <c r="J434" s="63">
        <f>VLOOKUP(Table_1[[#This Row],[AÇÕES]],'Dados Status Invest'!A:AB,28,0)</f>
        <v/>
      </c>
      <c r="K434" s="63">
        <f>VLOOKUP(Table_1[[#This Row],[AÇÕES]],'Dados Status Invest'!A:AA,27,0)</f>
        <v/>
      </c>
      <c r="L434" s="63">
        <f>Table_1[[#This Row],[PREÇO]]*Table_1[[#This Row],[DY]]</f>
        <v/>
      </c>
      <c r="M434" s="62">
        <f>$E$13</f>
        <v/>
      </c>
      <c r="N434" s="62" t="n">
        <v>0.3</v>
      </c>
      <c r="O434" s="62">
        <f>Table_1[[#This Row],[DPA]]/Table_1[[#This Row],[LPA]]</f>
        <v/>
      </c>
      <c r="P434" s="62">
        <f>IF(Table_1[[#This Row],[PAYOUT]]&lt;=40%,"CRESCIMENTO",IF(Table_1[[#This Row],[PAYOUT]]&lt;=60%,"INDEFINIDO","DIVIDENDOS"))</f>
        <v/>
      </c>
      <c r="Q434" s="62">
        <f>VLOOKUP(Table_1[[#This Row],[AÇÕES]],'Dados Status Invest'!A:R,18,0)/100</f>
        <v/>
      </c>
      <c r="R434" s="62">
        <f>VLOOKUP(Table_1[[#This Row],[AÇÕES]],'Dados Status Invest'!A:Y,25,0)/100</f>
        <v/>
      </c>
      <c r="S434" s="62">
        <f>(1-Table_1[[#This Row],[PAYOUT]])*Table_1[[#This Row],[ROE]]</f>
        <v/>
      </c>
      <c r="T434" s="98">
        <f>AVERAGE(Table_1[[#This Row],[CAGR LUCRO 5A]],Table_1[[#This Row],[CRESCIMENTO DAMODARAN]])</f>
        <v/>
      </c>
      <c r="U434" s="64">
        <f>(Table_1[[#This Row],[PREÇO JUSTO BAZIN]]-Table_1[[#This Row],[PREÇO]])/Table_1[[#This Row],[PREÇO JUSTO BAZIN]]</f>
        <v/>
      </c>
      <c r="V434" s="129">
        <f>Table_1[[#This Row],[DPA]]/6%</f>
        <v/>
      </c>
      <c r="W434" s="129">
        <f>Table_1[[#This Row],[PREÇO JUSTO BAZIN]]/(1+Table_1[[#This Row],[MARGEM DE DESCONTO]])</f>
        <v/>
      </c>
      <c r="X434" s="64">
        <f>(Table_1[[#This Row],[PREÇO JUSTO GRAHAM]]-Table_1[[#This Row],[PREÇO]])/Table_1[[#This Row],[PREÇO JUSTO GRAHAM]]</f>
        <v/>
      </c>
      <c r="Y434" s="129">
        <f>(22.5*Table_1[[#This Row],[LPA]]*Table_1[[#This Row],[VPA]])^0.5</f>
        <v/>
      </c>
      <c r="Z434" s="129">
        <f>Table_1[[#This Row],[PREÇO JUSTO GRAHAM]]/(1+Table_1[[#This Row],[MARGEM DE DESCONTO]])</f>
        <v/>
      </c>
      <c r="AA434" s="64">
        <f>(Table_1[[#This Row],[PREÇO JUSTO GORDON]]-Table_1[[#This Row],[PREÇO]])/Table_1[[#This Row],[PREÇO JUSTO GORDON]]</f>
        <v/>
      </c>
      <c r="AB434" s="130">
        <f>Table_1[[#This Row],[DPA]]*(1+Table_1[[#This Row],[MÉDIA DE CRESCIMENTO]])</f>
        <v/>
      </c>
      <c r="AC434" s="130">
        <f>Table_1[[#This Row],[D1]]/(Table_1[[#This Row],[RISCO]]-Table_1[[#This Row],[MÉDIA DE CRESCIMENTO]])</f>
        <v/>
      </c>
      <c r="AD434" s="130">
        <f>Table_1[[#This Row],[PREÇO JUSTO GORDON]]/(1+Table_1[[#This Row],[MARGEM DE DESCONTO]])</f>
        <v/>
      </c>
      <c r="AE434" s="78">
        <f>Table_1[[#This Row],[P/L]]/Table_1[[#This Row],[MÉDIA DE CRESCIMENTO]]</f>
        <v/>
      </c>
    </row>
    <row r="435" ht="15.75" customHeight="1">
      <c r="B435" s="77">
        <f>'Dados Status Invest'!A421</f>
        <v/>
      </c>
      <c r="C435" s="60">
        <f>VLOOKUP(Table_1[[#This Row],[AÇÕES]],'Classificação B3'!A:B,2,0)</f>
        <v/>
      </c>
      <c r="D435" s="60">
        <f>VLOOKUP(Table_1[[#This Row],[AÇÕES]],'Classificação B3'!A:D,4,0)</f>
        <v/>
      </c>
      <c r="E435" s="60">
        <f>VLOOKUP(Table_1[[#This Row],[AÇÕES]],'Classificação B3'!A:F,6,0)</f>
        <v/>
      </c>
      <c r="F435" s="60">
        <f>VLOOKUP(Table_1[[#This Row],[AÇÕES]],'Classificação B3'!A:G,7,0)</f>
        <v/>
      </c>
      <c r="G435" s="61">
        <f>VLOOKUP(Table_1[[#This Row],[AÇÕES]],'Dados Status Invest'!A:B,2,0)</f>
        <v/>
      </c>
      <c r="H435" s="62">
        <f>VLOOKUP(Table_1[[#This Row],[AÇÕES]],'Dados Status Invest'!A:C,3,0)/100</f>
        <v/>
      </c>
      <c r="I435" s="62">
        <f>VLOOKUP(Table_1[[#This Row],[AÇÕES]],'Dados Status Invest'!A:D,4,0)/100</f>
        <v/>
      </c>
      <c r="J435" s="63">
        <f>VLOOKUP(Table_1[[#This Row],[AÇÕES]],'Dados Status Invest'!A:AB,28,0)</f>
        <v/>
      </c>
      <c r="K435" s="63">
        <f>VLOOKUP(Table_1[[#This Row],[AÇÕES]],'Dados Status Invest'!A:AA,27,0)</f>
        <v/>
      </c>
      <c r="L435" s="63">
        <f>Table_1[[#This Row],[PREÇO]]*Table_1[[#This Row],[DY]]</f>
        <v/>
      </c>
      <c r="M435" s="62">
        <f>$E$13</f>
        <v/>
      </c>
      <c r="N435" s="62" t="n">
        <v>0.3</v>
      </c>
      <c r="O435" s="62">
        <f>Table_1[[#This Row],[DPA]]/Table_1[[#This Row],[LPA]]</f>
        <v/>
      </c>
      <c r="P435" s="62">
        <f>IF(Table_1[[#This Row],[PAYOUT]]&lt;=40%,"CRESCIMENTO",IF(Table_1[[#This Row],[PAYOUT]]&lt;=60%,"INDEFINIDO","DIVIDENDOS"))</f>
        <v/>
      </c>
      <c r="Q435" s="62">
        <f>VLOOKUP(Table_1[[#This Row],[AÇÕES]],'Dados Status Invest'!A:R,18,0)/100</f>
        <v/>
      </c>
      <c r="R435" s="62">
        <f>VLOOKUP(Table_1[[#This Row],[AÇÕES]],'Dados Status Invest'!A:Y,25,0)/100</f>
        <v/>
      </c>
      <c r="S435" s="62">
        <f>(1-Table_1[[#This Row],[PAYOUT]])*Table_1[[#This Row],[ROE]]</f>
        <v/>
      </c>
      <c r="T435" s="98">
        <f>AVERAGE(Table_1[[#This Row],[CAGR LUCRO 5A]],Table_1[[#This Row],[CRESCIMENTO DAMODARAN]])</f>
        <v/>
      </c>
      <c r="U435" s="64">
        <f>(Table_1[[#This Row],[PREÇO JUSTO BAZIN]]-Table_1[[#This Row],[PREÇO]])/Table_1[[#This Row],[PREÇO JUSTO BAZIN]]</f>
        <v/>
      </c>
      <c r="V435" s="129">
        <f>Table_1[[#This Row],[DPA]]/6%</f>
        <v/>
      </c>
      <c r="W435" s="129">
        <f>Table_1[[#This Row],[PREÇO JUSTO BAZIN]]/(1+Table_1[[#This Row],[MARGEM DE DESCONTO]])</f>
        <v/>
      </c>
      <c r="X435" s="64">
        <f>(Table_1[[#This Row],[PREÇO JUSTO GRAHAM]]-Table_1[[#This Row],[PREÇO]])/Table_1[[#This Row],[PREÇO JUSTO GRAHAM]]</f>
        <v/>
      </c>
      <c r="Y435" s="129">
        <f>(22.5*Table_1[[#This Row],[LPA]]*Table_1[[#This Row],[VPA]])^0.5</f>
        <v/>
      </c>
      <c r="Z435" s="129">
        <f>Table_1[[#This Row],[PREÇO JUSTO GRAHAM]]/(1+Table_1[[#This Row],[MARGEM DE DESCONTO]])</f>
        <v/>
      </c>
      <c r="AA435" s="64">
        <f>(Table_1[[#This Row],[PREÇO JUSTO GORDON]]-Table_1[[#This Row],[PREÇO]])/Table_1[[#This Row],[PREÇO JUSTO GORDON]]</f>
        <v/>
      </c>
      <c r="AB435" s="130">
        <f>Table_1[[#This Row],[DPA]]*(1+Table_1[[#This Row],[MÉDIA DE CRESCIMENTO]])</f>
        <v/>
      </c>
      <c r="AC435" s="130">
        <f>Table_1[[#This Row],[D1]]/(Table_1[[#This Row],[RISCO]]-Table_1[[#This Row],[MÉDIA DE CRESCIMENTO]])</f>
        <v/>
      </c>
      <c r="AD435" s="130">
        <f>Table_1[[#This Row],[PREÇO JUSTO GORDON]]/(1+Table_1[[#This Row],[MARGEM DE DESCONTO]])</f>
        <v/>
      </c>
      <c r="AE435" s="78">
        <f>Table_1[[#This Row],[P/L]]/Table_1[[#This Row],[MÉDIA DE CRESCIMENTO]]</f>
        <v/>
      </c>
    </row>
    <row r="436" ht="15.75" customHeight="1">
      <c r="B436" s="77">
        <f>'Dados Status Invest'!A422</f>
        <v/>
      </c>
      <c r="C436" s="60">
        <f>VLOOKUP(Table_1[[#This Row],[AÇÕES]],'Classificação B3'!A:B,2,0)</f>
        <v/>
      </c>
      <c r="D436" s="60">
        <f>VLOOKUP(Table_1[[#This Row],[AÇÕES]],'Classificação B3'!A:D,4,0)</f>
        <v/>
      </c>
      <c r="E436" s="60">
        <f>VLOOKUP(Table_1[[#This Row],[AÇÕES]],'Classificação B3'!A:F,6,0)</f>
        <v/>
      </c>
      <c r="F436" s="60">
        <f>VLOOKUP(Table_1[[#This Row],[AÇÕES]],'Classificação B3'!A:G,7,0)</f>
        <v/>
      </c>
      <c r="G436" s="61">
        <f>VLOOKUP(Table_1[[#This Row],[AÇÕES]],'Dados Status Invest'!A:B,2,0)</f>
        <v/>
      </c>
      <c r="H436" s="62">
        <f>VLOOKUP(Table_1[[#This Row],[AÇÕES]],'Dados Status Invest'!A:C,3,0)/100</f>
        <v/>
      </c>
      <c r="I436" s="62">
        <f>VLOOKUP(Table_1[[#This Row],[AÇÕES]],'Dados Status Invest'!A:D,4,0)/100</f>
        <v/>
      </c>
      <c r="J436" s="63">
        <f>VLOOKUP(Table_1[[#This Row],[AÇÕES]],'Dados Status Invest'!A:AB,28,0)</f>
        <v/>
      </c>
      <c r="K436" s="63">
        <f>VLOOKUP(Table_1[[#This Row],[AÇÕES]],'Dados Status Invest'!A:AA,27,0)</f>
        <v/>
      </c>
      <c r="L436" s="63">
        <f>Table_1[[#This Row],[PREÇO]]*Table_1[[#This Row],[DY]]</f>
        <v/>
      </c>
      <c r="M436" s="62">
        <f>$E$13</f>
        <v/>
      </c>
      <c r="N436" s="62" t="n">
        <v>0.3</v>
      </c>
      <c r="O436" s="62">
        <f>Table_1[[#This Row],[DPA]]/Table_1[[#This Row],[LPA]]</f>
        <v/>
      </c>
      <c r="P436" s="62">
        <f>IF(Table_1[[#This Row],[PAYOUT]]&lt;=40%,"CRESCIMENTO",IF(Table_1[[#This Row],[PAYOUT]]&lt;=60%,"INDEFINIDO","DIVIDENDOS"))</f>
        <v/>
      </c>
      <c r="Q436" s="62">
        <f>VLOOKUP(Table_1[[#This Row],[AÇÕES]],'Dados Status Invest'!A:R,18,0)/100</f>
        <v/>
      </c>
      <c r="R436" s="62">
        <f>VLOOKUP(Table_1[[#This Row],[AÇÕES]],'Dados Status Invest'!A:Y,25,0)/100</f>
        <v/>
      </c>
      <c r="S436" s="62">
        <f>(1-Table_1[[#This Row],[PAYOUT]])*Table_1[[#This Row],[ROE]]</f>
        <v/>
      </c>
      <c r="T436" s="98">
        <f>AVERAGE(Table_1[[#This Row],[CAGR LUCRO 5A]],Table_1[[#This Row],[CRESCIMENTO DAMODARAN]])</f>
        <v/>
      </c>
      <c r="U436" s="64">
        <f>(Table_1[[#This Row],[PREÇO JUSTO BAZIN]]-Table_1[[#This Row],[PREÇO]])/Table_1[[#This Row],[PREÇO JUSTO BAZIN]]</f>
        <v/>
      </c>
      <c r="V436" s="129">
        <f>Table_1[[#This Row],[DPA]]/6%</f>
        <v/>
      </c>
      <c r="W436" s="129">
        <f>Table_1[[#This Row],[PREÇO JUSTO BAZIN]]/(1+Table_1[[#This Row],[MARGEM DE DESCONTO]])</f>
        <v/>
      </c>
      <c r="X436" s="64">
        <f>(Table_1[[#This Row],[PREÇO JUSTO GRAHAM]]-Table_1[[#This Row],[PREÇO]])/Table_1[[#This Row],[PREÇO JUSTO GRAHAM]]</f>
        <v/>
      </c>
      <c r="Y436" s="129">
        <f>(22.5*Table_1[[#This Row],[LPA]]*Table_1[[#This Row],[VPA]])^0.5</f>
        <v/>
      </c>
      <c r="Z436" s="129">
        <f>Table_1[[#This Row],[PREÇO JUSTO GRAHAM]]/(1+Table_1[[#This Row],[MARGEM DE DESCONTO]])</f>
        <v/>
      </c>
      <c r="AA436" s="64">
        <f>(Table_1[[#This Row],[PREÇO JUSTO GORDON]]-Table_1[[#This Row],[PREÇO]])/Table_1[[#This Row],[PREÇO JUSTO GORDON]]</f>
        <v/>
      </c>
      <c r="AB436" s="130">
        <f>Table_1[[#This Row],[DPA]]*(1+Table_1[[#This Row],[MÉDIA DE CRESCIMENTO]])</f>
        <v/>
      </c>
      <c r="AC436" s="130">
        <f>Table_1[[#This Row],[D1]]/(Table_1[[#This Row],[RISCO]]-Table_1[[#This Row],[MÉDIA DE CRESCIMENTO]])</f>
        <v/>
      </c>
      <c r="AD436" s="130">
        <f>Table_1[[#This Row],[PREÇO JUSTO GORDON]]/(1+Table_1[[#This Row],[MARGEM DE DESCONTO]])</f>
        <v/>
      </c>
      <c r="AE436" s="78">
        <f>Table_1[[#This Row],[P/L]]/Table_1[[#This Row],[MÉDIA DE CRESCIMENTO]]</f>
        <v/>
      </c>
    </row>
    <row r="437" ht="15.75" customHeight="1">
      <c r="B437" s="77">
        <f>'Dados Status Invest'!A423</f>
        <v/>
      </c>
      <c r="C437" s="60">
        <f>VLOOKUP(Table_1[[#This Row],[AÇÕES]],'Classificação B3'!A:B,2,0)</f>
        <v/>
      </c>
      <c r="D437" s="60">
        <f>VLOOKUP(Table_1[[#This Row],[AÇÕES]],'Classificação B3'!A:D,4,0)</f>
        <v/>
      </c>
      <c r="E437" s="60">
        <f>VLOOKUP(Table_1[[#This Row],[AÇÕES]],'Classificação B3'!A:F,6,0)</f>
        <v/>
      </c>
      <c r="F437" s="60">
        <f>VLOOKUP(Table_1[[#This Row],[AÇÕES]],'Classificação B3'!A:G,7,0)</f>
        <v/>
      </c>
      <c r="G437" s="61">
        <f>VLOOKUP(Table_1[[#This Row],[AÇÕES]],'Dados Status Invest'!A:B,2,0)</f>
        <v/>
      </c>
      <c r="H437" s="62">
        <f>VLOOKUP(Table_1[[#This Row],[AÇÕES]],'Dados Status Invest'!A:C,3,0)/100</f>
        <v/>
      </c>
      <c r="I437" s="62">
        <f>VLOOKUP(Table_1[[#This Row],[AÇÕES]],'Dados Status Invest'!A:D,4,0)/100</f>
        <v/>
      </c>
      <c r="J437" s="63">
        <f>VLOOKUP(Table_1[[#This Row],[AÇÕES]],'Dados Status Invest'!A:AB,28,0)</f>
        <v/>
      </c>
      <c r="K437" s="63">
        <f>VLOOKUP(Table_1[[#This Row],[AÇÕES]],'Dados Status Invest'!A:AA,27,0)</f>
        <v/>
      </c>
      <c r="L437" s="63">
        <f>Table_1[[#This Row],[PREÇO]]*Table_1[[#This Row],[DY]]</f>
        <v/>
      </c>
      <c r="M437" s="62">
        <f>$E$13</f>
        <v/>
      </c>
      <c r="N437" s="62" t="n">
        <v>0.3</v>
      </c>
      <c r="O437" s="62">
        <f>Table_1[[#This Row],[DPA]]/Table_1[[#This Row],[LPA]]</f>
        <v/>
      </c>
      <c r="P437" s="62">
        <f>IF(Table_1[[#This Row],[PAYOUT]]&lt;=40%,"CRESCIMENTO",IF(Table_1[[#This Row],[PAYOUT]]&lt;=60%,"INDEFINIDO","DIVIDENDOS"))</f>
        <v/>
      </c>
      <c r="Q437" s="62">
        <f>VLOOKUP(Table_1[[#This Row],[AÇÕES]],'Dados Status Invest'!A:R,18,0)/100</f>
        <v/>
      </c>
      <c r="R437" s="62">
        <f>VLOOKUP(Table_1[[#This Row],[AÇÕES]],'Dados Status Invest'!A:Y,25,0)/100</f>
        <v/>
      </c>
      <c r="S437" s="62">
        <f>(1-Table_1[[#This Row],[PAYOUT]])*Table_1[[#This Row],[ROE]]</f>
        <v/>
      </c>
      <c r="T437" s="98">
        <f>AVERAGE(Table_1[[#This Row],[CAGR LUCRO 5A]],Table_1[[#This Row],[CRESCIMENTO DAMODARAN]])</f>
        <v/>
      </c>
      <c r="U437" s="64">
        <f>(Table_1[[#This Row],[PREÇO JUSTO BAZIN]]-Table_1[[#This Row],[PREÇO]])/Table_1[[#This Row],[PREÇO JUSTO BAZIN]]</f>
        <v/>
      </c>
      <c r="V437" s="129">
        <f>Table_1[[#This Row],[DPA]]/6%</f>
        <v/>
      </c>
      <c r="W437" s="129">
        <f>Table_1[[#This Row],[PREÇO JUSTO BAZIN]]/(1+Table_1[[#This Row],[MARGEM DE DESCONTO]])</f>
        <v/>
      </c>
      <c r="X437" s="64">
        <f>(Table_1[[#This Row],[PREÇO JUSTO GRAHAM]]-Table_1[[#This Row],[PREÇO]])/Table_1[[#This Row],[PREÇO JUSTO GRAHAM]]</f>
        <v/>
      </c>
      <c r="Y437" s="129">
        <f>(22.5*Table_1[[#This Row],[LPA]]*Table_1[[#This Row],[VPA]])^0.5</f>
        <v/>
      </c>
      <c r="Z437" s="129">
        <f>Table_1[[#This Row],[PREÇO JUSTO GRAHAM]]/(1+Table_1[[#This Row],[MARGEM DE DESCONTO]])</f>
        <v/>
      </c>
      <c r="AA437" s="64">
        <f>(Table_1[[#This Row],[PREÇO JUSTO GORDON]]-Table_1[[#This Row],[PREÇO]])/Table_1[[#This Row],[PREÇO JUSTO GORDON]]</f>
        <v/>
      </c>
      <c r="AB437" s="130">
        <f>Table_1[[#This Row],[DPA]]*(1+Table_1[[#This Row],[MÉDIA DE CRESCIMENTO]])</f>
        <v/>
      </c>
      <c r="AC437" s="130">
        <f>Table_1[[#This Row],[D1]]/(Table_1[[#This Row],[RISCO]]-Table_1[[#This Row],[MÉDIA DE CRESCIMENTO]])</f>
        <v/>
      </c>
      <c r="AD437" s="130">
        <f>Table_1[[#This Row],[PREÇO JUSTO GORDON]]/(1+Table_1[[#This Row],[MARGEM DE DESCONTO]])</f>
        <v/>
      </c>
      <c r="AE437" s="78">
        <f>Table_1[[#This Row],[P/L]]/Table_1[[#This Row],[MÉDIA DE CRESCIMENTO]]</f>
        <v/>
      </c>
    </row>
    <row r="438" ht="15.75" customHeight="1">
      <c r="B438" s="77">
        <f>'Dados Status Invest'!A424</f>
        <v/>
      </c>
      <c r="C438" s="60">
        <f>VLOOKUP(Table_1[[#This Row],[AÇÕES]],'Classificação B3'!A:B,2,0)</f>
        <v/>
      </c>
      <c r="D438" s="60">
        <f>VLOOKUP(Table_1[[#This Row],[AÇÕES]],'Classificação B3'!A:D,4,0)</f>
        <v/>
      </c>
      <c r="E438" s="60">
        <f>VLOOKUP(Table_1[[#This Row],[AÇÕES]],'Classificação B3'!A:F,6,0)</f>
        <v/>
      </c>
      <c r="F438" s="60">
        <f>VLOOKUP(Table_1[[#This Row],[AÇÕES]],'Classificação B3'!A:G,7,0)</f>
        <v/>
      </c>
      <c r="G438" s="61">
        <f>VLOOKUP(Table_1[[#This Row],[AÇÕES]],'Dados Status Invest'!A:B,2,0)</f>
        <v/>
      </c>
      <c r="H438" s="62">
        <f>VLOOKUP(Table_1[[#This Row],[AÇÕES]],'Dados Status Invest'!A:C,3,0)/100</f>
        <v/>
      </c>
      <c r="I438" s="62">
        <f>VLOOKUP(Table_1[[#This Row],[AÇÕES]],'Dados Status Invest'!A:D,4,0)/100</f>
        <v/>
      </c>
      <c r="J438" s="63">
        <f>VLOOKUP(Table_1[[#This Row],[AÇÕES]],'Dados Status Invest'!A:AB,28,0)</f>
        <v/>
      </c>
      <c r="K438" s="63">
        <f>VLOOKUP(Table_1[[#This Row],[AÇÕES]],'Dados Status Invest'!A:AA,27,0)</f>
        <v/>
      </c>
      <c r="L438" s="63">
        <f>Table_1[[#This Row],[PREÇO]]*Table_1[[#This Row],[DY]]</f>
        <v/>
      </c>
      <c r="M438" s="62">
        <f>$E$13</f>
        <v/>
      </c>
      <c r="N438" s="62" t="n">
        <v>0.3</v>
      </c>
      <c r="O438" s="62">
        <f>Table_1[[#This Row],[DPA]]/Table_1[[#This Row],[LPA]]</f>
        <v/>
      </c>
      <c r="P438" s="62">
        <f>IF(Table_1[[#This Row],[PAYOUT]]&lt;=40%,"CRESCIMENTO",IF(Table_1[[#This Row],[PAYOUT]]&lt;=60%,"INDEFINIDO","DIVIDENDOS"))</f>
        <v/>
      </c>
      <c r="Q438" s="62">
        <f>VLOOKUP(Table_1[[#This Row],[AÇÕES]],'Dados Status Invest'!A:R,18,0)/100</f>
        <v/>
      </c>
      <c r="R438" s="62">
        <f>VLOOKUP(Table_1[[#This Row],[AÇÕES]],'Dados Status Invest'!A:Y,25,0)/100</f>
        <v/>
      </c>
      <c r="S438" s="62">
        <f>(1-Table_1[[#This Row],[PAYOUT]])*Table_1[[#This Row],[ROE]]</f>
        <v/>
      </c>
      <c r="T438" s="98">
        <f>AVERAGE(Table_1[[#This Row],[CAGR LUCRO 5A]],Table_1[[#This Row],[CRESCIMENTO DAMODARAN]])</f>
        <v/>
      </c>
      <c r="U438" s="64">
        <f>(Table_1[[#This Row],[PREÇO JUSTO BAZIN]]-Table_1[[#This Row],[PREÇO]])/Table_1[[#This Row],[PREÇO JUSTO BAZIN]]</f>
        <v/>
      </c>
      <c r="V438" s="129">
        <f>Table_1[[#This Row],[DPA]]/6%</f>
        <v/>
      </c>
      <c r="W438" s="129">
        <f>Table_1[[#This Row],[PREÇO JUSTO BAZIN]]/(1+Table_1[[#This Row],[MARGEM DE DESCONTO]])</f>
        <v/>
      </c>
      <c r="X438" s="64">
        <f>(Table_1[[#This Row],[PREÇO JUSTO GRAHAM]]-Table_1[[#This Row],[PREÇO]])/Table_1[[#This Row],[PREÇO JUSTO GRAHAM]]</f>
        <v/>
      </c>
      <c r="Y438" s="129">
        <f>(22.5*Table_1[[#This Row],[LPA]]*Table_1[[#This Row],[VPA]])^0.5</f>
        <v/>
      </c>
      <c r="Z438" s="129">
        <f>Table_1[[#This Row],[PREÇO JUSTO GRAHAM]]/(1+Table_1[[#This Row],[MARGEM DE DESCONTO]])</f>
        <v/>
      </c>
      <c r="AA438" s="64">
        <f>(Table_1[[#This Row],[PREÇO JUSTO GORDON]]-Table_1[[#This Row],[PREÇO]])/Table_1[[#This Row],[PREÇO JUSTO GORDON]]</f>
        <v/>
      </c>
      <c r="AB438" s="130">
        <f>Table_1[[#This Row],[DPA]]*(1+Table_1[[#This Row],[MÉDIA DE CRESCIMENTO]])</f>
        <v/>
      </c>
      <c r="AC438" s="130">
        <f>Table_1[[#This Row],[D1]]/(Table_1[[#This Row],[RISCO]]-Table_1[[#This Row],[MÉDIA DE CRESCIMENTO]])</f>
        <v/>
      </c>
      <c r="AD438" s="130">
        <f>Table_1[[#This Row],[PREÇO JUSTO GORDON]]/(1+Table_1[[#This Row],[MARGEM DE DESCONTO]])</f>
        <v/>
      </c>
      <c r="AE438" s="78">
        <f>Table_1[[#This Row],[P/L]]/Table_1[[#This Row],[MÉDIA DE CRESCIMENTO]]</f>
        <v/>
      </c>
    </row>
    <row r="439" ht="15.75" customHeight="1">
      <c r="B439" s="77">
        <f>'Dados Status Invest'!A425</f>
        <v/>
      </c>
      <c r="C439" s="60">
        <f>VLOOKUP(Table_1[[#This Row],[AÇÕES]],'Classificação B3'!A:B,2,0)</f>
        <v/>
      </c>
      <c r="D439" s="60">
        <f>VLOOKUP(Table_1[[#This Row],[AÇÕES]],'Classificação B3'!A:D,4,0)</f>
        <v/>
      </c>
      <c r="E439" s="60">
        <f>VLOOKUP(Table_1[[#This Row],[AÇÕES]],'Classificação B3'!A:F,6,0)</f>
        <v/>
      </c>
      <c r="F439" s="60">
        <f>VLOOKUP(Table_1[[#This Row],[AÇÕES]],'Classificação B3'!A:G,7,0)</f>
        <v/>
      </c>
      <c r="G439" s="61">
        <f>VLOOKUP(Table_1[[#This Row],[AÇÕES]],'Dados Status Invest'!A:B,2,0)</f>
        <v/>
      </c>
      <c r="H439" s="62">
        <f>VLOOKUP(Table_1[[#This Row],[AÇÕES]],'Dados Status Invest'!A:C,3,0)/100</f>
        <v/>
      </c>
      <c r="I439" s="62">
        <f>VLOOKUP(Table_1[[#This Row],[AÇÕES]],'Dados Status Invest'!A:D,4,0)/100</f>
        <v/>
      </c>
      <c r="J439" s="63">
        <f>VLOOKUP(Table_1[[#This Row],[AÇÕES]],'Dados Status Invest'!A:AB,28,0)</f>
        <v/>
      </c>
      <c r="K439" s="63">
        <f>VLOOKUP(Table_1[[#This Row],[AÇÕES]],'Dados Status Invest'!A:AA,27,0)</f>
        <v/>
      </c>
      <c r="L439" s="63">
        <f>Table_1[[#This Row],[PREÇO]]*Table_1[[#This Row],[DY]]</f>
        <v/>
      </c>
      <c r="M439" s="62">
        <f>$E$13</f>
        <v/>
      </c>
      <c r="N439" s="62" t="n">
        <v>0.3</v>
      </c>
      <c r="O439" s="62">
        <f>Table_1[[#This Row],[DPA]]/Table_1[[#This Row],[LPA]]</f>
        <v/>
      </c>
      <c r="P439" s="62">
        <f>IF(Table_1[[#This Row],[PAYOUT]]&lt;=40%,"CRESCIMENTO",IF(Table_1[[#This Row],[PAYOUT]]&lt;=60%,"INDEFINIDO","DIVIDENDOS"))</f>
        <v/>
      </c>
      <c r="Q439" s="62">
        <f>VLOOKUP(Table_1[[#This Row],[AÇÕES]],'Dados Status Invest'!A:R,18,0)/100</f>
        <v/>
      </c>
      <c r="R439" s="62">
        <f>VLOOKUP(Table_1[[#This Row],[AÇÕES]],'Dados Status Invest'!A:Y,25,0)/100</f>
        <v/>
      </c>
      <c r="S439" s="62">
        <f>(1-Table_1[[#This Row],[PAYOUT]])*Table_1[[#This Row],[ROE]]</f>
        <v/>
      </c>
      <c r="T439" s="98">
        <f>AVERAGE(Table_1[[#This Row],[CAGR LUCRO 5A]],Table_1[[#This Row],[CRESCIMENTO DAMODARAN]])</f>
        <v/>
      </c>
      <c r="U439" s="64">
        <f>(Table_1[[#This Row],[PREÇO JUSTO BAZIN]]-Table_1[[#This Row],[PREÇO]])/Table_1[[#This Row],[PREÇO JUSTO BAZIN]]</f>
        <v/>
      </c>
      <c r="V439" s="129">
        <f>Table_1[[#This Row],[DPA]]/6%</f>
        <v/>
      </c>
      <c r="W439" s="129">
        <f>Table_1[[#This Row],[PREÇO JUSTO BAZIN]]/(1+Table_1[[#This Row],[MARGEM DE DESCONTO]])</f>
        <v/>
      </c>
      <c r="X439" s="64">
        <f>(Table_1[[#This Row],[PREÇO JUSTO GRAHAM]]-Table_1[[#This Row],[PREÇO]])/Table_1[[#This Row],[PREÇO JUSTO GRAHAM]]</f>
        <v/>
      </c>
      <c r="Y439" s="129">
        <f>(22.5*Table_1[[#This Row],[LPA]]*Table_1[[#This Row],[VPA]])^0.5</f>
        <v/>
      </c>
      <c r="Z439" s="129">
        <f>Table_1[[#This Row],[PREÇO JUSTO GRAHAM]]/(1+Table_1[[#This Row],[MARGEM DE DESCONTO]])</f>
        <v/>
      </c>
      <c r="AA439" s="64">
        <f>(Table_1[[#This Row],[PREÇO JUSTO GORDON]]-Table_1[[#This Row],[PREÇO]])/Table_1[[#This Row],[PREÇO JUSTO GORDON]]</f>
        <v/>
      </c>
      <c r="AB439" s="130">
        <f>Table_1[[#This Row],[DPA]]*(1+Table_1[[#This Row],[MÉDIA DE CRESCIMENTO]])</f>
        <v/>
      </c>
      <c r="AC439" s="130">
        <f>Table_1[[#This Row],[D1]]/(Table_1[[#This Row],[RISCO]]-Table_1[[#This Row],[MÉDIA DE CRESCIMENTO]])</f>
        <v/>
      </c>
      <c r="AD439" s="130">
        <f>Table_1[[#This Row],[PREÇO JUSTO GORDON]]/(1+Table_1[[#This Row],[MARGEM DE DESCONTO]])</f>
        <v/>
      </c>
      <c r="AE439" s="78">
        <f>Table_1[[#This Row],[P/L]]/Table_1[[#This Row],[MÉDIA DE CRESCIMENTO]]</f>
        <v/>
      </c>
    </row>
    <row r="440" ht="15.75" customHeight="1">
      <c r="B440" s="77">
        <f>'Dados Status Invest'!A426</f>
        <v/>
      </c>
      <c r="C440" s="60">
        <f>VLOOKUP(Table_1[[#This Row],[AÇÕES]],'Classificação B3'!A:B,2,0)</f>
        <v/>
      </c>
      <c r="D440" s="60">
        <f>VLOOKUP(Table_1[[#This Row],[AÇÕES]],'Classificação B3'!A:D,4,0)</f>
        <v/>
      </c>
      <c r="E440" s="60">
        <f>VLOOKUP(Table_1[[#This Row],[AÇÕES]],'Classificação B3'!A:F,6,0)</f>
        <v/>
      </c>
      <c r="F440" s="60">
        <f>VLOOKUP(Table_1[[#This Row],[AÇÕES]],'Classificação B3'!A:G,7,0)</f>
        <v/>
      </c>
      <c r="G440" s="61">
        <f>VLOOKUP(Table_1[[#This Row],[AÇÕES]],'Dados Status Invest'!A:B,2,0)</f>
        <v/>
      </c>
      <c r="H440" s="62">
        <f>VLOOKUP(Table_1[[#This Row],[AÇÕES]],'Dados Status Invest'!A:C,3,0)/100</f>
        <v/>
      </c>
      <c r="I440" s="62">
        <f>VLOOKUP(Table_1[[#This Row],[AÇÕES]],'Dados Status Invest'!A:D,4,0)/100</f>
        <v/>
      </c>
      <c r="J440" s="63">
        <f>VLOOKUP(Table_1[[#This Row],[AÇÕES]],'Dados Status Invest'!A:AB,28,0)</f>
        <v/>
      </c>
      <c r="K440" s="63">
        <f>VLOOKUP(Table_1[[#This Row],[AÇÕES]],'Dados Status Invest'!A:AA,27,0)</f>
        <v/>
      </c>
      <c r="L440" s="63">
        <f>Table_1[[#This Row],[PREÇO]]*Table_1[[#This Row],[DY]]</f>
        <v/>
      </c>
      <c r="M440" s="62">
        <f>$E$13</f>
        <v/>
      </c>
      <c r="N440" s="62" t="n">
        <v>0.3</v>
      </c>
      <c r="O440" s="62">
        <f>Table_1[[#This Row],[DPA]]/Table_1[[#This Row],[LPA]]</f>
        <v/>
      </c>
      <c r="P440" s="62">
        <f>IF(Table_1[[#This Row],[PAYOUT]]&lt;=40%,"CRESCIMENTO",IF(Table_1[[#This Row],[PAYOUT]]&lt;=60%,"INDEFINIDO","DIVIDENDOS"))</f>
        <v/>
      </c>
      <c r="Q440" s="62">
        <f>VLOOKUP(Table_1[[#This Row],[AÇÕES]],'Dados Status Invest'!A:R,18,0)/100</f>
        <v/>
      </c>
      <c r="R440" s="62">
        <f>VLOOKUP(Table_1[[#This Row],[AÇÕES]],'Dados Status Invest'!A:Y,25,0)/100</f>
        <v/>
      </c>
      <c r="S440" s="62">
        <f>(1-Table_1[[#This Row],[PAYOUT]])*Table_1[[#This Row],[ROE]]</f>
        <v/>
      </c>
      <c r="T440" s="98">
        <f>AVERAGE(Table_1[[#This Row],[CAGR LUCRO 5A]],Table_1[[#This Row],[CRESCIMENTO DAMODARAN]])</f>
        <v/>
      </c>
      <c r="U440" s="64">
        <f>(Table_1[[#This Row],[PREÇO JUSTO BAZIN]]-Table_1[[#This Row],[PREÇO]])/Table_1[[#This Row],[PREÇO JUSTO BAZIN]]</f>
        <v/>
      </c>
      <c r="V440" s="129">
        <f>Table_1[[#This Row],[DPA]]/6%</f>
        <v/>
      </c>
      <c r="W440" s="129">
        <f>Table_1[[#This Row],[PREÇO JUSTO BAZIN]]/(1+Table_1[[#This Row],[MARGEM DE DESCONTO]])</f>
        <v/>
      </c>
      <c r="X440" s="64">
        <f>(Table_1[[#This Row],[PREÇO JUSTO GRAHAM]]-Table_1[[#This Row],[PREÇO]])/Table_1[[#This Row],[PREÇO JUSTO GRAHAM]]</f>
        <v/>
      </c>
      <c r="Y440" s="129">
        <f>(22.5*Table_1[[#This Row],[LPA]]*Table_1[[#This Row],[VPA]])^0.5</f>
        <v/>
      </c>
      <c r="Z440" s="129">
        <f>Table_1[[#This Row],[PREÇO JUSTO GRAHAM]]/(1+Table_1[[#This Row],[MARGEM DE DESCONTO]])</f>
        <v/>
      </c>
      <c r="AA440" s="64">
        <f>(Table_1[[#This Row],[PREÇO JUSTO GORDON]]-Table_1[[#This Row],[PREÇO]])/Table_1[[#This Row],[PREÇO JUSTO GORDON]]</f>
        <v/>
      </c>
      <c r="AB440" s="130">
        <f>Table_1[[#This Row],[DPA]]*(1+Table_1[[#This Row],[MÉDIA DE CRESCIMENTO]])</f>
        <v/>
      </c>
      <c r="AC440" s="130">
        <f>Table_1[[#This Row],[D1]]/(Table_1[[#This Row],[RISCO]]-Table_1[[#This Row],[MÉDIA DE CRESCIMENTO]])</f>
        <v/>
      </c>
      <c r="AD440" s="130">
        <f>Table_1[[#This Row],[PREÇO JUSTO GORDON]]/(1+Table_1[[#This Row],[MARGEM DE DESCONTO]])</f>
        <v/>
      </c>
      <c r="AE440" s="78">
        <f>Table_1[[#This Row],[P/L]]/Table_1[[#This Row],[MÉDIA DE CRESCIMENTO]]</f>
        <v/>
      </c>
    </row>
    <row r="441" ht="15.75" customHeight="1">
      <c r="B441" s="77">
        <f>'Dados Status Invest'!A427</f>
        <v/>
      </c>
      <c r="C441" s="60">
        <f>VLOOKUP(Table_1[[#This Row],[AÇÕES]],'Classificação B3'!A:B,2,0)</f>
        <v/>
      </c>
      <c r="D441" s="60">
        <f>VLOOKUP(Table_1[[#This Row],[AÇÕES]],'Classificação B3'!A:D,4,0)</f>
        <v/>
      </c>
      <c r="E441" s="60">
        <f>VLOOKUP(Table_1[[#This Row],[AÇÕES]],'Classificação B3'!A:F,6,0)</f>
        <v/>
      </c>
      <c r="F441" s="60">
        <f>VLOOKUP(Table_1[[#This Row],[AÇÕES]],'Classificação B3'!A:G,7,0)</f>
        <v/>
      </c>
      <c r="G441" s="61">
        <f>VLOOKUP(Table_1[[#This Row],[AÇÕES]],'Dados Status Invest'!A:B,2,0)</f>
        <v/>
      </c>
      <c r="H441" s="62">
        <f>VLOOKUP(Table_1[[#This Row],[AÇÕES]],'Dados Status Invest'!A:C,3,0)/100</f>
        <v/>
      </c>
      <c r="I441" s="62">
        <f>VLOOKUP(Table_1[[#This Row],[AÇÕES]],'Dados Status Invest'!A:D,4,0)/100</f>
        <v/>
      </c>
      <c r="J441" s="63">
        <f>VLOOKUP(Table_1[[#This Row],[AÇÕES]],'Dados Status Invest'!A:AB,28,0)</f>
        <v/>
      </c>
      <c r="K441" s="63">
        <f>VLOOKUP(Table_1[[#This Row],[AÇÕES]],'Dados Status Invest'!A:AA,27,0)</f>
        <v/>
      </c>
      <c r="L441" s="63">
        <f>Table_1[[#This Row],[PREÇO]]*Table_1[[#This Row],[DY]]</f>
        <v/>
      </c>
      <c r="M441" s="62">
        <f>$E$13</f>
        <v/>
      </c>
      <c r="N441" s="62" t="n">
        <v>0.3</v>
      </c>
      <c r="O441" s="62">
        <f>Table_1[[#This Row],[DPA]]/Table_1[[#This Row],[LPA]]</f>
        <v/>
      </c>
      <c r="P441" s="62">
        <f>IF(Table_1[[#This Row],[PAYOUT]]&lt;=40%,"CRESCIMENTO",IF(Table_1[[#This Row],[PAYOUT]]&lt;=60%,"INDEFINIDO","DIVIDENDOS"))</f>
        <v/>
      </c>
      <c r="Q441" s="62">
        <f>VLOOKUP(Table_1[[#This Row],[AÇÕES]],'Dados Status Invest'!A:R,18,0)/100</f>
        <v/>
      </c>
      <c r="R441" s="62">
        <f>VLOOKUP(Table_1[[#This Row],[AÇÕES]],'Dados Status Invest'!A:Y,25,0)/100</f>
        <v/>
      </c>
      <c r="S441" s="62">
        <f>(1-Table_1[[#This Row],[PAYOUT]])*Table_1[[#This Row],[ROE]]</f>
        <v/>
      </c>
      <c r="T441" s="98">
        <f>AVERAGE(Table_1[[#This Row],[CAGR LUCRO 5A]],Table_1[[#This Row],[CRESCIMENTO DAMODARAN]])</f>
        <v/>
      </c>
      <c r="U441" s="64">
        <f>(Table_1[[#This Row],[PREÇO JUSTO BAZIN]]-Table_1[[#This Row],[PREÇO]])/Table_1[[#This Row],[PREÇO JUSTO BAZIN]]</f>
        <v/>
      </c>
      <c r="V441" s="129">
        <f>Table_1[[#This Row],[DPA]]/6%</f>
        <v/>
      </c>
      <c r="W441" s="129">
        <f>Table_1[[#This Row],[PREÇO JUSTO BAZIN]]/(1+Table_1[[#This Row],[MARGEM DE DESCONTO]])</f>
        <v/>
      </c>
      <c r="X441" s="64">
        <f>(Table_1[[#This Row],[PREÇO JUSTO GRAHAM]]-Table_1[[#This Row],[PREÇO]])/Table_1[[#This Row],[PREÇO JUSTO GRAHAM]]</f>
        <v/>
      </c>
      <c r="Y441" s="129">
        <f>(22.5*Table_1[[#This Row],[LPA]]*Table_1[[#This Row],[VPA]])^0.5</f>
        <v/>
      </c>
      <c r="Z441" s="129">
        <f>Table_1[[#This Row],[PREÇO JUSTO GRAHAM]]/(1+Table_1[[#This Row],[MARGEM DE DESCONTO]])</f>
        <v/>
      </c>
      <c r="AA441" s="64">
        <f>(Table_1[[#This Row],[PREÇO JUSTO GORDON]]-Table_1[[#This Row],[PREÇO]])/Table_1[[#This Row],[PREÇO JUSTO GORDON]]</f>
        <v/>
      </c>
      <c r="AB441" s="130">
        <f>Table_1[[#This Row],[DPA]]*(1+Table_1[[#This Row],[MÉDIA DE CRESCIMENTO]])</f>
        <v/>
      </c>
      <c r="AC441" s="130">
        <f>Table_1[[#This Row],[D1]]/(Table_1[[#This Row],[RISCO]]-Table_1[[#This Row],[MÉDIA DE CRESCIMENTO]])</f>
        <v/>
      </c>
      <c r="AD441" s="130">
        <f>Table_1[[#This Row],[PREÇO JUSTO GORDON]]/(1+Table_1[[#This Row],[MARGEM DE DESCONTO]])</f>
        <v/>
      </c>
      <c r="AE441" s="78">
        <f>Table_1[[#This Row],[P/L]]/Table_1[[#This Row],[MÉDIA DE CRESCIMENTO]]</f>
        <v/>
      </c>
    </row>
    <row r="442" ht="15.75" customHeight="1">
      <c r="B442" s="77">
        <f>'Dados Status Invest'!A428</f>
        <v/>
      </c>
      <c r="C442" s="60">
        <f>VLOOKUP(Table_1[[#This Row],[AÇÕES]],'Classificação B3'!A:B,2,0)</f>
        <v/>
      </c>
      <c r="D442" s="60">
        <f>VLOOKUP(Table_1[[#This Row],[AÇÕES]],'Classificação B3'!A:D,4,0)</f>
        <v/>
      </c>
      <c r="E442" s="60">
        <f>VLOOKUP(Table_1[[#This Row],[AÇÕES]],'Classificação B3'!A:F,6,0)</f>
        <v/>
      </c>
      <c r="F442" s="60">
        <f>VLOOKUP(Table_1[[#This Row],[AÇÕES]],'Classificação B3'!A:G,7,0)</f>
        <v/>
      </c>
      <c r="G442" s="61">
        <f>VLOOKUP(Table_1[[#This Row],[AÇÕES]],'Dados Status Invest'!A:B,2,0)</f>
        <v/>
      </c>
      <c r="H442" s="62">
        <f>VLOOKUP(Table_1[[#This Row],[AÇÕES]],'Dados Status Invest'!A:C,3,0)/100</f>
        <v/>
      </c>
      <c r="I442" s="62">
        <f>VLOOKUP(Table_1[[#This Row],[AÇÕES]],'Dados Status Invest'!A:D,4,0)/100</f>
        <v/>
      </c>
      <c r="J442" s="63">
        <f>VLOOKUP(Table_1[[#This Row],[AÇÕES]],'Dados Status Invest'!A:AB,28,0)</f>
        <v/>
      </c>
      <c r="K442" s="63">
        <f>VLOOKUP(Table_1[[#This Row],[AÇÕES]],'Dados Status Invest'!A:AA,27,0)</f>
        <v/>
      </c>
      <c r="L442" s="63">
        <f>Table_1[[#This Row],[PREÇO]]*Table_1[[#This Row],[DY]]</f>
        <v/>
      </c>
      <c r="M442" s="62">
        <f>$E$13</f>
        <v/>
      </c>
      <c r="N442" s="62" t="n">
        <v>0.3</v>
      </c>
      <c r="O442" s="62">
        <f>Table_1[[#This Row],[DPA]]/Table_1[[#This Row],[LPA]]</f>
        <v/>
      </c>
      <c r="P442" s="62">
        <f>IF(Table_1[[#This Row],[PAYOUT]]&lt;=40%,"CRESCIMENTO",IF(Table_1[[#This Row],[PAYOUT]]&lt;=60%,"INDEFINIDO","DIVIDENDOS"))</f>
        <v/>
      </c>
      <c r="Q442" s="62">
        <f>VLOOKUP(Table_1[[#This Row],[AÇÕES]],'Dados Status Invest'!A:R,18,0)/100</f>
        <v/>
      </c>
      <c r="R442" s="62">
        <f>VLOOKUP(Table_1[[#This Row],[AÇÕES]],'Dados Status Invest'!A:Y,25,0)/100</f>
        <v/>
      </c>
      <c r="S442" s="62">
        <f>(1-Table_1[[#This Row],[PAYOUT]])*Table_1[[#This Row],[ROE]]</f>
        <v/>
      </c>
      <c r="T442" s="98">
        <f>AVERAGE(Table_1[[#This Row],[CAGR LUCRO 5A]],Table_1[[#This Row],[CRESCIMENTO DAMODARAN]])</f>
        <v/>
      </c>
      <c r="U442" s="64">
        <f>(Table_1[[#This Row],[PREÇO JUSTO BAZIN]]-Table_1[[#This Row],[PREÇO]])/Table_1[[#This Row],[PREÇO JUSTO BAZIN]]</f>
        <v/>
      </c>
      <c r="V442" s="129">
        <f>Table_1[[#This Row],[DPA]]/6%</f>
        <v/>
      </c>
      <c r="W442" s="129">
        <f>Table_1[[#This Row],[PREÇO JUSTO BAZIN]]/(1+Table_1[[#This Row],[MARGEM DE DESCONTO]])</f>
        <v/>
      </c>
      <c r="X442" s="64">
        <f>(Table_1[[#This Row],[PREÇO JUSTO GRAHAM]]-Table_1[[#This Row],[PREÇO]])/Table_1[[#This Row],[PREÇO JUSTO GRAHAM]]</f>
        <v/>
      </c>
      <c r="Y442" s="129">
        <f>(22.5*Table_1[[#This Row],[LPA]]*Table_1[[#This Row],[VPA]])^0.5</f>
        <v/>
      </c>
      <c r="Z442" s="129">
        <f>Table_1[[#This Row],[PREÇO JUSTO GRAHAM]]/(1+Table_1[[#This Row],[MARGEM DE DESCONTO]])</f>
        <v/>
      </c>
      <c r="AA442" s="64">
        <f>(Table_1[[#This Row],[PREÇO JUSTO GORDON]]-Table_1[[#This Row],[PREÇO]])/Table_1[[#This Row],[PREÇO JUSTO GORDON]]</f>
        <v/>
      </c>
      <c r="AB442" s="130">
        <f>Table_1[[#This Row],[DPA]]*(1+Table_1[[#This Row],[MÉDIA DE CRESCIMENTO]])</f>
        <v/>
      </c>
      <c r="AC442" s="130">
        <f>Table_1[[#This Row],[D1]]/(Table_1[[#This Row],[RISCO]]-Table_1[[#This Row],[MÉDIA DE CRESCIMENTO]])</f>
        <v/>
      </c>
      <c r="AD442" s="130">
        <f>Table_1[[#This Row],[PREÇO JUSTO GORDON]]/(1+Table_1[[#This Row],[MARGEM DE DESCONTO]])</f>
        <v/>
      </c>
      <c r="AE442" s="78">
        <f>Table_1[[#This Row],[P/L]]/Table_1[[#This Row],[MÉDIA DE CRESCIMENTO]]</f>
        <v/>
      </c>
    </row>
    <row r="443" ht="15.75" customHeight="1">
      <c r="B443" s="77">
        <f>'Dados Status Invest'!A429</f>
        <v/>
      </c>
      <c r="C443" s="60">
        <f>VLOOKUP(Table_1[[#This Row],[AÇÕES]],'Classificação B3'!A:B,2,0)</f>
        <v/>
      </c>
      <c r="D443" s="60">
        <f>VLOOKUP(Table_1[[#This Row],[AÇÕES]],'Classificação B3'!A:D,4,0)</f>
        <v/>
      </c>
      <c r="E443" s="60">
        <f>VLOOKUP(Table_1[[#This Row],[AÇÕES]],'Classificação B3'!A:F,6,0)</f>
        <v/>
      </c>
      <c r="F443" s="60">
        <f>VLOOKUP(Table_1[[#This Row],[AÇÕES]],'Classificação B3'!A:G,7,0)</f>
        <v/>
      </c>
      <c r="G443" s="61">
        <f>VLOOKUP(Table_1[[#This Row],[AÇÕES]],'Dados Status Invest'!A:B,2,0)</f>
        <v/>
      </c>
      <c r="H443" s="62">
        <f>VLOOKUP(Table_1[[#This Row],[AÇÕES]],'Dados Status Invest'!A:C,3,0)/100</f>
        <v/>
      </c>
      <c r="I443" s="62">
        <f>VLOOKUP(Table_1[[#This Row],[AÇÕES]],'Dados Status Invest'!A:D,4,0)/100</f>
        <v/>
      </c>
      <c r="J443" s="63">
        <f>VLOOKUP(Table_1[[#This Row],[AÇÕES]],'Dados Status Invest'!A:AB,28,0)</f>
        <v/>
      </c>
      <c r="K443" s="63">
        <f>VLOOKUP(Table_1[[#This Row],[AÇÕES]],'Dados Status Invest'!A:AA,27,0)</f>
        <v/>
      </c>
      <c r="L443" s="63">
        <f>Table_1[[#This Row],[PREÇO]]*Table_1[[#This Row],[DY]]</f>
        <v/>
      </c>
      <c r="M443" s="62">
        <f>$E$13</f>
        <v/>
      </c>
      <c r="N443" s="62" t="n">
        <v>0.3</v>
      </c>
      <c r="O443" s="62">
        <f>Table_1[[#This Row],[DPA]]/Table_1[[#This Row],[LPA]]</f>
        <v/>
      </c>
      <c r="P443" s="62">
        <f>IF(Table_1[[#This Row],[PAYOUT]]&lt;=40%,"CRESCIMENTO",IF(Table_1[[#This Row],[PAYOUT]]&lt;=60%,"INDEFINIDO","DIVIDENDOS"))</f>
        <v/>
      </c>
      <c r="Q443" s="62">
        <f>VLOOKUP(Table_1[[#This Row],[AÇÕES]],'Dados Status Invest'!A:R,18,0)/100</f>
        <v/>
      </c>
      <c r="R443" s="62">
        <f>VLOOKUP(Table_1[[#This Row],[AÇÕES]],'Dados Status Invest'!A:Y,25,0)/100</f>
        <v/>
      </c>
      <c r="S443" s="62">
        <f>(1-Table_1[[#This Row],[PAYOUT]])*Table_1[[#This Row],[ROE]]</f>
        <v/>
      </c>
      <c r="T443" s="98">
        <f>AVERAGE(Table_1[[#This Row],[CAGR LUCRO 5A]],Table_1[[#This Row],[CRESCIMENTO DAMODARAN]])</f>
        <v/>
      </c>
      <c r="U443" s="64">
        <f>(Table_1[[#This Row],[PREÇO JUSTO BAZIN]]-Table_1[[#This Row],[PREÇO]])/Table_1[[#This Row],[PREÇO JUSTO BAZIN]]</f>
        <v/>
      </c>
      <c r="V443" s="129">
        <f>Table_1[[#This Row],[DPA]]/6%</f>
        <v/>
      </c>
      <c r="W443" s="129">
        <f>Table_1[[#This Row],[PREÇO JUSTO BAZIN]]/(1+Table_1[[#This Row],[MARGEM DE DESCONTO]])</f>
        <v/>
      </c>
      <c r="X443" s="64">
        <f>(Table_1[[#This Row],[PREÇO JUSTO GRAHAM]]-Table_1[[#This Row],[PREÇO]])/Table_1[[#This Row],[PREÇO JUSTO GRAHAM]]</f>
        <v/>
      </c>
      <c r="Y443" s="129">
        <f>(22.5*Table_1[[#This Row],[LPA]]*Table_1[[#This Row],[VPA]])^0.5</f>
        <v/>
      </c>
      <c r="Z443" s="129">
        <f>Table_1[[#This Row],[PREÇO JUSTO GRAHAM]]/(1+Table_1[[#This Row],[MARGEM DE DESCONTO]])</f>
        <v/>
      </c>
      <c r="AA443" s="64">
        <f>(Table_1[[#This Row],[PREÇO JUSTO GORDON]]-Table_1[[#This Row],[PREÇO]])/Table_1[[#This Row],[PREÇO JUSTO GORDON]]</f>
        <v/>
      </c>
      <c r="AB443" s="130">
        <f>Table_1[[#This Row],[DPA]]*(1+Table_1[[#This Row],[MÉDIA DE CRESCIMENTO]])</f>
        <v/>
      </c>
      <c r="AC443" s="130">
        <f>Table_1[[#This Row],[D1]]/(Table_1[[#This Row],[RISCO]]-Table_1[[#This Row],[MÉDIA DE CRESCIMENTO]])</f>
        <v/>
      </c>
      <c r="AD443" s="130">
        <f>Table_1[[#This Row],[PREÇO JUSTO GORDON]]/(1+Table_1[[#This Row],[MARGEM DE DESCONTO]])</f>
        <v/>
      </c>
      <c r="AE443" s="78">
        <f>Table_1[[#This Row],[P/L]]/Table_1[[#This Row],[MÉDIA DE CRESCIMENTO]]</f>
        <v/>
      </c>
    </row>
    <row r="444" ht="15.75" customHeight="1">
      <c r="B444" s="77">
        <f>'Dados Status Invest'!A430</f>
        <v/>
      </c>
      <c r="C444" s="60">
        <f>VLOOKUP(Table_1[[#This Row],[AÇÕES]],'Classificação B3'!A:B,2,0)</f>
        <v/>
      </c>
      <c r="D444" s="60">
        <f>VLOOKUP(Table_1[[#This Row],[AÇÕES]],'Classificação B3'!A:D,4,0)</f>
        <v/>
      </c>
      <c r="E444" s="60">
        <f>VLOOKUP(Table_1[[#This Row],[AÇÕES]],'Classificação B3'!A:F,6,0)</f>
        <v/>
      </c>
      <c r="F444" s="60">
        <f>VLOOKUP(Table_1[[#This Row],[AÇÕES]],'Classificação B3'!A:G,7,0)</f>
        <v/>
      </c>
      <c r="G444" s="61">
        <f>VLOOKUP(Table_1[[#This Row],[AÇÕES]],'Dados Status Invest'!A:B,2,0)</f>
        <v/>
      </c>
      <c r="H444" s="62">
        <f>VLOOKUP(Table_1[[#This Row],[AÇÕES]],'Dados Status Invest'!A:C,3,0)/100</f>
        <v/>
      </c>
      <c r="I444" s="62">
        <f>VLOOKUP(Table_1[[#This Row],[AÇÕES]],'Dados Status Invest'!A:D,4,0)/100</f>
        <v/>
      </c>
      <c r="J444" s="63">
        <f>VLOOKUP(Table_1[[#This Row],[AÇÕES]],'Dados Status Invest'!A:AB,28,0)</f>
        <v/>
      </c>
      <c r="K444" s="63">
        <f>VLOOKUP(Table_1[[#This Row],[AÇÕES]],'Dados Status Invest'!A:AA,27,0)</f>
        <v/>
      </c>
      <c r="L444" s="63">
        <f>Table_1[[#This Row],[PREÇO]]*Table_1[[#This Row],[DY]]</f>
        <v/>
      </c>
      <c r="M444" s="62">
        <f>$E$13</f>
        <v/>
      </c>
      <c r="N444" s="62" t="n">
        <v>0.3</v>
      </c>
      <c r="O444" s="62">
        <f>Table_1[[#This Row],[DPA]]/Table_1[[#This Row],[LPA]]</f>
        <v/>
      </c>
      <c r="P444" s="62">
        <f>IF(Table_1[[#This Row],[PAYOUT]]&lt;=40%,"CRESCIMENTO",IF(Table_1[[#This Row],[PAYOUT]]&lt;=60%,"INDEFINIDO","DIVIDENDOS"))</f>
        <v/>
      </c>
      <c r="Q444" s="62">
        <f>VLOOKUP(Table_1[[#This Row],[AÇÕES]],'Dados Status Invest'!A:R,18,0)/100</f>
        <v/>
      </c>
      <c r="R444" s="62">
        <f>VLOOKUP(Table_1[[#This Row],[AÇÕES]],'Dados Status Invest'!A:Y,25,0)/100</f>
        <v/>
      </c>
      <c r="S444" s="62">
        <f>(1-Table_1[[#This Row],[PAYOUT]])*Table_1[[#This Row],[ROE]]</f>
        <v/>
      </c>
      <c r="T444" s="98">
        <f>AVERAGE(Table_1[[#This Row],[CAGR LUCRO 5A]],Table_1[[#This Row],[CRESCIMENTO DAMODARAN]])</f>
        <v/>
      </c>
      <c r="U444" s="64">
        <f>(Table_1[[#This Row],[PREÇO JUSTO BAZIN]]-Table_1[[#This Row],[PREÇO]])/Table_1[[#This Row],[PREÇO JUSTO BAZIN]]</f>
        <v/>
      </c>
      <c r="V444" s="129">
        <f>Table_1[[#This Row],[DPA]]/6%</f>
        <v/>
      </c>
      <c r="W444" s="129">
        <f>Table_1[[#This Row],[PREÇO JUSTO BAZIN]]/(1+Table_1[[#This Row],[MARGEM DE DESCONTO]])</f>
        <v/>
      </c>
      <c r="X444" s="64">
        <f>(Table_1[[#This Row],[PREÇO JUSTO GRAHAM]]-Table_1[[#This Row],[PREÇO]])/Table_1[[#This Row],[PREÇO JUSTO GRAHAM]]</f>
        <v/>
      </c>
      <c r="Y444" s="129">
        <f>(22.5*Table_1[[#This Row],[LPA]]*Table_1[[#This Row],[VPA]])^0.5</f>
        <v/>
      </c>
      <c r="Z444" s="129">
        <f>Table_1[[#This Row],[PREÇO JUSTO GRAHAM]]/(1+Table_1[[#This Row],[MARGEM DE DESCONTO]])</f>
        <v/>
      </c>
      <c r="AA444" s="64">
        <f>(Table_1[[#This Row],[PREÇO JUSTO GORDON]]-Table_1[[#This Row],[PREÇO]])/Table_1[[#This Row],[PREÇO JUSTO GORDON]]</f>
        <v/>
      </c>
      <c r="AB444" s="130">
        <f>Table_1[[#This Row],[DPA]]*(1+Table_1[[#This Row],[MÉDIA DE CRESCIMENTO]])</f>
        <v/>
      </c>
      <c r="AC444" s="130">
        <f>Table_1[[#This Row],[D1]]/(Table_1[[#This Row],[RISCO]]-Table_1[[#This Row],[MÉDIA DE CRESCIMENTO]])</f>
        <v/>
      </c>
      <c r="AD444" s="130">
        <f>Table_1[[#This Row],[PREÇO JUSTO GORDON]]/(1+Table_1[[#This Row],[MARGEM DE DESCONTO]])</f>
        <v/>
      </c>
      <c r="AE444" s="78">
        <f>Table_1[[#This Row],[P/L]]/Table_1[[#This Row],[MÉDIA DE CRESCIMENTO]]</f>
        <v/>
      </c>
    </row>
    <row r="445" ht="15.75" customHeight="1">
      <c r="B445" s="77">
        <f>'Dados Status Invest'!A431</f>
        <v/>
      </c>
      <c r="C445" s="60">
        <f>VLOOKUP(Table_1[[#This Row],[AÇÕES]],'Classificação B3'!A:B,2,0)</f>
        <v/>
      </c>
      <c r="D445" s="60">
        <f>VLOOKUP(Table_1[[#This Row],[AÇÕES]],'Classificação B3'!A:D,4,0)</f>
        <v/>
      </c>
      <c r="E445" s="60">
        <f>VLOOKUP(Table_1[[#This Row],[AÇÕES]],'Classificação B3'!A:F,6,0)</f>
        <v/>
      </c>
      <c r="F445" s="60">
        <f>VLOOKUP(Table_1[[#This Row],[AÇÕES]],'Classificação B3'!A:G,7,0)</f>
        <v/>
      </c>
      <c r="G445" s="61">
        <f>VLOOKUP(Table_1[[#This Row],[AÇÕES]],'Dados Status Invest'!A:B,2,0)</f>
        <v/>
      </c>
      <c r="H445" s="62">
        <f>VLOOKUP(Table_1[[#This Row],[AÇÕES]],'Dados Status Invest'!A:C,3,0)/100</f>
        <v/>
      </c>
      <c r="I445" s="62">
        <f>VLOOKUP(Table_1[[#This Row],[AÇÕES]],'Dados Status Invest'!A:D,4,0)/100</f>
        <v/>
      </c>
      <c r="J445" s="63">
        <f>VLOOKUP(Table_1[[#This Row],[AÇÕES]],'Dados Status Invest'!A:AB,28,0)</f>
        <v/>
      </c>
      <c r="K445" s="63">
        <f>VLOOKUP(Table_1[[#This Row],[AÇÕES]],'Dados Status Invest'!A:AA,27,0)</f>
        <v/>
      </c>
      <c r="L445" s="63">
        <f>Table_1[[#This Row],[PREÇO]]*Table_1[[#This Row],[DY]]</f>
        <v/>
      </c>
      <c r="M445" s="62">
        <f>$E$13</f>
        <v/>
      </c>
      <c r="N445" s="62" t="n">
        <v>0.3</v>
      </c>
      <c r="O445" s="62">
        <f>Table_1[[#This Row],[DPA]]/Table_1[[#This Row],[LPA]]</f>
        <v/>
      </c>
      <c r="P445" s="62">
        <f>IF(Table_1[[#This Row],[PAYOUT]]&lt;=40%,"CRESCIMENTO",IF(Table_1[[#This Row],[PAYOUT]]&lt;=60%,"INDEFINIDO","DIVIDENDOS"))</f>
        <v/>
      </c>
      <c r="Q445" s="62">
        <f>VLOOKUP(Table_1[[#This Row],[AÇÕES]],'Dados Status Invest'!A:R,18,0)/100</f>
        <v/>
      </c>
      <c r="R445" s="62">
        <f>VLOOKUP(Table_1[[#This Row],[AÇÕES]],'Dados Status Invest'!A:Y,25,0)/100</f>
        <v/>
      </c>
      <c r="S445" s="62">
        <f>(1-Table_1[[#This Row],[PAYOUT]])*Table_1[[#This Row],[ROE]]</f>
        <v/>
      </c>
      <c r="T445" s="98">
        <f>AVERAGE(Table_1[[#This Row],[CAGR LUCRO 5A]],Table_1[[#This Row],[CRESCIMENTO DAMODARAN]])</f>
        <v/>
      </c>
      <c r="U445" s="64">
        <f>(Table_1[[#This Row],[PREÇO JUSTO BAZIN]]-Table_1[[#This Row],[PREÇO]])/Table_1[[#This Row],[PREÇO JUSTO BAZIN]]</f>
        <v/>
      </c>
      <c r="V445" s="129">
        <f>Table_1[[#This Row],[DPA]]/6%</f>
        <v/>
      </c>
      <c r="W445" s="129">
        <f>Table_1[[#This Row],[PREÇO JUSTO BAZIN]]/(1+Table_1[[#This Row],[MARGEM DE DESCONTO]])</f>
        <v/>
      </c>
      <c r="X445" s="64">
        <f>(Table_1[[#This Row],[PREÇO JUSTO GRAHAM]]-Table_1[[#This Row],[PREÇO]])/Table_1[[#This Row],[PREÇO JUSTO GRAHAM]]</f>
        <v/>
      </c>
      <c r="Y445" s="129">
        <f>(22.5*Table_1[[#This Row],[LPA]]*Table_1[[#This Row],[VPA]])^0.5</f>
        <v/>
      </c>
      <c r="Z445" s="129">
        <f>Table_1[[#This Row],[PREÇO JUSTO GRAHAM]]/(1+Table_1[[#This Row],[MARGEM DE DESCONTO]])</f>
        <v/>
      </c>
      <c r="AA445" s="64">
        <f>(Table_1[[#This Row],[PREÇO JUSTO GORDON]]-Table_1[[#This Row],[PREÇO]])/Table_1[[#This Row],[PREÇO JUSTO GORDON]]</f>
        <v/>
      </c>
      <c r="AB445" s="130">
        <f>Table_1[[#This Row],[DPA]]*(1+Table_1[[#This Row],[MÉDIA DE CRESCIMENTO]])</f>
        <v/>
      </c>
      <c r="AC445" s="130">
        <f>Table_1[[#This Row],[D1]]/(Table_1[[#This Row],[RISCO]]-Table_1[[#This Row],[MÉDIA DE CRESCIMENTO]])</f>
        <v/>
      </c>
      <c r="AD445" s="130">
        <f>Table_1[[#This Row],[PREÇO JUSTO GORDON]]/(1+Table_1[[#This Row],[MARGEM DE DESCONTO]])</f>
        <v/>
      </c>
      <c r="AE445" s="78">
        <f>Table_1[[#This Row],[P/L]]/Table_1[[#This Row],[MÉDIA DE CRESCIMENTO]]</f>
        <v/>
      </c>
    </row>
    <row r="446" ht="15.75" customHeight="1">
      <c r="B446" s="77">
        <f>'Dados Status Invest'!A432</f>
        <v/>
      </c>
      <c r="C446" s="60">
        <f>VLOOKUP(Table_1[[#This Row],[AÇÕES]],'Classificação B3'!A:B,2,0)</f>
        <v/>
      </c>
      <c r="D446" s="60">
        <f>VLOOKUP(Table_1[[#This Row],[AÇÕES]],'Classificação B3'!A:D,4,0)</f>
        <v/>
      </c>
      <c r="E446" s="60">
        <f>VLOOKUP(Table_1[[#This Row],[AÇÕES]],'Classificação B3'!A:F,6,0)</f>
        <v/>
      </c>
      <c r="F446" s="60">
        <f>VLOOKUP(Table_1[[#This Row],[AÇÕES]],'Classificação B3'!A:G,7,0)</f>
        <v/>
      </c>
      <c r="G446" s="61">
        <f>VLOOKUP(Table_1[[#This Row],[AÇÕES]],'Dados Status Invest'!A:B,2,0)</f>
        <v/>
      </c>
      <c r="H446" s="62">
        <f>VLOOKUP(Table_1[[#This Row],[AÇÕES]],'Dados Status Invest'!A:C,3,0)/100</f>
        <v/>
      </c>
      <c r="I446" s="62">
        <f>VLOOKUP(Table_1[[#This Row],[AÇÕES]],'Dados Status Invest'!A:D,4,0)/100</f>
        <v/>
      </c>
      <c r="J446" s="63">
        <f>VLOOKUP(Table_1[[#This Row],[AÇÕES]],'Dados Status Invest'!A:AB,28,0)</f>
        <v/>
      </c>
      <c r="K446" s="63">
        <f>VLOOKUP(Table_1[[#This Row],[AÇÕES]],'Dados Status Invest'!A:AA,27,0)</f>
        <v/>
      </c>
      <c r="L446" s="63">
        <f>Table_1[[#This Row],[PREÇO]]*Table_1[[#This Row],[DY]]</f>
        <v/>
      </c>
      <c r="M446" s="62">
        <f>$E$13</f>
        <v/>
      </c>
      <c r="N446" s="62" t="n">
        <v>0.3</v>
      </c>
      <c r="O446" s="62">
        <f>Table_1[[#This Row],[DPA]]/Table_1[[#This Row],[LPA]]</f>
        <v/>
      </c>
      <c r="P446" s="62">
        <f>IF(Table_1[[#This Row],[PAYOUT]]&lt;=40%,"CRESCIMENTO",IF(Table_1[[#This Row],[PAYOUT]]&lt;=60%,"INDEFINIDO","DIVIDENDOS"))</f>
        <v/>
      </c>
      <c r="Q446" s="62">
        <f>VLOOKUP(Table_1[[#This Row],[AÇÕES]],'Dados Status Invest'!A:R,18,0)/100</f>
        <v/>
      </c>
      <c r="R446" s="62">
        <f>VLOOKUP(Table_1[[#This Row],[AÇÕES]],'Dados Status Invest'!A:Y,25,0)/100</f>
        <v/>
      </c>
      <c r="S446" s="62">
        <f>(1-Table_1[[#This Row],[PAYOUT]])*Table_1[[#This Row],[ROE]]</f>
        <v/>
      </c>
      <c r="T446" s="98">
        <f>AVERAGE(Table_1[[#This Row],[CAGR LUCRO 5A]],Table_1[[#This Row],[CRESCIMENTO DAMODARAN]])</f>
        <v/>
      </c>
      <c r="U446" s="64">
        <f>(Table_1[[#This Row],[PREÇO JUSTO BAZIN]]-Table_1[[#This Row],[PREÇO]])/Table_1[[#This Row],[PREÇO JUSTO BAZIN]]</f>
        <v/>
      </c>
      <c r="V446" s="129">
        <f>Table_1[[#This Row],[DPA]]/6%</f>
        <v/>
      </c>
      <c r="W446" s="129">
        <f>Table_1[[#This Row],[PREÇO JUSTO BAZIN]]/(1+Table_1[[#This Row],[MARGEM DE DESCONTO]])</f>
        <v/>
      </c>
      <c r="X446" s="64">
        <f>(Table_1[[#This Row],[PREÇO JUSTO GRAHAM]]-Table_1[[#This Row],[PREÇO]])/Table_1[[#This Row],[PREÇO JUSTO GRAHAM]]</f>
        <v/>
      </c>
      <c r="Y446" s="129">
        <f>(22.5*Table_1[[#This Row],[LPA]]*Table_1[[#This Row],[VPA]])^0.5</f>
        <v/>
      </c>
      <c r="Z446" s="129">
        <f>Table_1[[#This Row],[PREÇO JUSTO GRAHAM]]/(1+Table_1[[#This Row],[MARGEM DE DESCONTO]])</f>
        <v/>
      </c>
      <c r="AA446" s="64">
        <f>(Table_1[[#This Row],[PREÇO JUSTO GORDON]]-Table_1[[#This Row],[PREÇO]])/Table_1[[#This Row],[PREÇO JUSTO GORDON]]</f>
        <v/>
      </c>
      <c r="AB446" s="130">
        <f>Table_1[[#This Row],[DPA]]*(1+Table_1[[#This Row],[MÉDIA DE CRESCIMENTO]])</f>
        <v/>
      </c>
      <c r="AC446" s="130">
        <f>Table_1[[#This Row],[D1]]/(Table_1[[#This Row],[RISCO]]-Table_1[[#This Row],[MÉDIA DE CRESCIMENTO]])</f>
        <v/>
      </c>
      <c r="AD446" s="130">
        <f>Table_1[[#This Row],[PREÇO JUSTO GORDON]]/(1+Table_1[[#This Row],[MARGEM DE DESCONTO]])</f>
        <v/>
      </c>
      <c r="AE446" s="78">
        <f>Table_1[[#This Row],[P/L]]/Table_1[[#This Row],[MÉDIA DE CRESCIMENTO]]</f>
        <v/>
      </c>
    </row>
    <row r="447" ht="15.75" customHeight="1">
      <c r="B447" s="77">
        <f>'Dados Status Invest'!A433</f>
        <v/>
      </c>
      <c r="C447" s="60">
        <f>VLOOKUP(Table_1[[#This Row],[AÇÕES]],'Classificação B3'!A:B,2,0)</f>
        <v/>
      </c>
      <c r="D447" s="60">
        <f>VLOOKUP(Table_1[[#This Row],[AÇÕES]],'Classificação B3'!A:D,4,0)</f>
        <v/>
      </c>
      <c r="E447" s="60">
        <f>VLOOKUP(Table_1[[#This Row],[AÇÕES]],'Classificação B3'!A:F,6,0)</f>
        <v/>
      </c>
      <c r="F447" s="60">
        <f>VLOOKUP(Table_1[[#This Row],[AÇÕES]],'Classificação B3'!A:G,7,0)</f>
        <v/>
      </c>
      <c r="G447" s="61">
        <f>VLOOKUP(Table_1[[#This Row],[AÇÕES]],'Dados Status Invest'!A:B,2,0)</f>
        <v/>
      </c>
      <c r="H447" s="62">
        <f>VLOOKUP(Table_1[[#This Row],[AÇÕES]],'Dados Status Invest'!A:C,3,0)/100</f>
        <v/>
      </c>
      <c r="I447" s="62">
        <f>VLOOKUP(Table_1[[#This Row],[AÇÕES]],'Dados Status Invest'!A:D,4,0)/100</f>
        <v/>
      </c>
      <c r="J447" s="63">
        <f>VLOOKUP(Table_1[[#This Row],[AÇÕES]],'Dados Status Invest'!A:AB,28,0)</f>
        <v/>
      </c>
      <c r="K447" s="63">
        <f>VLOOKUP(Table_1[[#This Row],[AÇÕES]],'Dados Status Invest'!A:AA,27,0)</f>
        <v/>
      </c>
      <c r="L447" s="63">
        <f>Table_1[[#This Row],[PREÇO]]*Table_1[[#This Row],[DY]]</f>
        <v/>
      </c>
      <c r="M447" s="62">
        <f>$E$13</f>
        <v/>
      </c>
      <c r="N447" s="62" t="n">
        <v>0.3</v>
      </c>
      <c r="O447" s="62">
        <f>Table_1[[#This Row],[DPA]]/Table_1[[#This Row],[LPA]]</f>
        <v/>
      </c>
      <c r="P447" s="62">
        <f>IF(Table_1[[#This Row],[PAYOUT]]&lt;=40%,"CRESCIMENTO",IF(Table_1[[#This Row],[PAYOUT]]&lt;=60%,"INDEFINIDO","DIVIDENDOS"))</f>
        <v/>
      </c>
      <c r="Q447" s="62">
        <f>VLOOKUP(Table_1[[#This Row],[AÇÕES]],'Dados Status Invest'!A:R,18,0)/100</f>
        <v/>
      </c>
      <c r="R447" s="62">
        <f>VLOOKUP(Table_1[[#This Row],[AÇÕES]],'Dados Status Invest'!A:Y,25,0)/100</f>
        <v/>
      </c>
      <c r="S447" s="62">
        <f>(1-Table_1[[#This Row],[PAYOUT]])*Table_1[[#This Row],[ROE]]</f>
        <v/>
      </c>
      <c r="T447" s="98">
        <f>AVERAGE(Table_1[[#This Row],[CAGR LUCRO 5A]],Table_1[[#This Row],[CRESCIMENTO DAMODARAN]])</f>
        <v/>
      </c>
      <c r="U447" s="64">
        <f>(Table_1[[#This Row],[PREÇO JUSTO BAZIN]]-Table_1[[#This Row],[PREÇO]])/Table_1[[#This Row],[PREÇO JUSTO BAZIN]]</f>
        <v/>
      </c>
      <c r="V447" s="129">
        <f>Table_1[[#This Row],[DPA]]/6%</f>
        <v/>
      </c>
      <c r="W447" s="129">
        <f>Table_1[[#This Row],[PREÇO JUSTO BAZIN]]/(1+Table_1[[#This Row],[MARGEM DE DESCONTO]])</f>
        <v/>
      </c>
      <c r="X447" s="64">
        <f>(Table_1[[#This Row],[PREÇO JUSTO GRAHAM]]-Table_1[[#This Row],[PREÇO]])/Table_1[[#This Row],[PREÇO JUSTO GRAHAM]]</f>
        <v/>
      </c>
      <c r="Y447" s="129">
        <f>(22.5*Table_1[[#This Row],[LPA]]*Table_1[[#This Row],[VPA]])^0.5</f>
        <v/>
      </c>
      <c r="Z447" s="129">
        <f>Table_1[[#This Row],[PREÇO JUSTO GRAHAM]]/(1+Table_1[[#This Row],[MARGEM DE DESCONTO]])</f>
        <v/>
      </c>
      <c r="AA447" s="64">
        <f>(Table_1[[#This Row],[PREÇO JUSTO GORDON]]-Table_1[[#This Row],[PREÇO]])/Table_1[[#This Row],[PREÇO JUSTO GORDON]]</f>
        <v/>
      </c>
      <c r="AB447" s="130">
        <f>Table_1[[#This Row],[DPA]]*(1+Table_1[[#This Row],[MÉDIA DE CRESCIMENTO]])</f>
        <v/>
      </c>
      <c r="AC447" s="130">
        <f>Table_1[[#This Row],[D1]]/(Table_1[[#This Row],[RISCO]]-Table_1[[#This Row],[MÉDIA DE CRESCIMENTO]])</f>
        <v/>
      </c>
      <c r="AD447" s="130">
        <f>Table_1[[#This Row],[PREÇO JUSTO GORDON]]/(1+Table_1[[#This Row],[MARGEM DE DESCONTO]])</f>
        <v/>
      </c>
      <c r="AE447" s="78">
        <f>Table_1[[#This Row],[P/L]]/Table_1[[#This Row],[MÉDIA DE CRESCIMENTO]]</f>
        <v/>
      </c>
    </row>
    <row r="448" ht="15.75" customHeight="1">
      <c r="B448" s="77">
        <f>'Dados Status Invest'!A434</f>
        <v/>
      </c>
      <c r="C448" s="60">
        <f>VLOOKUP(Table_1[[#This Row],[AÇÕES]],'Classificação B3'!A:B,2,0)</f>
        <v/>
      </c>
      <c r="D448" s="60">
        <f>VLOOKUP(Table_1[[#This Row],[AÇÕES]],'Classificação B3'!A:D,4,0)</f>
        <v/>
      </c>
      <c r="E448" s="60">
        <f>VLOOKUP(Table_1[[#This Row],[AÇÕES]],'Classificação B3'!A:F,6,0)</f>
        <v/>
      </c>
      <c r="F448" s="60">
        <f>VLOOKUP(Table_1[[#This Row],[AÇÕES]],'Classificação B3'!A:G,7,0)</f>
        <v/>
      </c>
      <c r="G448" s="61">
        <f>VLOOKUP(Table_1[[#This Row],[AÇÕES]],'Dados Status Invest'!A:B,2,0)</f>
        <v/>
      </c>
      <c r="H448" s="62">
        <f>VLOOKUP(Table_1[[#This Row],[AÇÕES]],'Dados Status Invest'!A:C,3,0)/100</f>
        <v/>
      </c>
      <c r="I448" s="62">
        <f>VLOOKUP(Table_1[[#This Row],[AÇÕES]],'Dados Status Invest'!A:D,4,0)/100</f>
        <v/>
      </c>
      <c r="J448" s="63">
        <f>VLOOKUP(Table_1[[#This Row],[AÇÕES]],'Dados Status Invest'!A:AB,28,0)</f>
        <v/>
      </c>
      <c r="K448" s="63">
        <f>VLOOKUP(Table_1[[#This Row],[AÇÕES]],'Dados Status Invest'!A:AA,27,0)</f>
        <v/>
      </c>
      <c r="L448" s="63">
        <f>Table_1[[#This Row],[PREÇO]]*Table_1[[#This Row],[DY]]</f>
        <v/>
      </c>
      <c r="M448" s="62">
        <f>$E$13</f>
        <v/>
      </c>
      <c r="N448" s="62" t="n">
        <v>0.3</v>
      </c>
      <c r="O448" s="62">
        <f>Table_1[[#This Row],[DPA]]/Table_1[[#This Row],[LPA]]</f>
        <v/>
      </c>
      <c r="P448" s="62">
        <f>IF(Table_1[[#This Row],[PAYOUT]]&lt;=40%,"CRESCIMENTO",IF(Table_1[[#This Row],[PAYOUT]]&lt;=60%,"INDEFINIDO","DIVIDENDOS"))</f>
        <v/>
      </c>
      <c r="Q448" s="62">
        <f>VLOOKUP(Table_1[[#This Row],[AÇÕES]],'Dados Status Invest'!A:R,18,0)/100</f>
        <v/>
      </c>
      <c r="R448" s="62">
        <f>VLOOKUP(Table_1[[#This Row],[AÇÕES]],'Dados Status Invest'!A:Y,25,0)/100</f>
        <v/>
      </c>
      <c r="S448" s="62">
        <f>(1-Table_1[[#This Row],[PAYOUT]])*Table_1[[#This Row],[ROE]]</f>
        <v/>
      </c>
      <c r="T448" s="98">
        <f>AVERAGE(Table_1[[#This Row],[CAGR LUCRO 5A]],Table_1[[#This Row],[CRESCIMENTO DAMODARAN]])</f>
        <v/>
      </c>
      <c r="U448" s="64">
        <f>(Table_1[[#This Row],[PREÇO JUSTO BAZIN]]-Table_1[[#This Row],[PREÇO]])/Table_1[[#This Row],[PREÇO JUSTO BAZIN]]</f>
        <v/>
      </c>
      <c r="V448" s="129">
        <f>Table_1[[#This Row],[DPA]]/6%</f>
        <v/>
      </c>
      <c r="W448" s="129">
        <f>Table_1[[#This Row],[PREÇO JUSTO BAZIN]]/(1+Table_1[[#This Row],[MARGEM DE DESCONTO]])</f>
        <v/>
      </c>
      <c r="X448" s="64">
        <f>(Table_1[[#This Row],[PREÇO JUSTO GRAHAM]]-Table_1[[#This Row],[PREÇO]])/Table_1[[#This Row],[PREÇO JUSTO GRAHAM]]</f>
        <v/>
      </c>
      <c r="Y448" s="129">
        <f>(22.5*Table_1[[#This Row],[LPA]]*Table_1[[#This Row],[VPA]])^0.5</f>
        <v/>
      </c>
      <c r="Z448" s="129">
        <f>Table_1[[#This Row],[PREÇO JUSTO GRAHAM]]/(1+Table_1[[#This Row],[MARGEM DE DESCONTO]])</f>
        <v/>
      </c>
      <c r="AA448" s="64">
        <f>(Table_1[[#This Row],[PREÇO JUSTO GORDON]]-Table_1[[#This Row],[PREÇO]])/Table_1[[#This Row],[PREÇO JUSTO GORDON]]</f>
        <v/>
      </c>
      <c r="AB448" s="130">
        <f>Table_1[[#This Row],[DPA]]*(1+Table_1[[#This Row],[MÉDIA DE CRESCIMENTO]])</f>
        <v/>
      </c>
      <c r="AC448" s="130">
        <f>Table_1[[#This Row],[D1]]/(Table_1[[#This Row],[RISCO]]-Table_1[[#This Row],[MÉDIA DE CRESCIMENTO]])</f>
        <v/>
      </c>
      <c r="AD448" s="130">
        <f>Table_1[[#This Row],[PREÇO JUSTO GORDON]]/(1+Table_1[[#This Row],[MARGEM DE DESCONTO]])</f>
        <v/>
      </c>
      <c r="AE448" s="78">
        <f>Table_1[[#This Row],[P/L]]/Table_1[[#This Row],[MÉDIA DE CRESCIMENTO]]</f>
        <v/>
      </c>
    </row>
    <row r="449" ht="15.75" customHeight="1">
      <c r="B449" s="77">
        <f>'Dados Status Invest'!A435</f>
        <v/>
      </c>
      <c r="C449" s="60">
        <f>VLOOKUP(Table_1[[#This Row],[AÇÕES]],'Classificação B3'!A:B,2,0)</f>
        <v/>
      </c>
      <c r="D449" s="60">
        <f>VLOOKUP(Table_1[[#This Row],[AÇÕES]],'Classificação B3'!A:D,4,0)</f>
        <v/>
      </c>
      <c r="E449" s="60">
        <f>VLOOKUP(Table_1[[#This Row],[AÇÕES]],'Classificação B3'!A:F,6,0)</f>
        <v/>
      </c>
      <c r="F449" s="60">
        <f>VLOOKUP(Table_1[[#This Row],[AÇÕES]],'Classificação B3'!A:G,7,0)</f>
        <v/>
      </c>
      <c r="G449" s="61">
        <f>VLOOKUP(Table_1[[#This Row],[AÇÕES]],'Dados Status Invest'!A:B,2,0)</f>
        <v/>
      </c>
      <c r="H449" s="62">
        <f>VLOOKUP(Table_1[[#This Row],[AÇÕES]],'Dados Status Invest'!A:C,3,0)/100</f>
        <v/>
      </c>
      <c r="I449" s="62">
        <f>VLOOKUP(Table_1[[#This Row],[AÇÕES]],'Dados Status Invest'!A:D,4,0)/100</f>
        <v/>
      </c>
      <c r="J449" s="63">
        <f>VLOOKUP(Table_1[[#This Row],[AÇÕES]],'Dados Status Invest'!A:AB,28,0)</f>
        <v/>
      </c>
      <c r="K449" s="63">
        <f>VLOOKUP(Table_1[[#This Row],[AÇÕES]],'Dados Status Invest'!A:AA,27,0)</f>
        <v/>
      </c>
      <c r="L449" s="63">
        <f>Table_1[[#This Row],[PREÇO]]*Table_1[[#This Row],[DY]]</f>
        <v/>
      </c>
      <c r="M449" s="62">
        <f>$E$13</f>
        <v/>
      </c>
      <c r="N449" s="62" t="n">
        <v>0.3</v>
      </c>
      <c r="O449" s="62">
        <f>Table_1[[#This Row],[DPA]]/Table_1[[#This Row],[LPA]]</f>
        <v/>
      </c>
      <c r="P449" s="62">
        <f>IF(Table_1[[#This Row],[PAYOUT]]&lt;=40%,"CRESCIMENTO",IF(Table_1[[#This Row],[PAYOUT]]&lt;=60%,"INDEFINIDO","DIVIDENDOS"))</f>
        <v/>
      </c>
      <c r="Q449" s="62">
        <f>VLOOKUP(Table_1[[#This Row],[AÇÕES]],'Dados Status Invest'!A:R,18,0)/100</f>
        <v/>
      </c>
      <c r="R449" s="62">
        <f>VLOOKUP(Table_1[[#This Row],[AÇÕES]],'Dados Status Invest'!A:Y,25,0)/100</f>
        <v/>
      </c>
      <c r="S449" s="62">
        <f>(1-Table_1[[#This Row],[PAYOUT]])*Table_1[[#This Row],[ROE]]</f>
        <v/>
      </c>
      <c r="T449" s="98">
        <f>AVERAGE(Table_1[[#This Row],[CAGR LUCRO 5A]],Table_1[[#This Row],[CRESCIMENTO DAMODARAN]])</f>
        <v/>
      </c>
      <c r="U449" s="64">
        <f>(Table_1[[#This Row],[PREÇO JUSTO BAZIN]]-Table_1[[#This Row],[PREÇO]])/Table_1[[#This Row],[PREÇO JUSTO BAZIN]]</f>
        <v/>
      </c>
      <c r="V449" s="129">
        <f>Table_1[[#This Row],[DPA]]/6%</f>
        <v/>
      </c>
      <c r="W449" s="129">
        <f>Table_1[[#This Row],[PREÇO JUSTO BAZIN]]/(1+Table_1[[#This Row],[MARGEM DE DESCONTO]])</f>
        <v/>
      </c>
      <c r="X449" s="64">
        <f>(Table_1[[#This Row],[PREÇO JUSTO GRAHAM]]-Table_1[[#This Row],[PREÇO]])/Table_1[[#This Row],[PREÇO JUSTO GRAHAM]]</f>
        <v/>
      </c>
      <c r="Y449" s="129">
        <f>(22.5*Table_1[[#This Row],[LPA]]*Table_1[[#This Row],[VPA]])^0.5</f>
        <v/>
      </c>
      <c r="Z449" s="129">
        <f>Table_1[[#This Row],[PREÇO JUSTO GRAHAM]]/(1+Table_1[[#This Row],[MARGEM DE DESCONTO]])</f>
        <v/>
      </c>
      <c r="AA449" s="64">
        <f>(Table_1[[#This Row],[PREÇO JUSTO GORDON]]-Table_1[[#This Row],[PREÇO]])/Table_1[[#This Row],[PREÇO JUSTO GORDON]]</f>
        <v/>
      </c>
      <c r="AB449" s="130">
        <f>Table_1[[#This Row],[DPA]]*(1+Table_1[[#This Row],[MÉDIA DE CRESCIMENTO]])</f>
        <v/>
      </c>
      <c r="AC449" s="130">
        <f>Table_1[[#This Row],[D1]]/(Table_1[[#This Row],[RISCO]]-Table_1[[#This Row],[MÉDIA DE CRESCIMENTO]])</f>
        <v/>
      </c>
      <c r="AD449" s="130">
        <f>Table_1[[#This Row],[PREÇO JUSTO GORDON]]/(1+Table_1[[#This Row],[MARGEM DE DESCONTO]])</f>
        <v/>
      </c>
      <c r="AE449" s="78">
        <f>Table_1[[#This Row],[P/L]]/Table_1[[#This Row],[MÉDIA DE CRESCIMENTO]]</f>
        <v/>
      </c>
    </row>
    <row r="450" ht="15.75" customHeight="1">
      <c r="B450" s="77">
        <f>'Dados Status Invest'!A436</f>
        <v/>
      </c>
      <c r="C450" s="60">
        <f>VLOOKUP(Table_1[[#This Row],[AÇÕES]],'Classificação B3'!A:B,2,0)</f>
        <v/>
      </c>
      <c r="D450" s="60">
        <f>VLOOKUP(Table_1[[#This Row],[AÇÕES]],'Classificação B3'!A:D,4,0)</f>
        <v/>
      </c>
      <c r="E450" s="60">
        <f>VLOOKUP(Table_1[[#This Row],[AÇÕES]],'Classificação B3'!A:F,6,0)</f>
        <v/>
      </c>
      <c r="F450" s="60">
        <f>VLOOKUP(Table_1[[#This Row],[AÇÕES]],'Classificação B3'!A:G,7,0)</f>
        <v/>
      </c>
      <c r="G450" s="61">
        <f>VLOOKUP(Table_1[[#This Row],[AÇÕES]],'Dados Status Invest'!A:B,2,0)</f>
        <v/>
      </c>
      <c r="H450" s="62">
        <f>VLOOKUP(Table_1[[#This Row],[AÇÕES]],'Dados Status Invest'!A:C,3,0)/100</f>
        <v/>
      </c>
      <c r="I450" s="62">
        <f>VLOOKUP(Table_1[[#This Row],[AÇÕES]],'Dados Status Invest'!A:D,4,0)/100</f>
        <v/>
      </c>
      <c r="J450" s="63">
        <f>VLOOKUP(Table_1[[#This Row],[AÇÕES]],'Dados Status Invest'!A:AB,28,0)</f>
        <v/>
      </c>
      <c r="K450" s="63">
        <f>VLOOKUP(Table_1[[#This Row],[AÇÕES]],'Dados Status Invest'!A:AA,27,0)</f>
        <v/>
      </c>
      <c r="L450" s="63">
        <f>Table_1[[#This Row],[PREÇO]]*Table_1[[#This Row],[DY]]</f>
        <v/>
      </c>
      <c r="M450" s="62">
        <f>$E$13</f>
        <v/>
      </c>
      <c r="N450" s="62" t="n">
        <v>0.3</v>
      </c>
      <c r="O450" s="62">
        <f>Table_1[[#This Row],[DPA]]/Table_1[[#This Row],[LPA]]</f>
        <v/>
      </c>
      <c r="P450" s="62">
        <f>IF(Table_1[[#This Row],[PAYOUT]]&lt;=40%,"CRESCIMENTO",IF(Table_1[[#This Row],[PAYOUT]]&lt;=60%,"INDEFINIDO","DIVIDENDOS"))</f>
        <v/>
      </c>
      <c r="Q450" s="62">
        <f>VLOOKUP(Table_1[[#This Row],[AÇÕES]],'Dados Status Invest'!A:R,18,0)/100</f>
        <v/>
      </c>
      <c r="R450" s="62">
        <f>VLOOKUP(Table_1[[#This Row],[AÇÕES]],'Dados Status Invest'!A:Y,25,0)/100</f>
        <v/>
      </c>
      <c r="S450" s="62">
        <f>(1-Table_1[[#This Row],[PAYOUT]])*Table_1[[#This Row],[ROE]]</f>
        <v/>
      </c>
      <c r="T450" s="98">
        <f>AVERAGE(Table_1[[#This Row],[CAGR LUCRO 5A]],Table_1[[#This Row],[CRESCIMENTO DAMODARAN]])</f>
        <v/>
      </c>
      <c r="U450" s="64">
        <f>(Table_1[[#This Row],[PREÇO JUSTO BAZIN]]-Table_1[[#This Row],[PREÇO]])/Table_1[[#This Row],[PREÇO JUSTO BAZIN]]</f>
        <v/>
      </c>
      <c r="V450" s="129">
        <f>Table_1[[#This Row],[DPA]]/6%</f>
        <v/>
      </c>
      <c r="W450" s="129">
        <f>Table_1[[#This Row],[PREÇO JUSTO BAZIN]]/(1+Table_1[[#This Row],[MARGEM DE DESCONTO]])</f>
        <v/>
      </c>
      <c r="X450" s="64">
        <f>(Table_1[[#This Row],[PREÇO JUSTO GRAHAM]]-Table_1[[#This Row],[PREÇO]])/Table_1[[#This Row],[PREÇO JUSTO GRAHAM]]</f>
        <v/>
      </c>
      <c r="Y450" s="129">
        <f>(22.5*Table_1[[#This Row],[LPA]]*Table_1[[#This Row],[VPA]])^0.5</f>
        <v/>
      </c>
      <c r="Z450" s="129">
        <f>Table_1[[#This Row],[PREÇO JUSTO GRAHAM]]/(1+Table_1[[#This Row],[MARGEM DE DESCONTO]])</f>
        <v/>
      </c>
      <c r="AA450" s="64">
        <f>(Table_1[[#This Row],[PREÇO JUSTO GORDON]]-Table_1[[#This Row],[PREÇO]])/Table_1[[#This Row],[PREÇO JUSTO GORDON]]</f>
        <v/>
      </c>
      <c r="AB450" s="130">
        <f>Table_1[[#This Row],[DPA]]*(1+Table_1[[#This Row],[MÉDIA DE CRESCIMENTO]])</f>
        <v/>
      </c>
      <c r="AC450" s="130">
        <f>Table_1[[#This Row],[D1]]/(Table_1[[#This Row],[RISCO]]-Table_1[[#This Row],[MÉDIA DE CRESCIMENTO]])</f>
        <v/>
      </c>
      <c r="AD450" s="130">
        <f>Table_1[[#This Row],[PREÇO JUSTO GORDON]]/(1+Table_1[[#This Row],[MARGEM DE DESCONTO]])</f>
        <v/>
      </c>
      <c r="AE450" s="78">
        <f>Table_1[[#This Row],[P/L]]/Table_1[[#This Row],[MÉDIA DE CRESCIMENTO]]</f>
        <v/>
      </c>
    </row>
    <row r="451" ht="15.75" customHeight="1">
      <c r="B451" s="77">
        <f>'Dados Status Invest'!A437</f>
        <v/>
      </c>
      <c r="C451" s="60">
        <f>VLOOKUP(Table_1[[#This Row],[AÇÕES]],'Classificação B3'!A:B,2,0)</f>
        <v/>
      </c>
      <c r="D451" s="60">
        <f>VLOOKUP(Table_1[[#This Row],[AÇÕES]],'Classificação B3'!A:D,4,0)</f>
        <v/>
      </c>
      <c r="E451" s="60">
        <f>VLOOKUP(Table_1[[#This Row],[AÇÕES]],'Classificação B3'!A:F,6,0)</f>
        <v/>
      </c>
      <c r="F451" s="60">
        <f>VLOOKUP(Table_1[[#This Row],[AÇÕES]],'Classificação B3'!A:G,7,0)</f>
        <v/>
      </c>
      <c r="G451" s="61">
        <f>VLOOKUP(Table_1[[#This Row],[AÇÕES]],'Dados Status Invest'!A:B,2,0)</f>
        <v/>
      </c>
      <c r="H451" s="62">
        <f>VLOOKUP(Table_1[[#This Row],[AÇÕES]],'Dados Status Invest'!A:C,3,0)/100</f>
        <v/>
      </c>
      <c r="I451" s="62">
        <f>VLOOKUP(Table_1[[#This Row],[AÇÕES]],'Dados Status Invest'!A:D,4,0)/100</f>
        <v/>
      </c>
      <c r="J451" s="63">
        <f>VLOOKUP(Table_1[[#This Row],[AÇÕES]],'Dados Status Invest'!A:AB,28,0)</f>
        <v/>
      </c>
      <c r="K451" s="63">
        <f>VLOOKUP(Table_1[[#This Row],[AÇÕES]],'Dados Status Invest'!A:AA,27,0)</f>
        <v/>
      </c>
      <c r="L451" s="63">
        <f>Table_1[[#This Row],[PREÇO]]*Table_1[[#This Row],[DY]]</f>
        <v/>
      </c>
      <c r="M451" s="62">
        <f>$E$13</f>
        <v/>
      </c>
      <c r="N451" s="62" t="n">
        <v>0.3</v>
      </c>
      <c r="O451" s="62">
        <f>Table_1[[#This Row],[DPA]]/Table_1[[#This Row],[LPA]]</f>
        <v/>
      </c>
      <c r="P451" s="62">
        <f>IF(Table_1[[#This Row],[PAYOUT]]&lt;=40%,"CRESCIMENTO",IF(Table_1[[#This Row],[PAYOUT]]&lt;=60%,"INDEFINIDO","DIVIDENDOS"))</f>
        <v/>
      </c>
      <c r="Q451" s="62">
        <f>VLOOKUP(Table_1[[#This Row],[AÇÕES]],'Dados Status Invest'!A:R,18,0)/100</f>
        <v/>
      </c>
      <c r="R451" s="62">
        <f>VLOOKUP(Table_1[[#This Row],[AÇÕES]],'Dados Status Invest'!A:Y,25,0)/100</f>
        <v/>
      </c>
      <c r="S451" s="62">
        <f>(1-Table_1[[#This Row],[PAYOUT]])*Table_1[[#This Row],[ROE]]</f>
        <v/>
      </c>
      <c r="T451" s="98">
        <f>AVERAGE(Table_1[[#This Row],[CAGR LUCRO 5A]],Table_1[[#This Row],[CRESCIMENTO DAMODARAN]])</f>
        <v/>
      </c>
      <c r="U451" s="64">
        <f>(Table_1[[#This Row],[PREÇO JUSTO BAZIN]]-Table_1[[#This Row],[PREÇO]])/Table_1[[#This Row],[PREÇO JUSTO BAZIN]]</f>
        <v/>
      </c>
      <c r="V451" s="129">
        <f>Table_1[[#This Row],[DPA]]/6%</f>
        <v/>
      </c>
      <c r="W451" s="129">
        <f>Table_1[[#This Row],[PREÇO JUSTO BAZIN]]/(1+Table_1[[#This Row],[MARGEM DE DESCONTO]])</f>
        <v/>
      </c>
      <c r="X451" s="64">
        <f>(Table_1[[#This Row],[PREÇO JUSTO GRAHAM]]-Table_1[[#This Row],[PREÇO]])/Table_1[[#This Row],[PREÇO JUSTO GRAHAM]]</f>
        <v/>
      </c>
      <c r="Y451" s="129">
        <f>(22.5*Table_1[[#This Row],[LPA]]*Table_1[[#This Row],[VPA]])^0.5</f>
        <v/>
      </c>
      <c r="Z451" s="129">
        <f>Table_1[[#This Row],[PREÇO JUSTO GRAHAM]]/(1+Table_1[[#This Row],[MARGEM DE DESCONTO]])</f>
        <v/>
      </c>
      <c r="AA451" s="64">
        <f>(Table_1[[#This Row],[PREÇO JUSTO GORDON]]-Table_1[[#This Row],[PREÇO]])/Table_1[[#This Row],[PREÇO JUSTO GORDON]]</f>
        <v/>
      </c>
      <c r="AB451" s="130">
        <f>Table_1[[#This Row],[DPA]]*(1+Table_1[[#This Row],[MÉDIA DE CRESCIMENTO]])</f>
        <v/>
      </c>
      <c r="AC451" s="130">
        <f>Table_1[[#This Row],[D1]]/(Table_1[[#This Row],[RISCO]]-Table_1[[#This Row],[MÉDIA DE CRESCIMENTO]])</f>
        <v/>
      </c>
      <c r="AD451" s="130">
        <f>Table_1[[#This Row],[PREÇO JUSTO GORDON]]/(1+Table_1[[#This Row],[MARGEM DE DESCONTO]])</f>
        <v/>
      </c>
      <c r="AE451" s="78">
        <f>Table_1[[#This Row],[P/L]]/Table_1[[#This Row],[MÉDIA DE CRESCIMENTO]]</f>
        <v/>
      </c>
    </row>
    <row r="452" ht="15.75" customHeight="1">
      <c r="B452" s="77">
        <f>'Dados Status Invest'!A438</f>
        <v/>
      </c>
      <c r="C452" s="60">
        <f>VLOOKUP(Table_1[[#This Row],[AÇÕES]],'Classificação B3'!A:B,2,0)</f>
        <v/>
      </c>
      <c r="D452" s="60">
        <f>VLOOKUP(Table_1[[#This Row],[AÇÕES]],'Classificação B3'!A:D,4,0)</f>
        <v/>
      </c>
      <c r="E452" s="60">
        <f>VLOOKUP(Table_1[[#This Row],[AÇÕES]],'Classificação B3'!A:F,6,0)</f>
        <v/>
      </c>
      <c r="F452" s="60">
        <f>VLOOKUP(Table_1[[#This Row],[AÇÕES]],'Classificação B3'!A:G,7,0)</f>
        <v/>
      </c>
      <c r="G452" s="61">
        <f>VLOOKUP(Table_1[[#This Row],[AÇÕES]],'Dados Status Invest'!A:B,2,0)</f>
        <v/>
      </c>
      <c r="H452" s="62">
        <f>VLOOKUP(Table_1[[#This Row],[AÇÕES]],'Dados Status Invest'!A:C,3,0)/100</f>
        <v/>
      </c>
      <c r="I452" s="62">
        <f>VLOOKUP(Table_1[[#This Row],[AÇÕES]],'Dados Status Invest'!A:D,4,0)/100</f>
        <v/>
      </c>
      <c r="J452" s="63">
        <f>VLOOKUP(Table_1[[#This Row],[AÇÕES]],'Dados Status Invest'!A:AB,28,0)</f>
        <v/>
      </c>
      <c r="K452" s="63">
        <f>VLOOKUP(Table_1[[#This Row],[AÇÕES]],'Dados Status Invest'!A:AA,27,0)</f>
        <v/>
      </c>
      <c r="L452" s="63">
        <f>Table_1[[#This Row],[PREÇO]]*Table_1[[#This Row],[DY]]</f>
        <v/>
      </c>
      <c r="M452" s="62">
        <f>$E$13</f>
        <v/>
      </c>
      <c r="N452" s="62" t="n">
        <v>0.3</v>
      </c>
      <c r="O452" s="62">
        <f>Table_1[[#This Row],[DPA]]/Table_1[[#This Row],[LPA]]</f>
        <v/>
      </c>
      <c r="P452" s="62">
        <f>IF(Table_1[[#This Row],[PAYOUT]]&lt;=40%,"CRESCIMENTO",IF(Table_1[[#This Row],[PAYOUT]]&lt;=60%,"INDEFINIDO","DIVIDENDOS"))</f>
        <v/>
      </c>
      <c r="Q452" s="62">
        <f>VLOOKUP(Table_1[[#This Row],[AÇÕES]],'Dados Status Invest'!A:R,18,0)/100</f>
        <v/>
      </c>
      <c r="R452" s="62">
        <f>VLOOKUP(Table_1[[#This Row],[AÇÕES]],'Dados Status Invest'!A:Y,25,0)/100</f>
        <v/>
      </c>
      <c r="S452" s="62">
        <f>(1-Table_1[[#This Row],[PAYOUT]])*Table_1[[#This Row],[ROE]]</f>
        <v/>
      </c>
      <c r="T452" s="98">
        <f>AVERAGE(Table_1[[#This Row],[CAGR LUCRO 5A]],Table_1[[#This Row],[CRESCIMENTO DAMODARAN]])</f>
        <v/>
      </c>
      <c r="U452" s="64">
        <f>(Table_1[[#This Row],[PREÇO JUSTO BAZIN]]-Table_1[[#This Row],[PREÇO]])/Table_1[[#This Row],[PREÇO JUSTO BAZIN]]</f>
        <v/>
      </c>
      <c r="V452" s="129">
        <f>Table_1[[#This Row],[DPA]]/6%</f>
        <v/>
      </c>
      <c r="W452" s="129">
        <f>Table_1[[#This Row],[PREÇO JUSTO BAZIN]]/(1+Table_1[[#This Row],[MARGEM DE DESCONTO]])</f>
        <v/>
      </c>
      <c r="X452" s="64">
        <f>(Table_1[[#This Row],[PREÇO JUSTO GRAHAM]]-Table_1[[#This Row],[PREÇO]])/Table_1[[#This Row],[PREÇO JUSTO GRAHAM]]</f>
        <v/>
      </c>
      <c r="Y452" s="129">
        <f>(22.5*Table_1[[#This Row],[LPA]]*Table_1[[#This Row],[VPA]])^0.5</f>
        <v/>
      </c>
      <c r="Z452" s="129">
        <f>Table_1[[#This Row],[PREÇO JUSTO GRAHAM]]/(1+Table_1[[#This Row],[MARGEM DE DESCONTO]])</f>
        <v/>
      </c>
      <c r="AA452" s="64">
        <f>(Table_1[[#This Row],[PREÇO JUSTO GORDON]]-Table_1[[#This Row],[PREÇO]])/Table_1[[#This Row],[PREÇO JUSTO GORDON]]</f>
        <v/>
      </c>
      <c r="AB452" s="130">
        <f>Table_1[[#This Row],[DPA]]*(1+Table_1[[#This Row],[MÉDIA DE CRESCIMENTO]])</f>
        <v/>
      </c>
      <c r="AC452" s="130">
        <f>Table_1[[#This Row],[D1]]/(Table_1[[#This Row],[RISCO]]-Table_1[[#This Row],[MÉDIA DE CRESCIMENTO]])</f>
        <v/>
      </c>
      <c r="AD452" s="130">
        <f>Table_1[[#This Row],[PREÇO JUSTO GORDON]]/(1+Table_1[[#This Row],[MARGEM DE DESCONTO]])</f>
        <v/>
      </c>
      <c r="AE452" s="78">
        <f>Table_1[[#This Row],[P/L]]/Table_1[[#This Row],[MÉDIA DE CRESCIMENTO]]</f>
        <v/>
      </c>
    </row>
    <row r="453" ht="15.75" customHeight="1">
      <c r="B453" s="77">
        <f>'Dados Status Invest'!A439</f>
        <v/>
      </c>
      <c r="C453" s="60">
        <f>VLOOKUP(Table_1[[#This Row],[AÇÕES]],'Classificação B3'!A:B,2,0)</f>
        <v/>
      </c>
      <c r="D453" s="60">
        <f>VLOOKUP(Table_1[[#This Row],[AÇÕES]],'Classificação B3'!A:D,4,0)</f>
        <v/>
      </c>
      <c r="E453" s="60">
        <f>VLOOKUP(Table_1[[#This Row],[AÇÕES]],'Classificação B3'!A:F,6,0)</f>
        <v/>
      </c>
      <c r="F453" s="60">
        <f>VLOOKUP(Table_1[[#This Row],[AÇÕES]],'Classificação B3'!A:G,7,0)</f>
        <v/>
      </c>
      <c r="G453" s="61">
        <f>VLOOKUP(Table_1[[#This Row],[AÇÕES]],'Dados Status Invest'!A:B,2,0)</f>
        <v/>
      </c>
      <c r="H453" s="62">
        <f>VLOOKUP(Table_1[[#This Row],[AÇÕES]],'Dados Status Invest'!A:C,3,0)/100</f>
        <v/>
      </c>
      <c r="I453" s="62">
        <f>VLOOKUP(Table_1[[#This Row],[AÇÕES]],'Dados Status Invest'!A:D,4,0)/100</f>
        <v/>
      </c>
      <c r="J453" s="63">
        <f>VLOOKUP(Table_1[[#This Row],[AÇÕES]],'Dados Status Invest'!A:AB,28,0)</f>
        <v/>
      </c>
      <c r="K453" s="63">
        <f>VLOOKUP(Table_1[[#This Row],[AÇÕES]],'Dados Status Invest'!A:AA,27,0)</f>
        <v/>
      </c>
      <c r="L453" s="63">
        <f>Table_1[[#This Row],[PREÇO]]*Table_1[[#This Row],[DY]]</f>
        <v/>
      </c>
      <c r="M453" s="62">
        <f>$E$13</f>
        <v/>
      </c>
      <c r="N453" s="62" t="n">
        <v>0.3</v>
      </c>
      <c r="O453" s="62">
        <f>Table_1[[#This Row],[DPA]]/Table_1[[#This Row],[LPA]]</f>
        <v/>
      </c>
      <c r="P453" s="62">
        <f>IF(Table_1[[#This Row],[PAYOUT]]&lt;=40%,"CRESCIMENTO",IF(Table_1[[#This Row],[PAYOUT]]&lt;=60%,"INDEFINIDO","DIVIDENDOS"))</f>
        <v/>
      </c>
      <c r="Q453" s="62">
        <f>VLOOKUP(Table_1[[#This Row],[AÇÕES]],'Dados Status Invest'!A:R,18,0)/100</f>
        <v/>
      </c>
      <c r="R453" s="62">
        <f>VLOOKUP(Table_1[[#This Row],[AÇÕES]],'Dados Status Invest'!A:Y,25,0)/100</f>
        <v/>
      </c>
      <c r="S453" s="62">
        <f>(1-Table_1[[#This Row],[PAYOUT]])*Table_1[[#This Row],[ROE]]</f>
        <v/>
      </c>
      <c r="T453" s="98">
        <f>AVERAGE(Table_1[[#This Row],[CAGR LUCRO 5A]],Table_1[[#This Row],[CRESCIMENTO DAMODARAN]])</f>
        <v/>
      </c>
      <c r="U453" s="64">
        <f>(Table_1[[#This Row],[PREÇO JUSTO BAZIN]]-Table_1[[#This Row],[PREÇO]])/Table_1[[#This Row],[PREÇO JUSTO BAZIN]]</f>
        <v/>
      </c>
      <c r="V453" s="129">
        <f>Table_1[[#This Row],[DPA]]/6%</f>
        <v/>
      </c>
      <c r="W453" s="129">
        <f>Table_1[[#This Row],[PREÇO JUSTO BAZIN]]/(1+Table_1[[#This Row],[MARGEM DE DESCONTO]])</f>
        <v/>
      </c>
      <c r="X453" s="64">
        <f>(Table_1[[#This Row],[PREÇO JUSTO GRAHAM]]-Table_1[[#This Row],[PREÇO]])/Table_1[[#This Row],[PREÇO JUSTO GRAHAM]]</f>
        <v/>
      </c>
      <c r="Y453" s="129">
        <f>(22.5*Table_1[[#This Row],[LPA]]*Table_1[[#This Row],[VPA]])^0.5</f>
        <v/>
      </c>
      <c r="Z453" s="129">
        <f>Table_1[[#This Row],[PREÇO JUSTO GRAHAM]]/(1+Table_1[[#This Row],[MARGEM DE DESCONTO]])</f>
        <v/>
      </c>
      <c r="AA453" s="64">
        <f>(Table_1[[#This Row],[PREÇO JUSTO GORDON]]-Table_1[[#This Row],[PREÇO]])/Table_1[[#This Row],[PREÇO JUSTO GORDON]]</f>
        <v/>
      </c>
      <c r="AB453" s="130">
        <f>Table_1[[#This Row],[DPA]]*(1+Table_1[[#This Row],[MÉDIA DE CRESCIMENTO]])</f>
        <v/>
      </c>
      <c r="AC453" s="130">
        <f>Table_1[[#This Row],[D1]]/(Table_1[[#This Row],[RISCO]]-Table_1[[#This Row],[MÉDIA DE CRESCIMENTO]])</f>
        <v/>
      </c>
      <c r="AD453" s="130">
        <f>Table_1[[#This Row],[PREÇO JUSTO GORDON]]/(1+Table_1[[#This Row],[MARGEM DE DESCONTO]])</f>
        <v/>
      </c>
      <c r="AE453" s="78">
        <f>Table_1[[#This Row],[P/L]]/Table_1[[#This Row],[MÉDIA DE CRESCIMENTO]]</f>
        <v/>
      </c>
    </row>
    <row r="454" ht="15.75" customHeight="1">
      <c r="B454" s="77">
        <f>'Dados Status Invest'!A440</f>
        <v/>
      </c>
      <c r="C454" s="60">
        <f>VLOOKUP(Table_1[[#This Row],[AÇÕES]],'Classificação B3'!A:B,2,0)</f>
        <v/>
      </c>
      <c r="D454" s="60">
        <f>VLOOKUP(Table_1[[#This Row],[AÇÕES]],'Classificação B3'!A:D,4,0)</f>
        <v/>
      </c>
      <c r="E454" s="60">
        <f>VLOOKUP(Table_1[[#This Row],[AÇÕES]],'Classificação B3'!A:F,6,0)</f>
        <v/>
      </c>
      <c r="F454" s="60">
        <f>VLOOKUP(Table_1[[#This Row],[AÇÕES]],'Classificação B3'!A:G,7,0)</f>
        <v/>
      </c>
      <c r="G454" s="61">
        <f>VLOOKUP(Table_1[[#This Row],[AÇÕES]],'Dados Status Invest'!A:B,2,0)</f>
        <v/>
      </c>
      <c r="H454" s="62">
        <f>VLOOKUP(Table_1[[#This Row],[AÇÕES]],'Dados Status Invest'!A:C,3,0)/100</f>
        <v/>
      </c>
      <c r="I454" s="62">
        <f>VLOOKUP(Table_1[[#This Row],[AÇÕES]],'Dados Status Invest'!A:D,4,0)/100</f>
        <v/>
      </c>
      <c r="J454" s="63">
        <f>VLOOKUP(Table_1[[#This Row],[AÇÕES]],'Dados Status Invest'!A:AB,28,0)</f>
        <v/>
      </c>
      <c r="K454" s="63">
        <f>VLOOKUP(Table_1[[#This Row],[AÇÕES]],'Dados Status Invest'!A:AA,27,0)</f>
        <v/>
      </c>
      <c r="L454" s="63">
        <f>Table_1[[#This Row],[PREÇO]]*Table_1[[#This Row],[DY]]</f>
        <v/>
      </c>
      <c r="M454" s="62">
        <f>$E$13</f>
        <v/>
      </c>
      <c r="N454" s="62" t="n">
        <v>0.3</v>
      </c>
      <c r="O454" s="62">
        <f>Table_1[[#This Row],[DPA]]/Table_1[[#This Row],[LPA]]</f>
        <v/>
      </c>
      <c r="P454" s="62">
        <f>IF(Table_1[[#This Row],[PAYOUT]]&lt;=40%,"CRESCIMENTO",IF(Table_1[[#This Row],[PAYOUT]]&lt;=60%,"INDEFINIDO","DIVIDENDOS"))</f>
        <v/>
      </c>
      <c r="Q454" s="62">
        <f>VLOOKUP(Table_1[[#This Row],[AÇÕES]],'Dados Status Invest'!A:R,18,0)/100</f>
        <v/>
      </c>
      <c r="R454" s="62">
        <f>VLOOKUP(Table_1[[#This Row],[AÇÕES]],'Dados Status Invest'!A:Y,25,0)/100</f>
        <v/>
      </c>
      <c r="S454" s="62">
        <f>(1-Table_1[[#This Row],[PAYOUT]])*Table_1[[#This Row],[ROE]]</f>
        <v/>
      </c>
      <c r="T454" s="98">
        <f>AVERAGE(Table_1[[#This Row],[CAGR LUCRO 5A]],Table_1[[#This Row],[CRESCIMENTO DAMODARAN]])</f>
        <v/>
      </c>
      <c r="U454" s="64">
        <f>(Table_1[[#This Row],[PREÇO JUSTO BAZIN]]-Table_1[[#This Row],[PREÇO]])/Table_1[[#This Row],[PREÇO JUSTO BAZIN]]</f>
        <v/>
      </c>
      <c r="V454" s="129">
        <f>Table_1[[#This Row],[DPA]]/6%</f>
        <v/>
      </c>
      <c r="W454" s="129">
        <f>Table_1[[#This Row],[PREÇO JUSTO BAZIN]]/(1+Table_1[[#This Row],[MARGEM DE DESCONTO]])</f>
        <v/>
      </c>
      <c r="X454" s="64">
        <f>(Table_1[[#This Row],[PREÇO JUSTO GRAHAM]]-Table_1[[#This Row],[PREÇO]])/Table_1[[#This Row],[PREÇO JUSTO GRAHAM]]</f>
        <v/>
      </c>
      <c r="Y454" s="129">
        <f>(22.5*Table_1[[#This Row],[LPA]]*Table_1[[#This Row],[VPA]])^0.5</f>
        <v/>
      </c>
      <c r="Z454" s="129">
        <f>Table_1[[#This Row],[PREÇO JUSTO GRAHAM]]/(1+Table_1[[#This Row],[MARGEM DE DESCONTO]])</f>
        <v/>
      </c>
      <c r="AA454" s="64">
        <f>(Table_1[[#This Row],[PREÇO JUSTO GORDON]]-Table_1[[#This Row],[PREÇO]])/Table_1[[#This Row],[PREÇO JUSTO GORDON]]</f>
        <v/>
      </c>
      <c r="AB454" s="130">
        <f>Table_1[[#This Row],[DPA]]*(1+Table_1[[#This Row],[MÉDIA DE CRESCIMENTO]])</f>
        <v/>
      </c>
      <c r="AC454" s="130">
        <f>Table_1[[#This Row],[D1]]/(Table_1[[#This Row],[RISCO]]-Table_1[[#This Row],[MÉDIA DE CRESCIMENTO]])</f>
        <v/>
      </c>
      <c r="AD454" s="130">
        <f>Table_1[[#This Row],[PREÇO JUSTO GORDON]]/(1+Table_1[[#This Row],[MARGEM DE DESCONTO]])</f>
        <v/>
      </c>
      <c r="AE454" s="78">
        <f>Table_1[[#This Row],[P/L]]/Table_1[[#This Row],[MÉDIA DE CRESCIMENTO]]</f>
        <v/>
      </c>
    </row>
    <row r="455" ht="15.75" customHeight="1">
      <c r="B455" s="77">
        <f>'Dados Status Invest'!A441</f>
        <v/>
      </c>
      <c r="C455" s="60">
        <f>VLOOKUP(Table_1[[#This Row],[AÇÕES]],'Classificação B3'!A:B,2,0)</f>
        <v/>
      </c>
      <c r="D455" s="60">
        <f>VLOOKUP(Table_1[[#This Row],[AÇÕES]],'Classificação B3'!A:D,4,0)</f>
        <v/>
      </c>
      <c r="E455" s="60">
        <f>VLOOKUP(Table_1[[#This Row],[AÇÕES]],'Classificação B3'!A:F,6,0)</f>
        <v/>
      </c>
      <c r="F455" s="60">
        <f>VLOOKUP(Table_1[[#This Row],[AÇÕES]],'Classificação B3'!A:G,7,0)</f>
        <v/>
      </c>
      <c r="G455" s="61">
        <f>VLOOKUP(Table_1[[#This Row],[AÇÕES]],'Dados Status Invest'!A:B,2,0)</f>
        <v/>
      </c>
      <c r="H455" s="62">
        <f>VLOOKUP(Table_1[[#This Row],[AÇÕES]],'Dados Status Invest'!A:C,3,0)/100</f>
        <v/>
      </c>
      <c r="I455" s="62">
        <f>VLOOKUP(Table_1[[#This Row],[AÇÕES]],'Dados Status Invest'!A:D,4,0)/100</f>
        <v/>
      </c>
      <c r="J455" s="63">
        <f>VLOOKUP(Table_1[[#This Row],[AÇÕES]],'Dados Status Invest'!A:AB,28,0)</f>
        <v/>
      </c>
      <c r="K455" s="63">
        <f>VLOOKUP(Table_1[[#This Row],[AÇÕES]],'Dados Status Invest'!A:AA,27,0)</f>
        <v/>
      </c>
      <c r="L455" s="63">
        <f>Table_1[[#This Row],[PREÇO]]*Table_1[[#This Row],[DY]]</f>
        <v/>
      </c>
      <c r="M455" s="62">
        <f>$E$13</f>
        <v/>
      </c>
      <c r="N455" s="62" t="n">
        <v>0.3</v>
      </c>
      <c r="O455" s="62">
        <f>Table_1[[#This Row],[DPA]]/Table_1[[#This Row],[LPA]]</f>
        <v/>
      </c>
      <c r="P455" s="62">
        <f>IF(Table_1[[#This Row],[PAYOUT]]&lt;=40%,"CRESCIMENTO",IF(Table_1[[#This Row],[PAYOUT]]&lt;=60%,"INDEFINIDO","DIVIDENDOS"))</f>
        <v/>
      </c>
      <c r="Q455" s="62">
        <f>VLOOKUP(Table_1[[#This Row],[AÇÕES]],'Dados Status Invest'!A:R,18,0)/100</f>
        <v/>
      </c>
      <c r="R455" s="62">
        <f>VLOOKUP(Table_1[[#This Row],[AÇÕES]],'Dados Status Invest'!A:Y,25,0)/100</f>
        <v/>
      </c>
      <c r="S455" s="62">
        <f>(1-Table_1[[#This Row],[PAYOUT]])*Table_1[[#This Row],[ROE]]</f>
        <v/>
      </c>
      <c r="T455" s="98">
        <f>AVERAGE(Table_1[[#This Row],[CAGR LUCRO 5A]],Table_1[[#This Row],[CRESCIMENTO DAMODARAN]])</f>
        <v/>
      </c>
      <c r="U455" s="64">
        <f>(Table_1[[#This Row],[PREÇO JUSTO BAZIN]]-Table_1[[#This Row],[PREÇO]])/Table_1[[#This Row],[PREÇO JUSTO BAZIN]]</f>
        <v/>
      </c>
      <c r="V455" s="129">
        <f>Table_1[[#This Row],[DPA]]/6%</f>
        <v/>
      </c>
      <c r="W455" s="129">
        <f>Table_1[[#This Row],[PREÇO JUSTO BAZIN]]/(1+Table_1[[#This Row],[MARGEM DE DESCONTO]])</f>
        <v/>
      </c>
      <c r="X455" s="64">
        <f>(Table_1[[#This Row],[PREÇO JUSTO GRAHAM]]-Table_1[[#This Row],[PREÇO]])/Table_1[[#This Row],[PREÇO JUSTO GRAHAM]]</f>
        <v/>
      </c>
      <c r="Y455" s="129">
        <f>(22.5*Table_1[[#This Row],[LPA]]*Table_1[[#This Row],[VPA]])^0.5</f>
        <v/>
      </c>
      <c r="Z455" s="129">
        <f>Table_1[[#This Row],[PREÇO JUSTO GRAHAM]]/(1+Table_1[[#This Row],[MARGEM DE DESCONTO]])</f>
        <v/>
      </c>
      <c r="AA455" s="64">
        <f>(Table_1[[#This Row],[PREÇO JUSTO GORDON]]-Table_1[[#This Row],[PREÇO]])/Table_1[[#This Row],[PREÇO JUSTO GORDON]]</f>
        <v/>
      </c>
      <c r="AB455" s="130">
        <f>Table_1[[#This Row],[DPA]]*(1+Table_1[[#This Row],[MÉDIA DE CRESCIMENTO]])</f>
        <v/>
      </c>
      <c r="AC455" s="130">
        <f>Table_1[[#This Row],[D1]]/(Table_1[[#This Row],[RISCO]]-Table_1[[#This Row],[MÉDIA DE CRESCIMENTO]])</f>
        <v/>
      </c>
      <c r="AD455" s="130">
        <f>Table_1[[#This Row],[PREÇO JUSTO GORDON]]/(1+Table_1[[#This Row],[MARGEM DE DESCONTO]])</f>
        <v/>
      </c>
      <c r="AE455" s="78">
        <f>Table_1[[#This Row],[P/L]]/Table_1[[#This Row],[MÉDIA DE CRESCIMENTO]]</f>
        <v/>
      </c>
    </row>
    <row r="456" ht="15.75" customHeight="1">
      <c r="B456" s="77">
        <f>'Dados Status Invest'!A442</f>
        <v/>
      </c>
      <c r="C456" s="60">
        <f>VLOOKUP(Table_1[[#This Row],[AÇÕES]],'Classificação B3'!A:B,2,0)</f>
        <v/>
      </c>
      <c r="D456" s="60">
        <f>VLOOKUP(Table_1[[#This Row],[AÇÕES]],'Classificação B3'!A:D,4,0)</f>
        <v/>
      </c>
      <c r="E456" s="60">
        <f>VLOOKUP(Table_1[[#This Row],[AÇÕES]],'Classificação B3'!A:F,6,0)</f>
        <v/>
      </c>
      <c r="F456" s="60">
        <f>VLOOKUP(Table_1[[#This Row],[AÇÕES]],'Classificação B3'!A:G,7,0)</f>
        <v/>
      </c>
      <c r="G456" s="61">
        <f>VLOOKUP(Table_1[[#This Row],[AÇÕES]],'Dados Status Invest'!A:B,2,0)</f>
        <v/>
      </c>
      <c r="H456" s="62">
        <f>VLOOKUP(Table_1[[#This Row],[AÇÕES]],'Dados Status Invest'!A:C,3,0)/100</f>
        <v/>
      </c>
      <c r="I456" s="62">
        <f>VLOOKUP(Table_1[[#This Row],[AÇÕES]],'Dados Status Invest'!A:D,4,0)/100</f>
        <v/>
      </c>
      <c r="J456" s="63">
        <f>VLOOKUP(Table_1[[#This Row],[AÇÕES]],'Dados Status Invest'!A:AB,28,0)</f>
        <v/>
      </c>
      <c r="K456" s="63">
        <f>VLOOKUP(Table_1[[#This Row],[AÇÕES]],'Dados Status Invest'!A:AA,27,0)</f>
        <v/>
      </c>
      <c r="L456" s="63">
        <f>Table_1[[#This Row],[PREÇO]]*Table_1[[#This Row],[DY]]</f>
        <v/>
      </c>
      <c r="M456" s="62">
        <f>$E$13</f>
        <v/>
      </c>
      <c r="N456" s="62" t="n">
        <v>0.3</v>
      </c>
      <c r="O456" s="62">
        <f>Table_1[[#This Row],[DPA]]/Table_1[[#This Row],[LPA]]</f>
        <v/>
      </c>
      <c r="P456" s="62">
        <f>IF(Table_1[[#This Row],[PAYOUT]]&lt;=40%,"CRESCIMENTO",IF(Table_1[[#This Row],[PAYOUT]]&lt;=60%,"INDEFINIDO","DIVIDENDOS"))</f>
        <v/>
      </c>
      <c r="Q456" s="62">
        <f>VLOOKUP(Table_1[[#This Row],[AÇÕES]],'Dados Status Invest'!A:R,18,0)/100</f>
        <v/>
      </c>
      <c r="R456" s="62">
        <f>VLOOKUP(Table_1[[#This Row],[AÇÕES]],'Dados Status Invest'!A:Y,25,0)/100</f>
        <v/>
      </c>
      <c r="S456" s="62">
        <f>(1-Table_1[[#This Row],[PAYOUT]])*Table_1[[#This Row],[ROE]]</f>
        <v/>
      </c>
      <c r="T456" s="98">
        <f>AVERAGE(Table_1[[#This Row],[CAGR LUCRO 5A]],Table_1[[#This Row],[CRESCIMENTO DAMODARAN]])</f>
        <v/>
      </c>
      <c r="U456" s="64">
        <f>(Table_1[[#This Row],[PREÇO JUSTO BAZIN]]-Table_1[[#This Row],[PREÇO]])/Table_1[[#This Row],[PREÇO JUSTO BAZIN]]</f>
        <v/>
      </c>
      <c r="V456" s="129">
        <f>Table_1[[#This Row],[DPA]]/6%</f>
        <v/>
      </c>
      <c r="W456" s="129">
        <f>Table_1[[#This Row],[PREÇO JUSTO BAZIN]]/(1+Table_1[[#This Row],[MARGEM DE DESCONTO]])</f>
        <v/>
      </c>
      <c r="X456" s="64">
        <f>(Table_1[[#This Row],[PREÇO JUSTO GRAHAM]]-Table_1[[#This Row],[PREÇO]])/Table_1[[#This Row],[PREÇO JUSTO GRAHAM]]</f>
        <v/>
      </c>
      <c r="Y456" s="129">
        <f>(22.5*Table_1[[#This Row],[LPA]]*Table_1[[#This Row],[VPA]])^0.5</f>
        <v/>
      </c>
      <c r="Z456" s="129">
        <f>Table_1[[#This Row],[PREÇO JUSTO GRAHAM]]/(1+Table_1[[#This Row],[MARGEM DE DESCONTO]])</f>
        <v/>
      </c>
      <c r="AA456" s="64">
        <f>(Table_1[[#This Row],[PREÇO JUSTO GORDON]]-Table_1[[#This Row],[PREÇO]])/Table_1[[#This Row],[PREÇO JUSTO GORDON]]</f>
        <v/>
      </c>
      <c r="AB456" s="130">
        <f>Table_1[[#This Row],[DPA]]*(1+Table_1[[#This Row],[MÉDIA DE CRESCIMENTO]])</f>
        <v/>
      </c>
      <c r="AC456" s="130">
        <f>Table_1[[#This Row],[D1]]/(Table_1[[#This Row],[RISCO]]-Table_1[[#This Row],[MÉDIA DE CRESCIMENTO]])</f>
        <v/>
      </c>
      <c r="AD456" s="130">
        <f>Table_1[[#This Row],[PREÇO JUSTO GORDON]]/(1+Table_1[[#This Row],[MARGEM DE DESCONTO]])</f>
        <v/>
      </c>
      <c r="AE456" s="78">
        <f>Table_1[[#This Row],[P/L]]/Table_1[[#This Row],[MÉDIA DE CRESCIMENTO]]</f>
        <v/>
      </c>
    </row>
    <row r="457" ht="15.75" customHeight="1">
      <c r="B457" s="77">
        <f>'Dados Status Invest'!A443</f>
        <v/>
      </c>
      <c r="C457" s="60">
        <f>VLOOKUP(Table_1[[#This Row],[AÇÕES]],'Classificação B3'!A:B,2,0)</f>
        <v/>
      </c>
      <c r="D457" s="60">
        <f>VLOOKUP(Table_1[[#This Row],[AÇÕES]],'Classificação B3'!A:D,4,0)</f>
        <v/>
      </c>
      <c r="E457" s="60">
        <f>VLOOKUP(Table_1[[#This Row],[AÇÕES]],'Classificação B3'!A:F,6,0)</f>
        <v/>
      </c>
      <c r="F457" s="60">
        <f>VLOOKUP(Table_1[[#This Row],[AÇÕES]],'Classificação B3'!A:G,7,0)</f>
        <v/>
      </c>
      <c r="G457" s="61">
        <f>VLOOKUP(Table_1[[#This Row],[AÇÕES]],'Dados Status Invest'!A:B,2,0)</f>
        <v/>
      </c>
      <c r="H457" s="62">
        <f>VLOOKUP(Table_1[[#This Row],[AÇÕES]],'Dados Status Invest'!A:C,3,0)/100</f>
        <v/>
      </c>
      <c r="I457" s="62">
        <f>VLOOKUP(Table_1[[#This Row],[AÇÕES]],'Dados Status Invest'!A:D,4,0)/100</f>
        <v/>
      </c>
      <c r="J457" s="63">
        <f>VLOOKUP(Table_1[[#This Row],[AÇÕES]],'Dados Status Invest'!A:AB,28,0)</f>
        <v/>
      </c>
      <c r="K457" s="63">
        <f>VLOOKUP(Table_1[[#This Row],[AÇÕES]],'Dados Status Invest'!A:AA,27,0)</f>
        <v/>
      </c>
      <c r="L457" s="63">
        <f>Table_1[[#This Row],[PREÇO]]*Table_1[[#This Row],[DY]]</f>
        <v/>
      </c>
      <c r="M457" s="62">
        <f>$E$13</f>
        <v/>
      </c>
      <c r="N457" s="62" t="n">
        <v>0.3</v>
      </c>
      <c r="O457" s="62">
        <f>Table_1[[#This Row],[DPA]]/Table_1[[#This Row],[LPA]]</f>
        <v/>
      </c>
      <c r="P457" s="62">
        <f>IF(Table_1[[#This Row],[PAYOUT]]&lt;=40%,"CRESCIMENTO",IF(Table_1[[#This Row],[PAYOUT]]&lt;=60%,"INDEFINIDO","DIVIDENDOS"))</f>
        <v/>
      </c>
      <c r="Q457" s="62">
        <f>VLOOKUP(Table_1[[#This Row],[AÇÕES]],'Dados Status Invest'!A:R,18,0)/100</f>
        <v/>
      </c>
      <c r="R457" s="62">
        <f>VLOOKUP(Table_1[[#This Row],[AÇÕES]],'Dados Status Invest'!A:Y,25,0)/100</f>
        <v/>
      </c>
      <c r="S457" s="62">
        <f>(1-Table_1[[#This Row],[PAYOUT]])*Table_1[[#This Row],[ROE]]</f>
        <v/>
      </c>
      <c r="T457" s="98">
        <f>AVERAGE(Table_1[[#This Row],[CAGR LUCRO 5A]],Table_1[[#This Row],[CRESCIMENTO DAMODARAN]])</f>
        <v/>
      </c>
      <c r="U457" s="64">
        <f>(Table_1[[#This Row],[PREÇO JUSTO BAZIN]]-Table_1[[#This Row],[PREÇO]])/Table_1[[#This Row],[PREÇO JUSTO BAZIN]]</f>
        <v/>
      </c>
      <c r="V457" s="129">
        <f>Table_1[[#This Row],[DPA]]/6%</f>
        <v/>
      </c>
      <c r="W457" s="129">
        <f>Table_1[[#This Row],[PREÇO JUSTO BAZIN]]/(1+Table_1[[#This Row],[MARGEM DE DESCONTO]])</f>
        <v/>
      </c>
      <c r="X457" s="64">
        <f>(Table_1[[#This Row],[PREÇO JUSTO GRAHAM]]-Table_1[[#This Row],[PREÇO]])/Table_1[[#This Row],[PREÇO JUSTO GRAHAM]]</f>
        <v/>
      </c>
      <c r="Y457" s="129">
        <f>(22.5*Table_1[[#This Row],[LPA]]*Table_1[[#This Row],[VPA]])^0.5</f>
        <v/>
      </c>
      <c r="Z457" s="129">
        <f>Table_1[[#This Row],[PREÇO JUSTO GRAHAM]]/(1+Table_1[[#This Row],[MARGEM DE DESCONTO]])</f>
        <v/>
      </c>
      <c r="AA457" s="64">
        <f>(Table_1[[#This Row],[PREÇO JUSTO GORDON]]-Table_1[[#This Row],[PREÇO]])/Table_1[[#This Row],[PREÇO JUSTO GORDON]]</f>
        <v/>
      </c>
      <c r="AB457" s="130">
        <f>Table_1[[#This Row],[DPA]]*(1+Table_1[[#This Row],[MÉDIA DE CRESCIMENTO]])</f>
        <v/>
      </c>
      <c r="AC457" s="130">
        <f>Table_1[[#This Row],[D1]]/(Table_1[[#This Row],[RISCO]]-Table_1[[#This Row],[MÉDIA DE CRESCIMENTO]])</f>
        <v/>
      </c>
      <c r="AD457" s="130">
        <f>Table_1[[#This Row],[PREÇO JUSTO GORDON]]/(1+Table_1[[#This Row],[MARGEM DE DESCONTO]])</f>
        <v/>
      </c>
      <c r="AE457" s="78">
        <f>Table_1[[#This Row],[P/L]]/Table_1[[#This Row],[MÉDIA DE CRESCIMENTO]]</f>
        <v/>
      </c>
    </row>
    <row r="458" ht="15.75" customHeight="1">
      <c r="B458" s="77">
        <f>'Dados Status Invest'!A444</f>
        <v/>
      </c>
      <c r="C458" s="60">
        <f>VLOOKUP(Table_1[[#This Row],[AÇÕES]],'Classificação B3'!A:B,2,0)</f>
        <v/>
      </c>
      <c r="D458" s="60">
        <f>VLOOKUP(Table_1[[#This Row],[AÇÕES]],'Classificação B3'!A:D,4,0)</f>
        <v/>
      </c>
      <c r="E458" s="60">
        <f>VLOOKUP(Table_1[[#This Row],[AÇÕES]],'Classificação B3'!A:F,6,0)</f>
        <v/>
      </c>
      <c r="F458" s="60">
        <f>VLOOKUP(Table_1[[#This Row],[AÇÕES]],'Classificação B3'!A:G,7,0)</f>
        <v/>
      </c>
      <c r="G458" s="61">
        <f>VLOOKUP(Table_1[[#This Row],[AÇÕES]],'Dados Status Invest'!A:B,2,0)</f>
        <v/>
      </c>
      <c r="H458" s="62">
        <f>VLOOKUP(Table_1[[#This Row],[AÇÕES]],'Dados Status Invest'!A:C,3,0)/100</f>
        <v/>
      </c>
      <c r="I458" s="62">
        <f>VLOOKUP(Table_1[[#This Row],[AÇÕES]],'Dados Status Invest'!A:D,4,0)/100</f>
        <v/>
      </c>
      <c r="J458" s="63">
        <f>VLOOKUP(Table_1[[#This Row],[AÇÕES]],'Dados Status Invest'!A:AB,28,0)</f>
        <v/>
      </c>
      <c r="K458" s="63">
        <f>VLOOKUP(Table_1[[#This Row],[AÇÕES]],'Dados Status Invest'!A:AA,27,0)</f>
        <v/>
      </c>
      <c r="L458" s="63">
        <f>Table_1[[#This Row],[PREÇO]]*Table_1[[#This Row],[DY]]</f>
        <v/>
      </c>
      <c r="M458" s="62">
        <f>$E$13</f>
        <v/>
      </c>
      <c r="N458" s="62" t="n">
        <v>0.3</v>
      </c>
      <c r="O458" s="62">
        <f>Table_1[[#This Row],[DPA]]/Table_1[[#This Row],[LPA]]</f>
        <v/>
      </c>
      <c r="P458" s="62">
        <f>IF(Table_1[[#This Row],[PAYOUT]]&lt;=40%,"CRESCIMENTO",IF(Table_1[[#This Row],[PAYOUT]]&lt;=60%,"INDEFINIDO","DIVIDENDOS"))</f>
        <v/>
      </c>
      <c r="Q458" s="62">
        <f>VLOOKUP(Table_1[[#This Row],[AÇÕES]],'Dados Status Invest'!A:R,18,0)/100</f>
        <v/>
      </c>
      <c r="R458" s="62">
        <f>VLOOKUP(Table_1[[#This Row],[AÇÕES]],'Dados Status Invest'!A:Y,25,0)/100</f>
        <v/>
      </c>
      <c r="S458" s="62">
        <f>(1-Table_1[[#This Row],[PAYOUT]])*Table_1[[#This Row],[ROE]]</f>
        <v/>
      </c>
      <c r="T458" s="98">
        <f>AVERAGE(Table_1[[#This Row],[CAGR LUCRO 5A]],Table_1[[#This Row],[CRESCIMENTO DAMODARAN]])</f>
        <v/>
      </c>
      <c r="U458" s="64">
        <f>(Table_1[[#This Row],[PREÇO JUSTO BAZIN]]-Table_1[[#This Row],[PREÇO]])/Table_1[[#This Row],[PREÇO JUSTO BAZIN]]</f>
        <v/>
      </c>
      <c r="V458" s="129">
        <f>Table_1[[#This Row],[DPA]]/6%</f>
        <v/>
      </c>
      <c r="W458" s="129">
        <f>Table_1[[#This Row],[PREÇO JUSTO BAZIN]]/(1+Table_1[[#This Row],[MARGEM DE DESCONTO]])</f>
        <v/>
      </c>
      <c r="X458" s="64">
        <f>(Table_1[[#This Row],[PREÇO JUSTO GRAHAM]]-Table_1[[#This Row],[PREÇO]])/Table_1[[#This Row],[PREÇO JUSTO GRAHAM]]</f>
        <v/>
      </c>
      <c r="Y458" s="129">
        <f>(22.5*Table_1[[#This Row],[LPA]]*Table_1[[#This Row],[VPA]])^0.5</f>
        <v/>
      </c>
      <c r="Z458" s="129">
        <f>Table_1[[#This Row],[PREÇO JUSTO GRAHAM]]/(1+Table_1[[#This Row],[MARGEM DE DESCONTO]])</f>
        <v/>
      </c>
      <c r="AA458" s="64">
        <f>(Table_1[[#This Row],[PREÇO JUSTO GORDON]]-Table_1[[#This Row],[PREÇO]])/Table_1[[#This Row],[PREÇO JUSTO GORDON]]</f>
        <v/>
      </c>
      <c r="AB458" s="130">
        <f>Table_1[[#This Row],[DPA]]*(1+Table_1[[#This Row],[MÉDIA DE CRESCIMENTO]])</f>
        <v/>
      </c>
      <c r="AC458" s="130">
        <f>Table_1[[#This Row],[D1]]/(Table_1[[#This Row],[RISCO]]-Table_1[[#This Row],[MÉDIA DE CRESCIMENTO]])</f>
        <v/>
      </c>
      <c r="AD458" s="130">
        <f>Table_1[[#This Row],[PREÇO JUSTO GORDON]]/(1+Table_1[[#This Row],[MARGEM DE DESCONTO]])</f>
        <v/>
      </c>
      <c r="AE458" s="78">
        <f>Table_1[[#This Row],[P/L]]/Table_1[[#This Row],[MÉDIA DE CRESCIMENTO]]</f>
        <v/>
      </c>
    </row>
    <row r="459" ht="15.75" customHeight="1">
      <c r="B459" s="77">
        <f>'Dados Status Invest'!A445</f>
        <v/>
      </c>
      <c r="C459" s="60">
        <f>VLOOKUP(Table_1[[#This Row],[AÇÕES]],'Classificação B3'!A:B,2,0)</f>
        <v/>
      </c>
      <c r="D459" s="60">
        <f>VLOOKUP(Table_1[[#This Row],[AÇÕES]],'Classificação B3'!A:D,4,0)</f>
        <v/>
      </c>
      <c r="E459" s="60">
        <f>VLOOKUP(Table_1[[#This Row],[AÇÕES]],'Classificação B3'!A:F,6,0)</f>
        <v/>
      </c>
      <c r="F459" s="60">
        <f>VLOOKUP(Table_1[[#This Row],[AÇÕES]],'Classificação B3'!A:G,7,0)</f>
        <v/>
      </c>
      <c r="G459" s="61">
        <f>VLOOKUP(Table_1[[#This Row],[AÇÕES]],'Dados Status Invest'!A:B,2,0)</f>
        <v/>
      </c>
      <c r="H459" s="62">
        <f>VLOOKUP(Table_1[[#This Row],[AÇÕES]],'Dados Status Invest'!A:C,3,0)/100</f>
        <v/>
      </c>
      <c r="I459" s="62">
        <f>VLOOKUP(Table_1[[#This Row],[AÇÕES]],'Dados Status Invest'!A:D,4,0)/100</f>
        <v/>
      </c>
      <c r="J459" s="63">
        <f>VLOOKUP(Table_1[[#This Row],[AÇÕES]],'Dados Status Invest'!A:AB,28,0)</f>
        <v/>
      </c>
      <c r="K459" s="63">
        <f>VLOOKUP(Table_1[[#This Row],[AÇÕES]],'Dados Status Invest'!A:AA,27,0)</f>
        <v/>
      </c>
      <c r="L459" s="63">
        <f>Table_1[[#This Row],[PREÇO]]*Table_1[[#This Row],[DY]]</f>
        <v/>
      </c>
      <c r="M459" s="62">
        <f>$E$13</f>
        <v/>
      </c>
      <c r="N459" s="62" t="n">
        <v>0.3</v>
      </c>
      <c r="O459" s="62">
        <f>Table_1[[#This Row],[DPA]]/Table_1[[#This Row],[LPA]]</f>
        <v/>
      </c>
      <c r="P459" s="62">
        <f>IF(Table_1[[#This Row],[PAYOUT]]&lt;=40%,"CRESCIMENTO",IF(Table_1[[#This Row],[PAYOUT]]&lt;=60%,"INDEFINIDO","DIVIDENDOS"))</f>
        <v/>
      </c>
      <c r="Q459" s="62">
        <f>VLOOKUP(Table_1[[#This Row],[AÇÕES]],'Dados Status Invest'!A:R,18,0)/100</f>
        <v/>
      </c>
      <c r="R459" s="62">
        <f>VLOOKUP(Table_1[[#This Row],[AÇÕES]],'Dados Status Invest'!A:Y,25,0)/100</f>
        <v/>
      </c>
      <c r="S459" s="62">
        <f>(1-Table_1[[#This Row],[PAYOUT]])*Table_1[[#This Row],[ROE]]</f>
        <v/>
      </c>
      <c r="T459" s="98">
        <f>AVERAGE(Table_1[[#This Row],[CAGR LUCRO 5A]],Table_1[[#This Row],[CRESCIMENTO DAMODARAN]])</f>
        <v/>
      </c>
      <c r="U459" s="64">
        <f>(Table_1[[#This Row],[PREÇO JUSTO BAZIN]]-Table_1[[#This Row],[PREÇO]])/Table_1[[#This Row],[PREÇO JUSTO BAZIN]]</f>
        <v/>
      </c>
      <c r="V459" s="129">
        <f>Table_1[[#This Row],[DPA]]/6%</f>
        <v/>
      </c>
      <c r="W459" s="129">
        <f>Table_1[[#This Row],[PREÇO JUSTO BAZIN]]/(1+Table_1[[#This Row],[MARGEM DE DESCONTO]])</f>
        <v/>
      </c>
      <c r="X459" s="64">
        <f>(Table_1[[#This Row],[PREÇO JUSTO GRAHAM]]-Table_1[[#This Row],[PREÇO]])/Table_1[[#This Row],[PREÇO JUSTO GRAHAM]]</f>
        <v/>
      </c>
      <c r="Y459" s="129">
        <f>(22.5*Table_1[[#This Row],[LPA]]*Table_1[[#This Row],[VPA]])^0.5</f>
        <v/>
      </c>
      <c r="Z459" s="129">
        <f>Table_1[[#This Row],[PREÇO JUSTO GRAHAM]]/(1+Table_1[[#This Row],[MARGEM DE DESCONTO]])</f>
        <v/>
      </c>
      <c r="AA459" s="64">
        <f>(Table_1[[#This Row],[PREÇO JUSTO GORDON]]-Table_1[[#This Row],[PREÇO]])/Table_1[[#This Row],[PREÇO JUSTO GORDON]]</f>
        <v/>
      </c>
      <c r="AB459" s="130">
        <f>Table_1[[#This Row],[DPA]]*(1+Table_1[[#This Row],[MÉDIA DE CRESCIMENTO]])</f>
        <v/>
      </c>
      <c r="AC459" s="130">
        <f>Table_1[[#This Row],[D1]]/(Table_1[[#This Row],[RISCO]]-Table_1[[#This Row],[MÉDIA DE CRESCIMENTO]])</f>
        <v/>
      </c>
      <c r="AD459" s="130">
        <f>Table_1[[#This Row],[PREÇO JUSTO GORDON]]/(1+Table_1[[#This Row],[MARGEM DE DESCONTO]])</f>
        <v/>
      </c>
      <c r="AE459" s="78">
        <f>Table_1[[#This Row],[P/L]]/Table_1[[#This Row],[MÉDIA DE CRESCIMENTO]]</f>
        <v/>
      </c>
    </row>
    <row r="460" ht="15.75" customHeight="1">
      <c r="B460" s="77">
        <f>'Dados Status Invest'!A446</f>
        <v/>
      </c>
      <c r="C460" s="60">
        <f>VLOOKUP(Table_1[[#This Row],[AÇÕES]],'Classificação B3'!A:B,2,0)</f>
        <v/>
      </c>
      <c r="D460" s="60">
        <f>VLOOKUP(Table_1[[#This Row],[AÇÕES]],'Classificação B3'!A:D,4,0)</f>
        <v/>
      </c>
      <c r="E460" s="60">
        <f>VLOOKUP(Table_1[[#This Row],[AÇÕES]],'Classificação B3'!A:F,6,0)</f>
        <v/>
      </c>
      <c r="F460" s="60">
        <f>VLOOKUP(Table_1[[#This Row],[AÇÕES]],'Classificação B3'!A:G,7,0)</f>
        <v/>
      </c>
      <c r="G460" s="61">
        <f>VLOOKUP(Table_1[[#This Row],[AÇÕES]],'Dados Status Invest'!A:B,2,0)</f>
        <v/>
      </c>
      <c r="H460" s="62">
        <f>VLOOKUP(Table_1[[#This Row],[AÇÕES]],'Dados Status Invest'!A:C,3,0)/100</f>
        <v/>
      </c>
      <c r="I460" s="62">
        <f>VLOOKUP(Table_1[[#This Row],[AÇÕES]],'Dados Status Invest'!A:D,4,0)/100</f>
        <v/>
      </c>
      <c r="J460" s="63">
        <f>VLOOKUP(Table_1[[#This Row],[AÇÕES]],'Dados Status Invest'!A:AB,28,0)</f>
        <v/>
      </c>
      <c r="K460" s="63">
        <f>VLOOKUP(Table_1[[#This Row],[AÇÕES]],'Dados Status Invest'!A:AA,27,0)</f>
        <v/>
      </c>
      <c r="L460" s="63">
        <f>Table_1[[#This Row],[PREÇO]]*Table_1[[#This Row],[DY]]</f>
        <v/>
      </c>
      <c r="M460" s="62">
        <f>$E$13</f>
        <v/>
      </c>
      <c r="N460" s="62" t="n">
        <v>0.3</v>
      </c>
      <c r="O460" s="62">
        <f>Table_1[[#This Row],[DPA]]/Table_1[[#This Row],[LPA]]</f>
        <v/>
      </c>
      <c r="P460" s="62">
        <f>IF(Table_1[[#This Row],[PAYOUT]]&lt;=40%,"CRESCIMENTO",IF(Table_1[[#This Row],[PAYOUT]]&lt;=60%,"INDEFINIDO","DIVIDENDOS"))</f>
        <v/>
      </c>
      <c r="Q460" s="62">
        <f>VLOOKUP(Table_1[[#This Row],[AÇÕES]],'Dados Status Invest'!A:R,18,0)/100</f>
        <v/>
      </c>
      <c r="R460" s="62">
        <f>VLOOKUP(Table_1[[#This Row],[AÇÕES]],'Dados Status Invest'!A:Y,25,0)/100</f>
        <v/>
      </c>
      <c r="S460" s="62">
        <f>(1-Table_1[[#This Row],[PAYOUT]])*Table_1[[#This Row],[ROE]]</f>
        <v/>
      </c>
      <c r="T460" s="98">
        <f>AVERAGE(Table_1[[#This Row],[CAGR LUCRO 5A]],Table_1[[#This Row],[CRESCIMENTO DAMODARAN]])</f>
        <v/>
      </c>
      <c r="U460" s="64">
        <f>(Table_1[[#This Row],[PREÇO JUSTO BAZIN]]-Table_1[[#This Row],[PREÇO]])/Table_1[[#This Row],[PREÇO JUSTO BAZIN]]</f>
        <v/>
      </c>
      <c r="V460" s="129">
        <f>Table_1[[#This Row],[DPA]]/6%</f>
        <v/>
      </c>
      <c r="W460" s="129">
        <f>Table_1[[#This Row],[PREÇO JUSTO BAZIN]]/(1+Table_1[[#This Row],[MARGEM DE DESCONTO]])</f>
        <v/>
      </c>
      <c r="X460" s="64">
        <f>(Table_1[[#This Row],[PREÇO JUSTO GRAHAM]]-Table_1[[#This Row],[PREÇO]])/Table_1[[#This Row],[PREÇO JUSTO GRAHAM]]</f>
        <v/>
      </c>
      <c r="Y460" s="129">
        <f>(22.5*Table_1[[#This Row],[LPA]]*Table_1[[#This Row],[VPA]])^0.5</f>
        <v/>
      </c>
      <c r="Z460" s="129">
        <f>Table_1[[#This Row],[PREÇO JUSTO GRAHAM]]/(1+Table_1[[#This Row],[MARGEM DE DESCONTO]])</f>
        <v/>
      </c>
      <c r="AA460" s="64">
        <f>(Table_1[[#This Row],[PREÇO JUSTO GORDON]]-Table_1[[#This Row],[PREÇO]])/Table_1[[#This Row],[PREÇO JUSTO GORDON]]</f>
        <v/>
      </c>
      <c r="AB460" s="130">
        <f>Table_1[[#This Row],[DPA]]*(1+Table_1[[#This Row],[MÉDIA DE CRESCIMENTO]])</f>
        <v/>
      </c>
      <c r="AC460" s="130">
        <f>Table_1[[#This Row],[D1]]/(Table_1[[#This Row],[RISCO]]-Table_1[[#This Row],[MÉDIA DE CRESCIMENTO]])</f>
        <v/>
      </c>
      <c r="AD460" s="130">
        <f>Table_1[[#This Row],[PREÇO JUSTO GORDON]]/(1+Table_1[[#This Row],[MARGEM DE DESCONTO]])</f>
        <v/>
      </c>
      <c r="AE460" s="78">
        <f>Table_1[[#This Row],[P/L]]/Table_1[[#This Row],[MÉDIA DE CRESCIMENTO]]</f>
        <v/>
      </c>
    </row>
    <row r="461" ht="15.75" customHeight="1">
      <c r="B461" s="77">
        <f>'Dados Status Invest'!A447</f>
        <v/>
      </c>
      <c r="C461" s="60">
        <f>VLOOKUP(Table_1[[#This Row],[AÇÕES]],'Classificação B3'!A:B,2,0)</f>
        <v/>
      </c>
      <c r="D461" s="60">
        <f>VLOOKUP(Table_1[[#This Row],[AÇÕES]],'Classificação B3'!A:D,4,0)</f>
        <v/>
      </c>
      <c r="E461" s="60">
        <f>VLOOKUP(Table_1[[#This Row],[AÇÕES]],'Classificação B3'!A:F,6,0)</f>
        <v/>
      </c>
      <c r="F461" s="60">
        <f>VLOOKUP(Table_1[[#This Row],[AÇÕES]],'Classificação B3'!A:G,7,0)</f>
        <v/>
      </c>
      <c r="G461" s="61">
        <f>VLOOKUP(Table_1[[#This Row],[AÇÕES]],'Dados Status Invest'!A:B,2,0)</f>
        <v/>
      </c>
      <c r="H461" s="62">
        <f>VLOOKUP(Table_1[[#This Row],[AÇÕES]],'Dados Status Invest'!A:C,3,0)/100</f>
        <v/>
      </c>
      <c r="I461" s="62">
        <f>VLOOKUP(Table_1[[#This Row],[AÇÕES]],'Dados Status Invest'!A:D,4,0)/100</f>
        <v/>
      </c>
      <c r="J461" s="63">
        <f>VLOOKUP(Table_1[[#This Row],[AÇÕES]],'Dados Status Invest'!A:AB,28,0)</f>
        <v/>
      </c>
      <c r="K461" s="63">
        <f>VLOOKUP(Table_1[[#This Row],[AÇÕES]],'Dados Status Invest'!A:AA,27,0)</f>
        <v/>
      </c>
      <c r="L461" s="63">
        <f>Table_1[[#This Row],[PREÇO]]*Table_1[[#This Row],[DY]]</f>
        <v/>
      </c>
      <c r="M461" s="62">
        <f>$E$13</f>
        <v/>
      </c>
      <c r="N461" s="62" t="n">
        <v>0.3</v>
      </c>
      <c r="O461" s="62">
        <f>Table_1[[#This Row],[DPA]]/Table_1[[#This Row],[LPA]]</f>
        <v/>
      </c>
      <c r="P461" s="62">
        <f>IF(Table_1[[#This Row],[PAYOUT]]&lt;=40%,"CRESCIMENTO",IF(Table_1[[#This Row],[PAYOUT]]&lt;=60%,"INDEFINIDO","DIVIDENDOS"))</f>
        <v/>
      </c>
      <c r="Q461" s="62">
        <f>VLOOKUP(Table_1[[#This Row],[AÇÕES]],'Dados Status Invest'!A:R,18,0)/100</f>
        <v/>
      </c>
      <c r="R461" s="62">
        <f>VLOOKUP(Table_1[[#This Row],[AÇÕES]],'Dados Status Invest'!A:Y,25,0)/100</f>
        <v/>
      </c>
      <c r="S461" s="62">
        <f>(1-Table_1[[#This Row],[PAYOUT]])*Table_1[[#This Row],[ROE]]</f>
        <v/>
      </c>
      <c r="T461" s="98">
        <f>AVERAGE(Table_1[[#This Row],[CAGR LUCRO 5A]],Table_1[[#This Row],[CRESCIMENTO DAMODARAN]])</f>
        <v/>
      </c>
      <c r="U461" s="64">
        <f>(Table_1[[#This Row],[PREÇO JUSTO BAZIN]]-Table_1[[#This Row],[PREÇO]])/Table_1[[#This Row],[PREÇO JUSTO BAZIN]]</f>
        <v/>
      </c>
      <c r="V461" s="129">
        <f>Table_1[[#This Row],[DPA]]/6%</f>
        <v/>
      </c>
      <c r="W461" s="129">
        <f>Table_1[[#This Row],[PREÇO JUSTO BAZIN]]/(1+Table_1[[#This Row],[MARGEM DE DESCONTO]])</f>
        <v/>
      </c>
      <c r="X461" s="64">
        <f>(Table_1[[#This Row],[PREÇO JUSTO GRAHAM]]-Table_1[[#This Row],[PREÇO]])/Table_1[[#This Row],[PREÇO JUSTO GRAHAM]]</f>
        <v/>
      </c>
      <c r="Y461" s="129">
        <f>(22.5*Table_1[[#This Row],[LPA]]*Table_1[[#This Row],[VPA]])^0.5</f>
        <v/>
      </c>
      <c r="Z461" s="129">
        <f>Table_1[[#This Row],[PREÇO JUSTO GRAHAM]]/(1+Table_1[[#This Row],[MARGEM DE DESCONTO]])</f>
        <v/>
      </c>
      <c r="AA461" s="64">
        <f>(Table_1[[#This Row],[PREÇO JUSTO GORDON]]-Table_1[[#This Row],[PREÇO]])/Table_1[[#This Row],[PREÇO JUSTO GORDON]]</f>
        <v/>
      </c>
      <c r="AB461" s="130">
        <f>Table_1[[#This Row],[DPA]]*(1+Table_1[[#This Row],[MÉDIA DE CRESCIMENTO]])</f>
        <v/>
      </c>
      <c r="AC461" s="130">
        <f>Table_1[[#This Row],[D1]]/(Table_1[[#This Row],[RISCO]]-Table_1[[#This Row],[MÉDIA DE CRESCIMENTO]])</f>
        <v/>
      </c>
      <c r="AD461" s="130">
        <f>Table_1[[#This Row],[PREÇO JUSTO GORDON]]/(1+Table_1[[#This Row],[MARGEM DE DESCONTO]])</f>
        <v/>
      </c>
      <c r="AE461" s="78">
        <f>Table_1[[#This Row],[P/L]]/Table_1[[#This Row],[MÉDIA DE CRESCIMENTO]]</f>
        <v/>
      </c>
    </row>
    <row r="462" ht="15.75" customHeight="1">
      <c r="B462" s="77">
        <f>'Dados Status Invest'!A448</f>
        <v/>
      </c>
      <c r="C462" s="60">
        <f>VLOOKUP(Table_1[[#This Row],[AÇÕES]],'Classificação B3'!A:B,2,0)</f>
        <v/>
      </c>
      <c r="D462" s="60">
        <f>VLOOKUP(Table_1[[#This Row],[AÇÕES]],'Classificação B3'!A:D,4,0)</f>
        <v/>
      </c>
      <c r="E462" s="60">
        <f>VLOOKUP(Table_1[[#This Row],[AÇÕES]],'Classificação B3'!A:F,6,0)</f>
        <v/>
      </c>
      <c r="F462" s="60">
        <f>VLOOKUP(Table_1[[#This Row],[AÇÕES]],'Classificação B3'!A:G,7,0)</f>
        <v/>
      </c>
      <c r="G462" s="61">
        <f>VLOOKUP(Table_1[[#This Row],[AÇÕES]],'Dados Status Invest'!A:B,2,0)</f>
        <v/>
      </c>
      <c r="H462" s="62">
        <f>VLOOKUP(Table_1[[#This Row],[AÇÕES]],'Dados Status Invest'!A:C,3,0)/100</f>
        <v/>
      </c>
      <c r="I462" s="62">
        <f>VLOOKUP(Table_1[[#This Row],[AÇÕES]],'Dados Status Invest'!A:D,4,0)/100</f>
        <v/>
      </c>
      <c r="J462" s="63">
        <f>VLOOKUP(Table_1[[#This Row],[AÇÕES]],'Dados Status Invest'!A:AB,28,0)</f>
        <v/>
      </c>
      <c r="K462" s="63">
        <f>VLOOKUP(Table_1[[#This Row],[AÇÕES]],'Dados Status Invest'!A:AA,27,0)</f>
        <v/>
      </c>
      <c r="L462" s="63">
        <f>Table_1[[#This Row],[PREÇO]]*Table_1[[#This Row],[DY]]</f>
        <v/>
      </c>
      <c r="M462" s="62">
        <f>$E$13</f>
        <v/>
      </c>
      <c r="N462" s="62" t="n">
        <v>0.3</v>
      </c>
      <c r="O462" s="62">
        <f>Table_1[[#This Row],[DPA]]/Table_1[[#This Row],[LPA]]</f>
        <v/>
      </c>
      <c r="P462" s="62">
        <f>IF(Table_1[[#This Row],[PAYOUT]]&lt;=40%,"CRESCIMENTO",IF(Table_1[[#This Row],[PAYOUT]]&lt;=60%,"INDEFINIDO","DIVIDENDOS"))</f>
        <v/>
      </c>
      <c r="Q462" s="62">
        <f>VLOOKUP(Table_1[[#This Row],[AÇÕES]],'Dados Status Invest'!A:R,18,0)/100</f>
        <v/>
      </c>
      <c r="R462" s="62">
        <f>VLOOKUP(Table_1[[#This Row],[AÇÕES]],'Dados Status Invest'!A:Y,25,0)/100</f>
        <v/>
      </c>
      <c r="S462" s="62">
        <f>(1-Table_1[[#This Row],[PAYOUT]])*Table_1[[#This Row],[ROE]]</f>
        <v/>
      </c>
      <c r="T462" s="98">
        <f>AVERAGE(Table_1[[#This Row],[CAGR LUCRO 5A]],Table_1[[#This Row],[CRESCIMENTO DAMODARAN]])</f>
        <v/>
      </c>
      <c r="U462" s="64">
        <f>(Table_1[[#This Row],[PREÇO JUSTO BAZIN]]-Table_1[[#This Row],[PREÇO]])/Table_1[[#This Row],[PREÇO JUSTO BAZIN]]</f>
        <v/>
      </c>
      <c r="V462" s="129">
        <f>Table_1[[#This Row],[DPA]]/6%</f>
        <v/>
      </c>
      <c r="W462" s="129">
        <f>Table_1[[#This Row],[PREÇO JUSTO BAZIN]]/(1+Table_1[[#This Row],[MARGEM DE DESCONTO]])</f>
        <v/>
      </c>
      <c r="X462" s="64">
        <f>(Table_1[[#This Row],[PREÇO JUSTO GRAHAM]]-Table_1[[#This Row],[PREÇO]])/Table_1[[#This Row],[PREÇO JUSTO GRAHAM]]</f>
        <v/>
      </c>
      <c r="Y462" s="129">
        <f>(22.5*Table_1[[#This Row],[LPA]]*Table_1[[#This Row],[VPA]])^0.5</f>
        <v/>
      </c>
      <c r="Z462" s="129">
        <f>Table_1[[#This Row],[PREÇO JUSTO GRAHAM]]/(1+Table_1[[#This Row],[MARGEM DE DESCONTO]])</f>
        <v/>
      </c>
      <c r="AA462" s="64">
        <f>(Table_1[[#This Row],[PREÇO JUSTO GORDON]]-Table_1[[#This Row],[PREÇO]])/Table_1[[#This Row],[PREÇO JUSTO GORDON]]</f>
        <v/>
      </c>
      <c r="AB462" s="130">
        <f>Table_1[[#This Row],[DPA]]*(1+Table_1[[#This Row],[MÉDIA DE CRESCIMENTO]])</f>
        <v/>
      </c>
      <c r="AC462" s="130">
        <f>Table_1[[#This Row],[D1]]/(Table_1[[#This Row],[RISCO]]-Table_1[[#This Row],[MÉDIA DE CRESCIMENTO]])</f>
        <v/>
      </c>
      <c r="AD462" s="130">
        <f>Table_1[[#This Row],[PREÇO JUSTO GORDON]]/(1+Table_1[[#This Row],[MARGEM DE DESCONTO]])</f>
        <v/>
      </c>
      <c r="AE462" s="78">
        <f>Table_1[[#This Row],[P/L]]/Table_1[[#This Row],[MÉDIA DE CRESCIMENTO]]</f>
        <v/>
      </c>
    </row>
    <row r="463" ht="15.75" customHeight="1">
      <c r="B463" s="77">
        <f>'Dados Status Invest'!A449</f>
        <v/>
      </c>
      <c r="C463" s="60">
        <f>VLOOKUP(Table_1[[#This Row],[AÇÕES]],'Classificação B3'!A:B,2,0)</f>
        <v/>
      </c>
      <c r="D463" s="60">
        <f>VLOOKUP(Table_1[[#This Row],[AÇÕES]],'Classificação B3'!A:D,4,0)</f>
        <v/>
      </c>
      <c r="E463" s="60">
        <f>VLOOKUP(Table_1[[#This Row],[AÇÕES]],'Classificação B3'!A:F,6,0)</f>
        <v/>
      </c>
      <c r="F463" s="60">
        <f>VLOOKUP(Table_1[[#This Row],[AÇÕES]],'Classificação B3'!A:G,7,0)</f>
        <v/>
      </c>
      <c r="G463" s="61">
        <f>VLOOKUP(Table_1[[#This Row],[AÇÕES]],'Dados Status Invest'!A:B,2,0)</f>
        <v/>
      </c>
      <c r="H463" s="62">
        <f>VLOOKUP(Table_1[[#This Row],[AÇÕES]],'Dados Status Invest'!A:C,3,0)/100</f>
        <v/>
      </c>
      <c r="I463" s="62">
        <f>VLOOKUP(Table_1[[#This Row],[AÇÕES]],'Dados Status Invest'!A:D,4,0)/100</f>
        <v/>
      </c>
      <c r="J463" s="63">
        <f>VLOOKUP(Table_1[[#This Row],[AÇÕES]],'Dados Status Invest'!A:AB,28,0)</f>
        <v/>
      </c>
      <c r="K463" s="63">
        <f>VLOOKUP(Table_1[[#This Row],[AÇÕES]],'Dados Status Invest'!A:AA,27,0)</f>
        <v/>
      </c>
      <c r="L463" s="63">
        <f>Table_1[[#This Row],[PREÇO]]*Table_1[[#This Row],[DY]]</f>
        <v/>
      </c>
      <c r="M463" s="62">
        <f>$E$13</f>
        <v/>
      </c>
      <c r="N463" s="62" t="n">
        <v>0.3</v>
      </c>
      <c r="O463" s="62">
        <f>Table_1[[#This Row],[DPA]]/Table_1[[#This Row],[LPA]]</f>
        <v/>
      </c>
      <c r="P463" s="62">
        <f>IF(Table_1[[#This Row],[PAYOUT]]&lt;=40%,"CRESCIMENTO",IF(Table_1[[#This Row],[PAYOUT]]&lt;=60%,"INDEFINIDO","DIVIDENDOS"))</f>
        <v/>
      </c>
      <c r="Q463" s="62">
        <f>VLOOKUP(Table_1[[#This Row],[AÇÕES]],'Dados Status Invest'!A:R,18,0)/100</f>
        <v/>
      </c>
      <c r="R463" s="62">
        <f>VLOOKUP(Table_1[[#This Row],[AÇÕES]],'Dados Status Invest'!A:Y,25,0)/100</f>
        <v/>
      </c>
      <c r="S463" s="62">
        <f>(1-Table_1[[#This Row],[PAYOUT]])*Table_1[[#This Row],[ROE]]</f>
        <v/>
      </c>
      <c r="T463" s="98">
        <f>AVERAGE(Table_1[[#This Row],[CAGR LUCRO 5A]],Table_1[[#This Row],[CRESCIMENTO DAMODARAN]])</f>
        <v/>
      </c>
      <c r="U463" s="64">
        <f>(Table_1[[#This Row],[PREÇO JUSTO BAZIN]]-Table_1[[#This Row],[PREÇO]])/Table_1[[#This Row],[PREÇO JUSTO BAZIN]]</f>
        <v/>
      </c>
      <c r="V463" s="129">
        <f>Table_1[[#This Row],[DPA]]/6%</f>
        <v/>
      </c>
      <c r="W463" s="129">
        <f>Table_1[[#This Row],[PREÇO JUSTO BAZIN]]/(1+Table_1[[#This Row],[MARGEM DE DESCONTO]])</f>
        <v/>
      </c>
      <c r="X463" s="64">
        <f>(Table_1[[#This Row],[PREÇO JUSTO GRAHAM]]-Table_1[[#This Row],[PREÇO]])/Table_1[[#This Row],[PREÇO JUSTO GRAHAM]]</f>
        <v/>
      </c>
      <c r="Y463" s="129">
        <f>(22.5*Table_1[[#This Row],[LPA]]*Table_1[[#This Row],[VPA]])^0.5</f>
        <v/>
      </c>
      <c r="Z463" s="129">
        <f>Table_1[[#This Row],[PREÇO JUSTO GRAHAM]]/(1+Table_1[[#This Row],[MARGEM DE DESCONTO]])</f>
        <v/>
      </c>
      <c r="AA463" s="64">
        <f>(Table_1[[#This Row],[PREÇO JUSTO GORDON]]-Table_1[[#This Row],[PREÇO]])/Table_1[[#This Row],[PREÇO JUSTO GORDON]]</f>
        <v/>
      </c>
      <c r="AB463" s="130">
        <f>Table_1[[#This Row],[DPA]]*(1+Table_1[[#This Row],[MÉDIA DE CRESCIMENTO]])</f>
        <v/>
      </c>
      <c r="AC463" s="130">
        <f>Table_1[[#This Row],[D1]]/(Table_1[[#This Row],[RISCO]]-Table_1[[#This Row],[MÉDIA DE CRESCIMENTO]])</f>
        <v/>
      </c>
      <c r="AD463" s="130">
        <f>Table_1[[#This Row],[PREÇO JUSTO GORDON]]/(1+Table_1[[#This Row],[MARGEM DE DESCONTO]])</f>
        <v/>
      </c>
      <c r="AE463" s="78">
        <f>Table_1[[#This Row],[P/L]]/Table_1[[#This Row],[MÉDIA DE CRESCIMENTO]]</f>
        <v/>
      </c>
    </row>
    <row r="464" ht="15.75" customHeight="1">
      <c r="B464" s="77">
        <f>'Dados Status Invest'!A450</f>
        <v/>
      </c>
      <c r="C464" s="60">
        <f>VLOOKUP(Table_1[[#This Row],[AÇÕES]],'Classificação B3'!A:B,2,0)</f>
        <v/>
      </c>
      <c r="D464" s="60">
        <f>VLOOKUP(Table_1[[#This Row],[AÇÕES]],'Classificação B3'!A:D,4,0)</f>
        <v/>
      </c>
      <c r="E464" s="60">
        <f>VLOOKUP(Table_1[[#This Row],[AÇÕES]],'Classificação B3'!A:F,6,0)</f>
        <v/>
      </c>
      <c r="F464" s="60">
        <f>VLOOKUP(Table_1[[#This Row],[AÇÕES]],'Classificação B3'!A:G,7,0)</f>
        <v/>
      </c>
      <c r="G464" s="61">
        <f>VLOOKUP(Table_1[[#This Row],[AÇÕES]],'Dados Status Invest'!A:B,2,0)</f>
        <v/>
      </c>
      <c r="H464" s="62">
        <f>VLOOKUP(Table_1[[#This Row],[AÇÕES]],'Dados Status Invest'!A:C,3,0)/100</f>
        <v/>
      </c>
      <c r="I464" s="62">
        <f>VLOOKUP(Table_1[[#This Row],[AÇÕES]],'Dados Status Invest'!A:D,4,0)/100</f>
        <v/>
      </c>
      <c r="J464" s="63">
        <f>VLOOKUP(Table_1[[#This Row],[AÇÕES]],'Dados Status Invest'!A:AB,28,0)</f>
        <v/>
      </c>
      <c r="K464" s="63">
        <f>VLOOKUP(Table_1[[#This Row],[AÇÕES]],'Dados Status Invest'!A:AA,27,0)</f>
        <v/>
      </c>
      <c r="L464" s="63">
        <f>Table_1[[#This Row],[PREÇO]]*Table_1[[#This Row],[DY]]</f>
        <v/>
      </c>
      <c r="M464" s="62">
        <f>$E$13</f>
        <v/>
      </c>
      <c r="N464" s="62" t="n">
        <v>0.3</v>
      </c>
      <c r="O464" s="62">
        <f>Table_1[[#This Row],[DPA]]/Table_1[[#This Row],[LPA]]</f>
        <v/>
      </c>
      <c r="P464" s="62">
        <f>IF(Table_1[[#This Row],[PAYOUT]]&lt;=40%,"CRESCIMENTO",IF(Table_1[[#This Row],[PAYOUT]]&lt;=60%,"INDEFINIDO","DIVIDENDOS"))</f>
        <v/>
      </c>
      <c r="Q464" s="62">
        <f>VLOOKUP(Table_1[[#This Row],[AÇÕES]],'Dados Status Invest'!A:R,18,0)/100</f>
        <v/>
      </c>
      <c r="R464" s="62">
        <f>VLOOKUP(Table_1[[#This Row],[AÇÕES]],'Dados Status Invest'!A:Y,25,0)/100</f>
        <v/>
      </c>
      <c r="S464" s="62">
        <f>(1-Table_1[[#This Row],[PAYOUT]])*Table_1[[#This Row],[ROE]]</f>
        <v/>
      </c>
      <c r="T464" s="98">
        <f>AVERAGE(Table_1[[#This Row],[CAGR LUCRO 5A]],Table_1[[#This Row],[CRESCIMENTO DAMODARAN]])</f>
        <v/>
      </c>
      <c r="U464" s="64">
        <f>(Table_1[[#This Row],[PREÇO JUSTO BAZIN]]-Table_1[[#This Row],[PREÇO]])/Table_1[[#This Row],[PREÇO JUSTO BAZIN]]</f>
        <v/>
      </c>
      <c r="V464" s="129">
        <f>Table_1[[#This Row],[DPA]]/6%</f>
        <v/>
      </c>
      <c r="W464" s="129">
        <f>Table_1[[#This Row],[PREÇO JUSTO BAZIN]]/(1+Table_1[[#This Row],[MARGEM DE DESCONTO]])</f>
        <v/>
      </c>
      <c r="X464" s="64">
        <f>(Table_1[[#This Row],[PREÇO JUSTO GRAHAM]]-Table_1[[#This Row],[PREÇO]])/Table_1[[#This Row],[PREÇO JUSTO GRAHAM]]</f>
        <v/>
      </c>
      <c r="Y464" s="129">
        <f>(22.5*Table_1[[#This Row],[LPA]]*Table_1[[#This Row],[VPA]])^0.5</f>
        <v/>
      </c>
      <c r="Z464" s="129">
        <f>Table_1[[#This Row],[PREÇO JUSTO GRAHAM]]/(1+Table_1[[#This Row],[MARGEM DE DESCONTO]])</f>
        <v/>
      </c>
      <c r="AA464" s="64">
        <f>(Table_1[[#This Row],[PREÇO JUSTO GORDON]]-Table_1[[#This Row],[PREÇO]])/Table_1[[#This Row],[PREÇO JUSTO GORDON]]</f>
        <v/>
      </c>
      <c r="AB464" s="130">
        <f>Table_1[[#This Row],[DPA]]*(1+Table_1[[#This Row],[MÉDIA DE CRESCIMENTO]])</f>
        <v/>
      </c>
      <c r="AC464" s="130">
        <f>Table_1[[#This Row],[D1]]/(Table_1[[#This Row],[RISCO]]-Table_1[[#This Row],[MÉDIA DE CRESCIMENTO]])</f>
        <v/>
      </c>
      <c r="AD464" s="130">
        <f>Table_1[[#This Row],[PREÇO JUSTO GORDON]]/(1+Table_1[[#This Row],[MARGEM DE DESCONTO]])</f>
        <v/>
      </c>
      <c r="AE464" s="78">
        <f>Table_1[[#This Row],[P/L]]/Table_1[[#This Row],[MÉDIA DE CRESCIMENTO]]</f>
        <v/>
      </c>
    </row>
    <row r="465" ht="15.75" customHeight="1">
      <c r="B465" s="77">
        <f>'Dados Status Invest'!A451</f>
        <v/>
      </c>
      <c r="C465" s="60">
        <f>VLOOKUP(Table_1[[#This Row],[AÇÕES]],'Classificação B3'!A:B,2,0)</f>
        <v/>
      </c>
      <c r="D465" s="60">
        <f>VLOOKUP(Table_1[[#This Row],[AÇÕES]],'Classificação B3'!A:D,4,0)</f>
        <v/>
      </c>
      <c r="E465" s="60">
        <f>VLOOKUP(Table_1[[#This Row],[AÇÕES]],'Classificação B3'!A:F,6,0)</f>
        <v/>
      </c>
      <c r="F465" s="60">
        <f>VLOOKUP(Table_1[[#This Row],[AÇÕES]],'Classificação B3'!A:G,7,0)</f>
        <v/>
      </c>
      <c r="G465" s="61">
        <f>VLOOKUP(Table_1[[#This Row],[AÇÕES]],'Dados Status Invest'!A:B,2,0)</f>
        <v/>
      </c>
      <c r="H465" s="62">
        <f>VLOOKUP(Table_1[[#This Row],[AÇÕES]],'Dados Status Invest'!A:C,3,0)/100</f>
        <v/>
      </c>
      <c r="I465" s="62">
        <f>VLOOKUP(Table_1[[#This Row],[AÇÕES]],'Dados Status Invest'!A:D,4,0)/100</f>
        <v/>
      </c>
      <c r="J465" s="63">
        <f>VLOOKUP(Table_1[[#This Row],[AÇÕES]],'Dados Status Invest'!A:AB,28,0)</f>
        <v/>
      </c>
      <c r="K465" s="63">
        <f>VLOOKUP(Table_1[[#This Row],[AÇÕES]],'Dados Status Invest'!A:AA,27,0)</f>
        <v/>
      </c>
      <c r="L465" s="63">
        <f>Table_1[[#This Row],[PREÇO]]*Table_1[[#This Row],[DY]]</f>
        <v/>
      </c>
      <c r="M465" s="62">
        <f>$E$13</f>
        <v/>
      </c>
      <c r="N465" s="62" t="n">
        <v>0.3</v>
      </c>
      <c r="O465" s="62">
        <f>Table_1[[#This Row],[DPA]]/Table_1[[#This Row],[LPA]]</f>
        <v/>
      </c>
      <c r="P465" s="62">
        <f>IF(Table_1[[#This Row],[PAYOUT]]&lt;=40%,"CRESCIMENTO",IF(Table_1[[#This Row],[PAYOUT]]&lt;=60%,"INDEFINIDO","DIVIDENDOS"))</f>
        <v/>
      </c>
      <c r="Q465" s="62">
        <f>VLOOKUP(Table_1[[#This Row],[AÇÕES]],'Dados Status Invest'!A:R,18,0)/100</f>
        <v/>
      </c>
      <c r="R465" s="62">
        <f>VLOOKUP(Table_1[[#This Row],[AÇÕES]],'Dados Status Invest'!A:Y,25,0)/100</f>
        <v/>
      </c>
      <c r="S465" s="62">
        <f>(1-Table_1[[#This Row],[PAYOUT]])*Table_1[[#This Row],[ROE]]</f>
        <v/>
      </c>
      <c r="T465" s="98">
        <f>AVERAGE(Table_1[[#This Row],[CAGR LUCRO 5A]],Table_1[[#This Row],[CRESCIMENTO DAMODARAN]])</f>
        <v/>
      </c>
      <c r="U465" s="64">
        <f>(Table_1[[#This Row],[PREÇO JUSTO BAZIN]]-Table_1[[#This Row],[PREÇO]])/Table_1[[#This Row],[PREÇO JUSTO BAZIN]]</f>
        <v/>
      </c>
      <c r="V465" s="129">
        <f>Table_1[[#This Row],[DPA]]/6%</f>
        <v/>
      </c>
      <c r="W465" s="129">
        <f>Table_1[[#This Row],[PREÇO JUSTO BAZIN]]/(1+Table_1[[#This Row],[MARGEM DE DESCONTO]])</f>
        <v/>
      </c>
      <c r="X465" s="64">
        <f>(Table_1[[#This Row],[PREÇO JUSTO GRAHAM]]-Table_1[[#This Row],[PREÇO]])/Table_1[[#This Row],[PREÇO JUSTO GRAHAM]]</f>
        <v/>
      </c>
      <c r="Y465" s="129">
        <f>(22.5*Table_1[[#This Row],[LPA]]*Table_1[[#This Row],[VPA]])^0.5</f>
        <v/>
      </c>
      <c r="Z465" s="129">
        <f>Table_1[[#This Row],[PREÇO JUSTO GRAHAM]]/(1+Table_1[[#This Row],[MARGEM DE DESCONTO]])</f>
        <v/>
      </c>
      <c r="AA465" s="64">
        <f>(Table_1[[#This Row],[PREÇO JUSTO GORDON]]-Table_1[[#This Row],[PREÇO]])/Table_1[[#This Row],[PREÇO JUSTO GORDON]]</f>
        <v/>
      </c>
      <c r="AB465" s="130">
        <f>Table_1[[#This Row],[DPA]]*(1+Table_1[[#This Row],[MÉDIA DE CRESCIMENTO]])</f>
        <v/>
      </c>
      <c r="AC465" s="130">
        <f>Table_1[[#This Row],[D1]]/(Table_1[[#This Row],[RISCO]]-Table_1[[#This Row],[MÉDIA DE CRESCIMENTO]])</f>
        <v/>
      </c>
      <c r="AD465" s="130">
        <f>Table_1[[#This Row],[PREÇO JUSTO GORDON]]/(1+Table_1[[#This Row],[MARGEM DE DESCONTO]])</f>
        <v/>
      </c>
      <c r="AE465" s="78">
        <f>Table_1[[#This Row],[P/L]]/Table_1[[#This Row],[MÉDIA DE CRESCIMENTO]]</f>
        <v/>
      </c>
    </row>
    <row r="466" ht="15.75" customHeight="1">
      <c r="B466" s="77">
        <f>'Dados Status Invest'!A452</f>
        <v/>
      </c>
      <c r="C466" s="60">
        <f>VLOOKUP(Table_1[[#This Row],[AÇÕES]],'Classificação B3'!A:B,2,0)</f>
        <v/>
      </c>
      <c r="D466" s="60">
        <f>VLOOKUP(Table_1[[#This Row],[AÇÕES]],'Classificação B3'!A:D,4,0)</f>
        <v/>
      </c>
      <c r="E466" s="60">
        <f>VLOOKUP(Table_1[[#This Row],[AÇÕES]],'Classificação B3'!A:F,6,0)</f>
        <v/>
      </c>
      <c r="F466" s="60">
        <f>VLOOKUP(Table_1[[#This Row],[AÇÕES]],'Classificação B3'!A:G,7,0)</f>
        <v/>
      </c>
      <c r="G466" s="61">
        <f>VLOOKUP(Table_1[[#This Row],[AÇÕES]],'Dados Status Invest'!A:B,2,0)</f>
        <v/>
      </c>
      <c r="H466" s="62">
        <f>VLOOKUP(Table_1[[#This Row],[AÇÕES]],'Dados Status Invest'!A:C,3,0)/100</f>
        <v/>
      </c>
      <c r="I466" s="62">
        <f>VLOOKUP(Table_1[[#This Row],[AÇÕES]],'Dados Status Invest'!A:D,4,0)/100</f>
        <v/>
      </c>
      <c r="J466" s="63">
        <f>VLOOKUP(Table_1[[#This Row],[AÇÕES]],'Dados Status Invest'!A:AB,28,0)</f>
        <v/>
      </c>
      <c r="K466" s="63">
        <f>VLOOKUP(Table_1[[#This Row],[AÇÕES]],'Dados Status Invest'!A:AA,27,0)</f>
        <v/>
      </c>
      <c r="L466" s="63">
        <f>Table_1[[#This Row],[PREÇO]]*Table_1[[#This Row],[DY]]</f>
        <v/>
      </c>
      <c r="M466" s="62">
        <f>$E$13</f>
        <v/>
      </c>
      <c r="N466" s="62" t="n">
        <v>0.3</v>
      </c>
      <c r="O466" s="62">
        <f>Table_1[[#This Row],[DPA]]/Table_1[[#This Row],[LPA]]</f>
        <v/>
      </c>
      <c r="P466" s="62">
        <f>IF(Table_1[[#This Row],[PAYOUT]]&lt;=40%,"CRESCIMENTO",IF(Table_1[[#This Row],[PAYOUT]]&lt;=60%,"INDEFINIDO","DIVIDENDOS"))</f>
        <v/>
      </c>
      <c r="Q466" s="62">
        <f>VLOOKUP(Table_1[[#This Row],[AÇÕES]],'Dados Status Invest'!A:R,18,0)/100</f>
        <v/>
      </c>
      <c r="R466" s="62">
        <f>VLOOKUP(Table_1[[#This Row],[AÇÕES]],'Dados Status Invest'!A:Y,25,0)/100</f>
        <v/>
      </c>
      <c r="S466" s="62">
        <f>(1-Table_1[[#This Row],[PAYOUT]])*Table_1[[#This Row],[ROE]]</f>
        <v/>
      </c>
      <c r="T466" s="98">
        <f>AVERAGE(Table_1[[#This Row],[CAGR LUCRO 5A]],Table_1[[#This Row],[CRESCIMENTO DAMODARAN]])</f>
        <v/>
      </c>
      <c r="U466" s="64">
        <f>(Table_1[[#This Row],[PREÇO JUSTO BAZIN]]-Table_1[[#This Row],[PREÇO]])/Table_1[[#This Row],[PREÇO JUSTO BAZIN]]</f>
        <v/>
      </c>
      <c r="V466" s="129">
        <f>Table_1[[#This Row],[DPA]]/6%</f>
        <v/>
      </c>
      <c r="W466" s="129">
        <f>Table_1[[#This Row],[PREÇO JUSTO BAZIN]]/(1+Table_1[[#This Row],[MARGEM DE DESCONTO]])</f>
        <v/>
      </c>
      <c r="X466" s="64">
        <f>(Table_1[[#This Row],[PREÇO JUSTO GRAHAM]]-Table_1[[#This Row],[PREÇO]])/Table_1[[#This Row],[PREÇO JUSTO GRAHAM]]</f>
        <v/>
      </c>
      <c r="Y466" s="129">
        <f>(22.5*Table_1[[#This Row],[LPA]]*Table_1[[#This Row],[VPA]])^0.5</f>
        <v/>
      </c>
      <c r="Z466" s="129">
        <f>Table_1[[#This Row],[PREÇO JUSTO GRAHAM]]/(1+Table_1[[#This Row],[MARGEM DE DESCONTO]])</f>
        <v/>
      </c>
      <c r="AA466" s="64">
        <f>(Table_1[[#This Row],[PREÇO JUSTO GORDON]]-Table_1[[#This Row],[PREÇO]])/Table_1[[#This Row],[PREÇO JUSTO GORDON]]</f>
        <v/>
      </c>
      <c r="AB466" s="130">
        <f>Table_1[[#This Row],[DPA]]*(1+Table_1[[#This Row],[MÉDIA DE CRESCIMENTO]])</f>
        <v/>
      </c>
      <c r="AC466" s="130">
        <f>Table_1[[#This Row],[D1]]/(Table_1[[#This Row],[RISCO]]-Table_1[[#This Row],[MÉDIA DE CRESCIMENTO]])</f>
        <v/>
      </c>
      <c r="AD466" s="130">
        <f>Table_1[[#This Row],[PREÇO JUSTO GORDON]]/(1+Table_1[[#This Row],[MARGEM DE DESCONTO]])</f>
        <v/>
      </c>
      <c r="AE466" s="78">
        <f>Table_1[[#This Row],[P/L]]/Table_1[[#This Row],[MÉDIA DE CRESCIMENTO]]</f>
        <v/>
      </c>
    </row>
    <row r="467" ht="15.75" customHeight="1">
      <c r="B467" s="77">
        <f>'Dados Status Invest'!A453</f>
        <v/>
      </c>
      <c r="C467" s="60">
        <f>VLOOKUP(Table_1[[#This Row],[AÇÕES]],'Classificação B3'!A:B,2,0)</f>
        <v/>
      </c>
      <c r="D467" s="60">
        <f>VLOOKUP(Table_1[[#This Row],[AÇÕES]],'Classificação B3'!A:D,4,0)</f>
        <v/>
      </c>
      <c r="E467" s="60">
        <f>VLOOKUP(Table_1[[#This Row],[AÇÕES]],'Classificação B3'!A:F,6,0)</f>
        <v/>
      </c>
      <c r="F467" s="60">
        <f>VLOOKUP(Table_1[[#This Row],[AÇÕES]],'Classificação B3'!A:G,7,0)</f>
        <v/>
      </c>
      <c r="G467" s="61">
        <f>VLOOKUP(Table_1[[#This Row],[AÇÕES]],'Dados Status Invest'!A:B,2,0)</f>
        <v/>
      </c>
      <c r="H467" s="62">
        <f>VLOOKUP(Table_1[[#This Row],[AÇÕES]],'Dados Status Invest'!A:C,3,0)/100</f>
        <v/>
      </c>
      <c r="I467" s="62">
        <f>VLOOKUP(Table_1[[#This Row],[AÇÕES]],'Dados Status Invest'!A:D,4,0)/100</f>
        <v/>
      </c>
      <c r="J467" s="63">
        <f>VLOOKUP(Table_1[[#This Row],[AÇÕES]],'Dados Status Invest'!A:AB,28,0)</f>
        <v/>
      </c>
      <c r="K467" s="63">
        <f>VLOOKUP(Table_1[[#This Row],[AÇÕES]],'Dados Status Invest'!A:AA,27,0)</f>
        <v/>
      </c>
      <c r="L467" s="63">
        <f>Table_1[[#This Row],[PREÇO]]*Table_1[[#This Row],[DY]]</f>
        <v/>
      </c>
      <c r="M467" s="62">
        <f>$E$13</f>
        <v/>
      </c>
      <c r="N467" s="62" t="n">
        <v>0.3</v>
      </c>
      <c r="O467" s="62">
        <f>Table_1[[#This Row],[DPA]]/Table_1[[#This Row],[LPA]]</f>
        <v/>
      </c>
      <c r="P467" s="62">
        <f>IF(Table_1[[#This Row],[PAYOUT]]&lt;=40%,"CRESCIMENTO",IF(Table_1[[#This Row],[PAYOUT]]&lt;=60%,"INDEFINIDO","DIVIDENDOS"))</f>
        <v/>
      </c>
      <c r="Q467" s="62">
        <f>VLOOKUP(Table_1[[#This Row],[AÇÕES]],'Dados Status Invest'!A:R,18,0)/100</f>
        <v/>
      </c>
      <c r="R467" s="62">
        <f>VLOOKUP(Table_1[[#This Row],[AÇÕES]],'Dados Status Invest'!A:Y,25,0)/100</f>
        <v/>
      </c>
      <c r="S467" s="62">
        <f>(1-Table_1[[#This Row],[PAYOUT]])*Table_1[[#This Row],[ROE]]</f>
        <v/>
      </c>
      <c r="T467" s="98">
        <f>AVERAGE(Table_1[[#This Row],[CAGR LUCRO 5A]],Table_1[[#This Row],[CRESCIMENTO DAMODARAN]])</f>
        <v/>
      </c>
      <c r="U467" s="64">
        <f>(Table_1[[#This Row],[PREÇO JUSTO BAZIN]]-Table_1[[#This Row],[PREÇO]])/Table_1[[#This Row],[PREÇO JUSTO BAZIN]]</f>
        <v/>
      </c>
      <c r="V467" s="129">
        <f>Table_1[[#This Row],[DPA]]/6%</f>
        <v/>
      </c>
      <c r="W467" s="129">
        <f>Table_1[[#This Row],[PREÇO JUSTO BAZIN]]/(1+Table_1[[#This Row],[MARGEM DE DESCONTO]])</f>
        <v/>
      </c>
      <c r="X467" s="64">
        <f>(Table_1[[#This Row],[PREÇO JUSTO GRAHAM]]-Table_1[[#This Row],[PREÇO]])/Table_1[[#This Row],[PREÇO JUSTO GRAHAM]]</f>
        <v/>
      </c>
      <c r="Y467" s="129">
        <f>(22.5*Table_1[[#This Row],[LPA]]*Table_1[[#This Row],[VPA]])^0.5</f>
        <v/>
      </c>
      <c r="Z467" s="129">
        <f>Table_1[[#This Row],[PREÇO JUSTO GRAHAM]]/(1+Table_1[[#This Row],[MARGEM DE DESCONTO]])</f>
        <v/>
      </c>
      <c r="AA467" s="64">
        <f>(Table_1[[#This Row],[PREÇO JUSTO GORDON]]-Table_1[[#This Row],[PREÇO]])/Table_1[[#This Row],[PREÇO JUSTO GORDON]]</f>
        <v/>
      </c>
      <c r="AB467" s="130">
        <f>Table_1[[#This Row],[DPA]]*(1+Table_1[[#This Row],[MÉDIA DE CRESCIMENTO]])</f>
        <v/>
      </c>
      <c r="AC467" s="130">
        <f>Table_1[[#This Row],[D1]]/(Table_1[[#This Row],[RISCO]]-Table_1[[#This Row],[MÉDIA DE CRESCIMENTO]])</f>
        <v/>
      </c>
      <c r="AD467" s="130">
        <f>Table_1[[#This Row],[PREÇO JUSTO GORDON]]/(1+Table_1[[#This Row],[MARGEM DE DESCONTO]])</f>
        <v/>
      </c>
      <c r="AE467" s="78">
        <f>Table_1[[#This Row],[P/L]]/Table_1[[#This Row],[MÉDIA DE CRESCIMENTO]]</f>
        <v/>
      </c>
    </row>
    <row r="468" ht="15.75" customHeight="1">
      <c r="B468" s="77">
        <f>'Dados Status Invest'!A454</f>
        <v/>
      </c>
      <c r="C468" s="60">
        <f>VLOOKUP(Table_1[[#This Row],[AÇÕES]],'Classificação B3'!A:B,2,0)</f>
        <v/>
      </c>
      <c r="D468" s="60">
        <f>VLOOKUP(Table_1[[#This Row],[AÇÕES]],'Classificação B3'!A:D,4,0)</f>
        <v/>
      </c>
      <c r="E468" s="60">
        <f>VLOOKUP(Table_1[[#This Row],[AÇÕES]],'Classificação B3'!A:F,6,0)</f>
        <v/>
      </c>
      <c r="F468" s="60">
        <f>VLOOKUP(Table_1[[#This Row],[AÇÕES]],'Classificação B3'!A:G,7,0)</f>
        <v/>
      </c>
      <c r="G468" s="61">
        <f>VLOOKUP(Table_1[[#This Row],[AÇÕES]],'Dados Status Invest'!A:B,2,0)</f>
        <v/>
      </c>
      <c r="H468" s="62">
        <f>VLOOKUP(Table_1[[#This Row],[AÇÕES]],'Dados Status Invest'!A:C,3,0)/100</f>
        <v/>
      </c>
      <c r="I468" s="62">
        <f>VLOOKUP(Table_1[[#This Row],[AÇÕES]],'Dados Status Invest'!A:D,4,0)/100</f>
        <v/>
      </c>
      <c r="J468" s="63">
        <f>VLOOKUP(Table_1[[#This Row],[AÇÕES]],'Dados Status Invest'!A:AB,28,0)</f>
        <v/>
      </c>
      <c r="K468" s="63">
        <f>VLOOKUP(Table_1[[#This Row],[AÇÕES]],'Dados Status Invest'!A:AA,27,0)</f>
        <v/>
      </c>
      <c r="L468" s="63">
        <f>Table_1[[#This Row],[PREÇO]]*Table_1[[#This Row],[DY]]</f>
        <v/>
      </c>
      <c r="M468" s="62">
        <f>$E$13</f>
        <v/>
      </c>
      <c r="N468" s="62" t="n">
        <v>0.3</v>
      </c>
      <c r="O468" s="62">
        <f>Table_1[[#This Row],[DPA]]/Table_1[[#This Row],[LPA]]</f>
        <v/>
      </c>
      <c r="P468" s="62">
        <f>IF(Table_1[[#This Row],[PAYOUT]]&lt;=40%,"CRESCIMENTO",IF(Table_1[[#This Row],[PAYOUT]]&lt;=60%,"INDEFINIDO","DIVIDENDOS"))</f>
        <v/>
      </c>
      <c r="Q468" s="62">
        <f>VLOOKUP(Table_1[[#This Row],[AÇÕES]],'Dados Status Invest'!A:R,18,0)/100</f>
        <v/>
      </c>
      <c r="R468" s="62">
        <f>VLOOKUP(Table_1[[#This Row],[AÇÕES]],'Dados Status Invest'!A:Y,25,0)/100</f>
        <v/>
      </c>
      <c r="S468" s="62">
        <f>(1-Table_1[[#This Row],[PAYOUT]])*Table_1[[#This Row],[ROE]]</f>
        <v/>
      </c>
      <c r="T468" s="98">
        <f>AVERAGE(Table_1[[#This Row],[CAGR LUCRO 5A]],Table_1[[#This Row],[CRESCIMENTO DAMODARAN]])</f>
        <v/>
      </c>
      <c r="U468" s="64">
        <f>(Table_1[[#This Row],[PREÇO JUSTO BAZIN]]-Table_1[[#This Row],[PREÇO]])/Table_1[[#This Row],[PREÇO JUSTO BAZIN]]</f>
        <v/>
      </c>
      <c r="V468" s="129">
        <f>Table_1[[#This Row],[DPA]]/6%</f>
        <v/>
      </c>
      <c r="W468" s="129">
        <f>Table_1[[#This Row],[PREÇO JUSTO BAZIN]]/(1+Table_1[[#This Row],[MARGEM DE DESCONTO]])</f>
        <v/>
      </c>
      <c r="X468" s="64">
        <f>(Table_1[[#This Row],[PREÇO JUSTO GRAHAM]]-Table_1[[#This Row],[PREÇO]])/Table_1[[#This Row],[PREÇO JUSTO GRAHAM]]</f>
        <v/>
      </c>
      <c r="Y468" s="129">
        <f>(22.5*Table_1[[#This Row],[LPA]]*Table_1[[#This Row],[VPA]])^0.5</f>
        <v/>
      </c>
      <c r="Z468" s="129">
        <f>Table_1[[#This Row],[PREÇO JUSTO GRAHAM]]/(1+Table_1[[#This Row],[MARGEM DE DESCONTO]])</f>
        <v/>
      </c>
      <c r="AA468" s="64">
        <f>(Table_1[[#This Row],[PREÇO JUSTO GORDON]]-Table_1[[#This Row],[PREÇO]])/Table_1[[#This Row],[PREÇO JUSTO GORDON]]</f>
        <v/>
      </c>
      <c r="AB468" s="130">
        <f>Table_1[[#This Row],[DPA]]*(1+Table_1[[#This Row],[MÉDIA DE CRESCIMENTO]])</f>
        <v/>
      </c>
      <c r="AC468" s="130">
        <f>Table_1[[#This Row],[D1]]/(Table_1[[#This Row],[RISCO]]-Table_1[[#This Row],[MÉDIA DE CRESCIMENTO]])</f>
        <v/>
      </c>
      <c r="AD468" s="130">
        <f>Table_1[[#This Row],[PREÇO JUSTO GORDON]]/(1+Table_1[[#This Row],[MARGEM DE DESCONTO]])</f>
        <v/>
      </c>
      <c r="AE468" s="78">
        <f>Table_1[[#This Row],[P/L]]/Table_1[[#This Row],[MÉDIA DE CRESCIMENTO]]</f>
        <v/>
      </c>
    </row>
    <row r="469" ht="15.75" customHeight="1">
      <c r="B469" s="77">
        <f>'Dados Status Invest'!A455</f>
        <v/>
      </c>
      <c r="C469" s="60">
        <f>VLOOKUP(Table_1[[#This Row],[AÇÕES]],'Classificação B3'!A:B,2,0)</f>
        <v/>
      </c>
      <c r="D469" s="60">
        <f>VLOOKUP(Table_1[[#This Row],[AÇÕES]],'Classificação B3'!A:D,4,0)</f>
        <v/>
      </c>
      <c r="E469" s="60">
        <f>VLOOKUP(Table_1[[#This Row],[AÇÕES]],'Classificação B3'!A:F,6,0)</f>
        <v/>
      </c>
      <c r="F469" s="60">
        <f>VLOOKUP(Table_1[[#This Row],[AÇÕES]],'Classificação B3'!A:G,7,0)</f>
        <v/>
      </c>
      <c r="G469" s="61">
        <f>VLOOKUP(Table_1[[#This Row],[AÇÕES]],'Dados Status Invest'!A:B,2,0)</f>
        <v/>
      </c>
      <c r="H469" s="62">
        <f>VLOOKUP(Table_1[[#This Row],[AÇÕES]],'Dados Status Invest'!A:C,3,0)/100</f>
        <v/>
      </c>
      <c r="I469" s="62">
        <f>VLOOKUP(Table_1[[#This Row],[AÇÕES]],'Dados Status Invest'!A:D,4,0)/100</f>
        <v/>
      </c>
      <c r="J469" s="63">
        <f>VLOOKUP(Table_1[[#This Row],[AÇÕES]],'Dados Status Invest'!A:AB,28,0)</f>
        <v/>
      </c>
      <c r="K469" s="63">
        <f>VLOOKUP(Table_1[[#This Row],[AÇÕES]],'Dados Status Invest'!A:AA,27,0)</f>
        <v/>
      </c>
      <c r="L469" s="63">
        <f>Table_1[[#This Row],[PREÇO]]*Table_1[[#This Row],[DY]]</f>
        <v/>
      </c>
      <c r="M469" s="62">
        <f>$E$13</f>
        <v/>
      </c>
      <c r="N469" s="62" t="n">
        <v>0.3</v>
      </c>
      <c r="O469" s="62">
        <f>Table_1[[#This Row],[DPA]]/Table_1[[#This Row],[LPA]]</f>
        <v/>
      </c>
      <c r="P469" s="62">
        <f>IF(Table_1[[#This Row],[PAYOUT]]&lt;=40%,"CRESCIMENTO",IF(Table_1[[#This Row],[PAYOUT]]&lt;=60%,"INDEFINIDO","DIVIDENDOS"))</f>
        <v/>
      </c>
      <c r="Q469" s="62">
        <f>VLOOKUP(Table_1[[#This Row],[AÇÕES]],'Dados Status Invest'!A:R,18,0)/100</f>
        <v/>
      </c>
      <c r="R469" s="62">
        <f>VLOOKUP(Table_1[[#This Row],[AÇÕES]],'Dados Status Invest'!A:Y,25,0)/100</f>
        <v/>
      </c>
      <c r="S469" s="62">
        <f>(1-Table_1[[#This Row],[PAYOUT]])*Table_1[[#This Row],[ROE]]</f>
        <v/>
      </c>
      <c r="T469" s="98">
        <f>AVERAGE(Table_1[[#This Row],[CAGR LUCRO 5A]],Table_1[[#This Row],[CRESCIMENTO DAMODARAN]])</f>
        <v/>
      </c>
      <c r="U469" s="64">
        <f>(Table_1[[#This Row],[PREÇO JUSTO BAZIN]]-Table_1[[#This Row],[PREÇO]])/Table_1[[#This Row],[PREÇO JUSTO BAZIN]]</f>
        <v/>
      </c>
      <c r="V469" s="129">
        <f>Table_1[[#This Row],[DPA]]/6%</f>
        <v/>
      </c>
      <c r="W469" s="129">
        <f>Table_1[[#This Row],[PREÇO JUSTO BAZIN]]/(1+Table_1[[#This Row],[MARGEM DE DESCONTO]])</f>
        <v/>
      </c>
      <c r="X469" s="64">
        <f>(Table_1[[#This Row],[PREÇO JUSTO GRAHAM]]-Table_1[[#This Row],[PREÇO]])/Table_1[[#This Row],[PREÇO JUSTO GRAHAM]]</f>
        <v/>
      </c>
      <c r="Y469" s="129">
        <f>(22.5*Table_1[[#This Row],[LPA]]*Table_1[[#This Row],[VPA]])^0.5</f>
        <v/>
      </c>
      <c r="Z469" s="129">
        <f>Table_1[[#This Row],[PREÇO JUSTO GRAHAM]]/(1+Table_1[[#This Row],[MARGEM DE DESCONTO]])</f>
        <v/>
      </c>
      <c r="AA469" s="64">
        <f>(Table_1[[#This Row],[PREÇO JUSTO GORDON]]-Table_1[[#This Row],[PREÇO]])/Table_1[[#This Row],[PREÇO JUSTO GORDON]]</f>
        <v/>
      </c>
      <c r="AB469" s="130">
        <f>Table_1[[#This Row],[DPA]]*(1+Table_1[[#This Row],[MÉDIA DE CRESCIMENTO]])</f>
        <v/>
      </c>
      <c r="AC469" s="130">
        <f>Table_1[[#This Row],[D1]]/(Table_1[[#This Row],[RISCO]]-Table_1[[#This Row],[MÉDIA DE CRESCIMENTO]])</f>
        <v/>
      </c>
      <c r="AD469" s="130">
        <f>Table_1[[#This Row],[PREÇO JUSTO GORDON]]/(1+Table_1[[#This Row],[MARGEM DE DESCONTO]])</f>
        <v/>
      </c>
      <c r="AE469" s="78">
        <f>Table_1[[#This Row],[P/L]]/Table_1[[#This Row],[MÉDIA DE CRESCIMENTO]]</f>
        <v/>
      </c>
    </row>
    <row r="470" ht="15.75" customHeight="1">
      <c r="B470" s="77">
        <f>'Dados Status Invest'!A456</f>
        <v/>
      </c>
      <c r="C470" s="60">
        <f>VLOOKUP(Table_1[[#This Row],[AÇÕES]],'Classificação B3'!A:B,2,0)</f>
        <v/>
      </c>
      <c r="D470" s="60">
        <f>VLOOKUP(Table_1[[#This Row],[AÇÕES]],'Classificação B3'!A:D,4,0)</f>
        <v/>
      </c>
      <c r="E470" s="60">
        <f>VLOOKUP(Table_1[[#This Row],[AÇÕES]],'Classificação B3'!A:F,6,0)</f>
        <v/>
      </c>
      <c r="F470" s="60">
        <f>VLOOKUP(Table_1[[#This Row],[AÇÕES]],'Classificação B3'!A:G,7,0)</f>
        <v/>
      </c>
      <c r="G470" s="61">
        <f>VLOOKUP(Table_1[[#This Row],[AÇÕES]],'Dados Status Invest'!A:B,2,0)</f>
        <v/>
      </c>
      <c r="H470" s="62">
        <f>VLOOKUP(Table_1[[#This Row],[AÇÕES]],'Dados Status Invest'!A:C,3,0)/100</f>
        <v/>
      </c>
      <c r="I470" s="62">
        <f>VLOOKUP(Table_1[[#This Row],[AÇÕES]],'Dados Status Invest'!A:D,4,0)/100</f>
        <v/>
      </c>
      <c r="J470" s="63">
        <f>VLOOKUP(Table_1[[#This Row],[AÇÕES]],'Dados Status Invest'!A:AB,28,0)</f>
        <v/>
      </c>
      <c r="K470" s="63">
        <f>VLOOKUP(Table_1[[#This Row],[AÇÕES]],'Dados Status Invest'!A:AA,27,0)</f>
        <v/>
      </c>
      <c r="L470" s="63">
        <f>Table_1[[#This Row],[PREÇO]]*Table_1[[#This Row],[DY]]</f>
        <v/>
      </c>
      <c r="M470" s="62">
        <f>$E$13</f>
        <v/>
      </c>
      <c r="N470" s="62" t="n">
        <v>0.3</v>
      </c>
      <c r="O470" s="62">
        <f>Table_1[[#This Row],[DPA]]/Table_1[[#This Row],[LPA]]</f>
        <v/>
      </c>
      <c r="P470" s="62">
        <f>IF(Table_1[[#This Row],[PAYOUT]]&lt;=40%,"CRESCIMENTO",IF(Table_1[[#This Row],[PAYOUT]]&lt;=60%,"INDEFINIDO","DIVIDENDOS"))</f>
        <v/>
      </c>
      <c r="Q470" s="62">
        <f>VLOOKUP(Table_1[[#This Row],[AÇÕES]],'Dados Status Invest'!A:R,18,0)/100</f>
        <v/>
      </c>
      <c r="R470" s="62">
        <f>VLOOKUP(Table_1[[#This Row],[AÇÕES]],'Dados Status Invest'!A:Y,25,0)/100</f>
        <v/>
      </c>
      <c r="S470" s="62">
        <f>(1-Table_1[[#This Row],[PAYOUT]])*Table_1[[#This Row],[ROE]]</f>
        <v/>
      </c>
      <c r="T470" s="98">
        <f>AVERAGE(Table_1[[#This Row],[CAGR LUCRO 5A]],Table_1[[#This Row],[CRESCIMENTO DAMODARAN]])</f>
        <v/>
      </c>
      <c r="U470" s="64">
        <f>(Table_1[[#This Row],[PREÇO JUSTO BAZIN]]-Table_1[[#This Row],[PREÇO]])/Table_1[[#This Row],[PREÇO JUSTO BAZIN]]</f>
        <v/>
      </c>
      <c r="V470" s="129">
        <f>Table_1[[#This Row],[DPA]]/6%</f>
        <v/>
      </c>
      <c r="W470" s="129">
        <f>Table_1[[#This Row],[PREÇO JUSTO BAZIN]]/(1+Table_1[[#This Row],[MARGEM DE DESCONTO]])</f>
        <v/>
      </c>
      <c r="X470" s="64">
        <f>(Table_1[[#This Row],[PREÇO JUSTO GRAHAM]]-Table_1[[#This Row],[PREÇO]])/Table_1[[#This Row],[PREÇO JUSTO GRAHAM]]</f>
        <v/>
      </c>
      <c r="Y470" s="129">
        <f>(22.5*Table_1[[#This Row],[LPA]]*Table_1[[#This Row],[VPA]])^0.5</f>
        <v/>
      </c>
      <c r="Z470" s="129">
        <f>Table_1[[#This Row],[PREÇO JUSTO GRAHAM]]/(1+Table_1[[#This Row],[MARGEM DE DESCONTO]])</f>
        <v/>
      </c>
      <c r="AA470" s="64">
        <f>(Table_1[[#This Row],[PREÇO JUSTO GORDON]]-Table_1[[#This Row],[PREÇO]])/Table_1[[#This Row],[PREÇO JUSTO GORDON]]</f>
        <v/>
      </c>
      <c r="AB470" s="130">
        <f>Table_1[[#This Row],[DPA]]*(1+Table_1[[#This Row],[MÉDIA DE CRESCIMENTO]])</f>
        <v/>
      </c>
      <c r="AC470" s="130">
        <f>Table_1[[#This Row],[D1]]/(Table_1[[#This Row],[RISCO]]-Table_1[[#This Row],[MÉDIA DE CRESCIMENTO]])</f>
        <v/>
      </c>
      <c r="AD470" s="130">
        <f>Table_1[[#This Row],[PREÇO JUSTO GORDON]]/(1+Table_1[[#This Row],[MARGEM DE DESCONTO]])</f>
        <v/>
      </c>
      <c r="AE470" s="78">
        <f>Table_1[[#This Row],[P/L]]/Table_1[[#This Row],[MÉDIA DE CRESCIMENTO]]</f>
        <v/>
      </c>
    </row>
    <row r="471" ht="15.75" customHeight="1">
      <c r="B471" s="77">
        <f>'Dados Status Invest'!A457</f>
        <v/>
      </c>
      <c r="C471" s="60">
        <f>VLOOKUP(Table_1[[#This Row],[AÇÕES]],'Classificação B3'!A:B,2,0)</f>
        <v/>
      </c>
      <c r="D471" s="60">
        <f>VLOOKUP(Table_1[[#This Row],[AÇÕES]],'Classificação B3'!A:D,4,0)</f>
        <v/>
      </c>
      <c r="E471" s="60">
        <f>VLOOKUP(Table_1[[#This Row],[AÇÕES]],'Classificação B3'!A:F,6,0)</f>
        <v/>
      </c>
      <c r="F471" s="60">
        <f>VLOOKUP(Table_1[[#This Row],[AÇÕES]],'Classificação B3'!A:G,7,0)</f>
        <v/>
      </c>
      <c r="G471" s="61">
        <f>VLOOKUP(Table_1[[#This Row],[AÇÕES]],'Dados Status Invest'!A:B,2,0)</f>
        <v/>
      </c>
      <c r="H471" s="62">
        <f>VLOOKUP(Table_1[[#This Row],[AÇÕES]],'Dados Status Invest'!A:C,3,0)/100</f>
        <v/>
      </c>
      <c r="I471" s="62">
        <f>VLOOKUP(Table_1[[#This Row],[AÇÕES]],'Dados Status Invest'!A:D,4,0)/100</f>
        <v/>
      </c>
      <c r="J471" s="63">
        <f>VLOOKUP(Table_1[[#This Row],[AÇÕES]],'Dados Status Invest'!A:AB,28,0)</f>
        <v/>
      </c>
      <c r="K471" s="63">
        <f>VLOOKUP(Table_1[[#This Row],[AÇÕES]],'Dados Status Invest'!A:AA,27,0)</f>
        <v/>
      </c>
      <c r="L471" s="63">
        <f>Table_1[[#This Row],[PREÇO]]*Table_1[[#This Row],[DY]]</f>
        <v/>
      </c>
      <c r="M471" s="62">
        <f>$E$13</f>
        <v/>
      </c>
      <c r="N471" s="62" t="n">
        <v>0.3</v>
      </c>
      <c r="O471" s="62">
        <f>Table_1[[#This Row],[DPA]]/Table_1[[#This Row],[LPA]]</f>
        <v/>
      </c>
      <c r="P471" s="62">
        <f>IF(Table_1[[#This Row],[PAYOUT]]&lt;=40%,"CRESCIMENTO",IF(Table_1[[#This Row],[PAYOUT]]&lt;=60%,"INDEFINIDO","DIVIDENDOS"))</f>
        <v/>
      </c>
      <c r="Q471" s="62">
        <f>VLOOKUP(Table_1[[#This Row],[AÇÕES]],'Dados Status Invest'!A:R,18,0)/100</f>
        <v/>
      </c>
      <c r="R471" s="62">
        <f>VLOOKUP(Table_1[[#This Row],[AÇÕES]],'Dados Status Invest'!A:Y,25,0)/100</f>
        <v/>
      </c>
      <c r="S471" s="62">
        <f>(1-Table_1[[#This Row],[PAYOUT]])*Table_1[[#This Row],[ROE]]</f>
        <v/>
      </c>
      <c r="T471" s="98">
        <f>AVERAGE(Table_1[[#This Row],[CAGR LUCRO 5A]],Table_1[[#This Row],[CRESCIMENTO DAMODARAN]])</f>
        <v/>
      </c>
      <c r="U471" s="64">
        <f>(Table_1[[#This Row],[PREÇO JUSTO BAZIN]]-Table_1[[#This Row],[PREÇO]])/Table_1[[#This Row],[PREÇO JUSTO BAZIN]]</f>
        <v/>
      </c>
      <c r="V471" s="129">
        <f>Table_1[[#This Row],[DPA]]/6%</f>
        <v/>
      </c>
      <c r="W471" s="129">
        <f>Table_1[[#This Row],[PREÇO JUSTO BAZIN]]/(1+Table_1[[#This Row],[MARGEM DE DESCONTO]])</f>
        <v/>
      </c>
      <c r="X471" s="64">
        <f>(Table_1[[#This Row],[PREÇO JUSTO GRAHAM]]-Table_1[[#This Row],[PREÇO]])/Table_1[[#This Row],[PREÇO JUSTO GRAHAM]]</f>
        <v/>
      </c>
      <c r="Y471" s="129">
        <f>(22.5*Table_1[[#This Row],[LPA]]*Table_1[[#This Row],[VPA]])^0.5</f>
        <v/>
      </c>
      <c r="Z471" s="129">
        <f>Table_1[[#This Row],[PREÇO JUSTO GRAHAM]]/(1+Table_1[[#This Row],[MARGEM DE DESCONTO]])</f>
        <v/>
      </c>
      <c r="AA471" s="64">
        <f>(Table_1[[#This Row],[PREÇO JUSTO GORDON]]-Table_1[[#This Row],[PREÇO]])/Table_1[[#This Row],[PREÇO JUSTO GORDON]]</f>
        <v/>
      </c>
      <c r="AB471" s="130">
        <f>Table_1[[#This Row],[DPA]]*(1+Table_1[[#This Row],[MÉDIA DE CRESCIMENTO]])</f>
        <v/>
      </c>
      <c r="AC471" s="130">
        <f>Table_1[[#This Row],[D1]]/(Table_1[[#This Row],[RISCO]]-Table_1[[#This Row],[MÉDIA DE CRESCIMENTO]])</f>
        <v/>
      </c>
      <c r="AD471" s="130">
        <f>Table_1[[#This Row],[PREÇO JUSTO GORDON]]/(1+Table_1[[#This Row],[MARGEM DE DESCONTO]])</f>
        <v/>
      </c>
      <c r="AE471" s="78">
        <f>Table_1[[#This Row],[P/L]]/Table_1[[#This Row],[MÉDIA DE CRESCIMENTO]]</f>
        <v/>
      </c>
    </row>
    <row r="472" ht="15.75" customHeight="1">
      <c r="B472" s="77">
        <f>'Dados Status Invest'!A458</f>
        <v/>
      </c>
      <c r="C472" s="60">
        <f>VLOOKUP(Table_1[[#This Row],[AÇÕES]],'Classificação B3'!A:B,2,0)</f>
        <v/>
      </c>
      <c r="D472" s="60">
        <f>VLOOKUP(Table_1[[#This Row],[AÇÕES]],'Classificação B3'!A:D,4,0)</f>
        <v/>
      </c>
      <c r="E472" s="60">
        <f>VLOOKUP(Table_1[[#This Row],[AÇÕES]],'Classificação B3'!A:F,6,0)</f>
        <v/>
      </c>
      <c r="F472" s="60">
        <f>VLOOKUP(Table_1[[#This Row],[AÇÕES]],'Classificação B3'!A:G,7,0)</f>
        <v/>
      </c>
      <c r="G472" s="61">
        <f>VLOOKUP(Table_1[[#This Row],[AÇÕES]],'Dados Status Invest'!A:B,2,0)</f>
        <v/>
      </c>
      <c r="H472" s="62">
        <f>VLOOKUP(Table_1[[#This Row],[AÇÕES]],'Dados Status Invest'!A:C,3,0)/100</f>
        <v/>
      </c>
      <c r="I472" s="62">
        <f>VLOOKUP(Table_1[[#This Row],[AÇÕES]],'Dados Status Invest'!A:D,4,0)/100</f>
        <v/>
      </c>
      <c r="J472" s="63">
        <f>VLOOKUP(Table_1[[#This Row],[AÇÕES]],'Dados Status Invest'!A:AB,28,0)</f>
        <v/>
      </c>
      <c r="K472" s="63">
        <f>VLOOKUP(Table_1[[#This Row],[AÇÕES]],'Dados Status Invest'!A:AA,27,0)</f>
        <v/>
      </c>
      <c r="L472" s="63">
        <f>Table_1[[#This Row],[PREÇO]]*Table_1[[#This Row],[DY]]</f>
        <v/>
      </c>
      <c r="M472" s="62">
        <f>$E$13</f>
        <v/>
      </c>
      <c r="N472" s="62" t="n">
        <v>0.3</v>
      </c>
      <c r="O472" s="62">
        <f>Table_1[[#This Row],[DPA]]/Table_1[[#This Row],[LPA]]</f>
        <v/>
      </c>
      <c r="P472" s="62">
        <f>IF(Table_1[[#This Row],[PAYOUT]]&lt;=40%,"CRESCIMENTO",IF(Table_1[[#This Row],[PAYOUT]]&lt;=60%,"INDEFINIDO","DIVIDENDOS"))</f>
        <v/>
      </c>
      <c r="Q472" s="62">
        <f>VLOOKUP(Table_1[[#This Row],[AÇÕES]],'Dados Status Invest'!A:R,18,0)/100</f>
        <v/>
      </c>
      <c r="R472" s="62">
        <f>VLOOKUP(Table_1[[#This Row],[AÇÕES]],'Dados Status Invest'!A:Y,25,0)/100</f>
        <v/>
      </c>
      <c r="S472" s="62">
        <f>(1-Table_1[[#This Row],[PAYOUT]])*Table_1[[#This Row],[ROE]]</f>
        <v/>
      </c>
      <c r="T472" s="98">
        <f>AVERAGE(Table_1[[#This Row],[CAGR LUCRO 5A]],Table_1[[#This Row],[CRESCIMENTO DAMODARAN]])</f>
        <v/>
      </c>
      <c r="U472" s="64">
        <f>(Table_1[[#This Row],[PREÇO JUSTO BAZIN]]-Table_1[[#This Row],[PREÇO]])/Table_1[[#This Row],[PREÇO JUSTO BAZIN]]</f>
        <v/>
      </c>
      <c r="V472" s="129">
        <f>Table_1[[#This Row],[DPA]]/6%</f>
        <v/>
      </c>
      <c r="W472" s="129">
        <f>Table_1[[#This Row],[PREÇO JUSTO BAZIN]]/(1+Table_1[[#This Row],[MARGEM DE DESCONTO]])</f>
        <v/>
      </c>
      <c r="X472" s="64">
        <f>(Table_1[[#This Row],[PREÇO JUSTO GRAHAM]]-Table_1[[#This Row],[PREÇO]])/Table_1[[#This Row],[PREÇO JUSTO GRAHAM]]</f>
        <v/>
      </c>
      <c r="Y472" s="129">
        <f>(22.5*Table_1[[#This Row],[LPA]]*Table_1[[#This Row],[VPA]])^0.5</f>
        <v/>
      </c>
      <c r="Z472" s="129">
        <f>Table_1[[#This Row],[PREÇO JUSTO GRAHAM]]/(1+Table_1[[#This Row],[MARGEM DE DESCONTO]])</f>
        <v/>
      </c>
      <c r="AA472" s="64">
        <f>(Table_1[[#This Row],[PREÇO JUSTO GORDON]]-Table_1[[#This Row],[PREÇO]])/Table_1[[#This Row],[PREÇO JUSTO GORDON]]</f>
        <v/>
      </c>
      <c r="AB472" s="130">
        <f>Table_1[[#This Row],[DPA]]*(1+Table_1[[#This Row],[MÉDIA DE CRESCIMENTO]])</f>
        <v/>
      </c>
      <c r="AC472" s="130">
        <f>Table_1[[#This Row],[D1]]/(Table_1[[#This Row],[RISCO]]-Table_1[[#This Row],[MÉDIA DE CRESCIMENTO]])</f>
        <v/>
      </c>
      <c r="AD472" s="130">
        <f>Table_1[[#This Row],[PREÇO JUSTO GORDON]]/(1+Table_1[[#This Row],[MARGEM DE DESCONTO]])</f>
        <v/>
      </c>
      <c r="AE472" s="78">
        <f>Table_1[[#This Row],[P/L]]/Table_1[[#This Row],[MÉDIA DE CRESCIMENTO]]</f>
        <v/>
      </c>
    </row>
    <row r="473" ht="15.75" customHeight="1">
      <c r="B473" s="77">
        <f>'Dados Status Invest'!A459</f>
        <v/>
      </c>
      <c r="C473" s="60">
        <f>VLOOKUP(Table_1[[#This Row],[AÇÕES]],'Classificação B3'!A:B,2,0)</f>
        <v/>
      </c>
      <c r="D473" s="60">
        <f>VLOOKUP(Table_1[[#This Row],[AÇÕES]],'Classificação B3'!A:D,4,0)</f>
        <v/>
      </c>
      <c r="E473" s="60">
        <f>VLOOKUP(Table_1[[#This Row],[AÇÕES]],'Classificação B3'!A:F,6,0)</f>
        <v/>
      </c>
      <c r="F473" s="60">
        <f>VLOOKUP(Table_1[[#This Row],[AÇÕES]],'Classificação B3'!A:G,7,0)</f>
        <v/>
      </c>
      <c r="G473" s="61">
        <f>VLOOKUP(Table_1[[#This Row],[AÇÕES]],'Dados Status Invest'!A:B,2,0)</f>
        <v/>
      </c>
      <c r="H473" s="62">
        <f>VLOOKUP(Table_1[[#This Row],[AÇÕES]],'Dados Status Invest'!A:C,3,0)/100</f>
        <v/>
      </c>
      <c r="I473" s="62">
        <f>VLOOKUP(Table_1[[#This Row],[AÇÕES]],'Dados Status Invest'!A:D,4,0)/100</f>
        <v/>
      </c>
      <c r="J473" s="63">
        <f>VLOOKUP(Table_1[[#This Row],[AÇÕES]],'Dados Status Invest'!A:AB,28,0)</f>
        <v/>
      </c>
      <c r="K473" s="63">
        <f>VLOOKUP(Table_1[[#This Row],[AÇÕES]],'Dados Status Invest'!A:AA,27,0)</f>
        <v/>
      </c>
      <c r="L473" s="63">
        <f>Table_1[[#This Row],[PREÇO]]*Table_1[[#This Row],[DY]]</f>
        <v/>
      </c>
      <c r="M473" s="62">
        <f>$E$13</f>
        <v/>
      </c>
      <c r="N473" s="62" t="n">
        <v>0.3</v>
      </c>
      <c r="O473" s="62">
        <f>Table_1[[#This Row],[DPA]]/Table_1[[#This Row],[LPA]]</f>
        <v/>
      </c>
      <c r="P473" s="62">
        <f>IF(Table_1[[#This Row],[PAYOUT]]&lt;=40%,"CRESCIMENTO",IF(Table_1[[#This Row],[PAYOUT]]&lt;=60%,"INDEFINIDO","DIVIDENDOS"))</f>
        <v/>
      </c>
      <c r="Q473" s="62">
        <f>VLOOKUP(Table_1[[#This Row],[AÇÕES]],'Dados Status Invest'!A:R,18,0)/100</f>
        <v/>
      </c>
      <c r="R473" s="62">
        <f>VLOOKUP(Table_1[[#This Row],[AÇÕES]],'Dados Status Invest'!A:Y,25,0)/100</f>
        <v/>
      </c>
      <c r="S473" s="62">
        <f>(1-Table_1[[#This Row],[PAYOUT]])*Table_1[[#This Row],[ROE]]</f>
        <v/>
      </c>
      <c r="T473" s="98">
        <f>AVERAGE(Table_1[[#This Row],[CAGR LUCRO 5A]],Table_1[[#This Row],[CRESCIMENTO DAMODARAN]])</f>
        <v/>
      </c>
      <c r="U473" s="64">
        <f>(Table_1[[#This Row],[PREÇO JUSTO BAZIN]]-Table_1[[#This Row],[PREÇO]])/Table_1[[#This Row],[PREÇO JUSTO BAZIN]]</f>
        <v/>
      </c>
      <c r="V473" s="129">
        <f>Table_1[[#This Row],[DPA]]/6%</f>
        <v/>
      </c>
      <c r="W473" s="129">
        <f>Table_1[[#This Row],[PREÇO JUSTO BAZIN]]/(1+Table_1[[#This Row],[MARGEM DE DESCONTO]])</f>
        <v/>
      </c>
      <c r="X473" s="64">
        <f>(Table_1[[#This Row],[PREÇO JUSTO GRAHAM]]-Table_1[[#This Row],[PREÇO]])/Table_1[[#This Row],[PREÇO JUSTO GRAHAM]]</f>
        <v/>
      </c>
      <c r="Y473" s="129">
        <f>(22.5*Table_1[[#This Row],[LPA]]*Table_1[[#This Row],[VPA]])^0.5</f>
        <v/>
      </c>
      <c r="Z473" s="129">
        <f>Table_1[[#This Row],[PREÇO JUSTO GRAHAM]]/(1+Table_1[[#This Row],[MARGEM DE DESCONTO]])</f>
        <v/>
      </c>
      <c r="AA473" s="64">
        <f>(Table_1[[#This Row],[PREÇO JUSTO GORDON]]-Table_1[[#This Row],[PREÇO]])/Table_1[[#This Row],[PREÇO JUSTO GORDON]]</f>
        <v/>
      </c>
      <c r="AB473" s="130">
        <f>Table_1[[#This Row],[DPA]]*(1+Table_1[[#This Row],[MÉDIA DE CRESCIMENTO]])</f>
        <v/>
      </c>
      <c r="AC473" s="130">
        <f>Table_1[[#This Row],[D1]]/(Table_1[[#This Row],[RISCO]]-Table_1[[#This Row],[MÉDIA DE CRESCIMENTO]])</f>
        <v/>
      </c>
      <c r="AD473" s="130">
        <f>Table_1[[#This Row],[PREÇO JUSTO GORDON]]/(1+Table_1[[#This Row],[MARGEM DE DESCONTO]])</f>
        <v/>
      </c>
      <c r="AE473" s="78">
        <f>Table_1[[#This Row],[P/L]]/Table_1[[#This Row],[MÉDIA DE CRESCIMENTO]]</f>
        <v/>
      </c>
    </row>
    <row r="474" ht="15.75" customHeight="1">
      <c r="B474" s="77">
        <f>'Dados Status Invest'!A460</f>
        <v/>
      </c>
      <c r="C474" s="60">
        <f>VLOOKUP(Table_1[[#This Row],[AÇÕES]],'Classificação B3'!A:B,2,0)</f>
        <v/>
      </c>
      <c r="D474" s="60">
        <f>VLOOKUP(Table_1[[#This Row],[AÇÕES]],'Classificação B3'!A:D,4,0)</f>
        <v/>
      </c>
      <c r="E474" s="60">
        <f>VLOOKUP(Table_1[[#This Row],[AÇÕES]],'Classificação B3'!A:F,6,0)</f>
        <v/>
      </c>
      <c r="F474" s="60">
        <f>VLOOKUP(Table_1[[#This Row],[AÇÕES]],'Classificação B3'!A:G,7,0)</f>
        <v/>
      </c>
      <c r="G474" s="61">
        <f>VLOOKUP(Table_1[[#This Row],[AÇÕES]],'Dados Status Invest'!A:B,2,0)</f>
        <v/>
      </c>
      <c r="H474" s="62">
        <f>VLOOKUP(Table_1[[#This Row],[AÇÕES]],'Dados Status Invest'!A:C,3,0)/100</f>
        <v/>
      </c>
      <c r="I474" s="62">
        <f>VLOOKUP(Table_1[[#This Row],[AÇÕES]],'Dados Status Invest'!A:D,4,0)/100</f>
        <v/>
      </c>
      <c r="J474" s="63">
        <f>VLOOKUP(Table_1[[#This Row],[AÇÕES]],'Dados Status Invest'!A:AB,28,0)</f>
        <v/>
      </c>
      <c r="K474" s="63">
        <f>VLOOKUP(Table_1[[#This Row],[AÇÕES]],'Dados Status Invest'!A:AA,27,0)</f>
        <v/>
      </c>
      <c r="L474" s="63">
        <f>Table_1[[#This Row],[PREÇO]]*Table_1[[#This Row],[DY]]</f>
        <v/>
      </c>
      <c r="M474" s="62">
        <f>$E$13</f>
        <v/>
      </c>
      <c r="N474" s="62" t="n">
        <v>0.3</v>
      </c>
      <c r="O474" s="62">
        <f>Table_1[[#This Row],[DPA]]/Table_1[[#This Row],[LPA]]</f>
        <v/>
      </c>
      <c r="P474" s="62">
        <f>IF(Table_1[[#This Row],[PAYOUT]]&lt;=40%,"CRESCIMENTO",IF(Table_1[[#This Row],[PAYOUT]]&lt;=60%,"INDEFINIDO","DIVIDENDOS"))</f>
        <v/>
      </c>
      <c r="Q474" s="62">
        <f>VLOOKUP(Table_1[[#This Row],[AÇÕES]],'Dados Status Invest'!A:R,18,0)/100</f>
        <v/>
      </c>
      <c r="R474" s="62">
        <f>VLOOKUP(Table_1[[#This Row],[AÇÕES]],'Dados Status Invest'!A:Y,25,0)/100</f>
        <v/>
      </c>
      <c r="S474" s="62">
        <f>(1-Table_1[[#This Row],[PAYOUT]])*Table_1[[#This Row],[ROE]]</f>
        <v/>
      </c>
      <c r="T474" s="98">
        <f>AVERAGE(Table_1[[#This Row],[CAGR LUCRO 5A]],Table_1[[#This Row],[CRESCIMENTO DAMODARAN]])</f>
        <v/>
      </c>
      <c r="U474" s="64">
        <f>(Table_1[[#This Row],[PREÇO JUSTO BAZIN]]-Table_1[[#This Row],[PREÇO]])/Table_1[[#This Row],[PREÇO JUSTO BAZIN]]</f>
        <v/>
      </c>
      <c r="V474" s="129">
        <f>Table_1[[#This Row],[DPA]]/6%</f>
        <v/>
      </c>
      <c r="W474" s="129">
        <f>Table_1[[#This Row],[PREÇO JUSTO BAZIN]]/(1+Table_1[[#This Row],[MARGEM DE DESCONTO]])</f>
        <v/>
      </c>
      <c r="X474" s="64">
        <f>(Table_1[[#This Row],[PREÇO JUSTO GRAHAM]]-Table_1[[#This Row],[PREÇO]])/Table_1[[#This Row],[PREÇO JUSTO GRAHAM]]</f>
        <v/>
      </c>
      <c r="Y474" s="129">
        <f>(22.5*Table_1[[#This Row],[LPA]]*Table_1[[#This Row],[VPA]])^0.5</f>
        <v/>
      </c>
      <c r="Z474" s="129">
        <f>Table_1[[#This Row],[PREÇO JUSTO GRAHAM]]/(1+Table_1[[#This Row],[MARGEM DE DESCONTO]])</f>
        <v/>
      </c>
      <c r="AA474" s="64">
        <f>(Table_1[[#This Row],[PREÇO JUSTO GORDON]]-Table_1[[#This Row],[PREÇO]])/Table_1[[#This Row],[PREÇO JUSTO GORDON]]</f>
        <v/>
      </c>
      <c r="AB474" s="130">
        <f>Table_1[[#This Row],[DPA]]*(1+Table_1[[#This Row],[MÉDIA DE CRESCIMENTO]])</f>
        <v/>
      </c>
      <c r="AC474" s="130">
        <f>Table_1[[#This Row],[D1]]/(Table_1[[#This Row],[RISCO]]-Table_1[[#This Row],[MÉDIA DE CRESCIMENTO]])</f>
        <v/>
      </c>
      <c r="AD474" s="130">
        <f>Table_1[[#This Row],[PREÇO JUSTO GORDON]]/(1+Table_1[[#This Row],[MARGEM DE DESCONTO]])</f>
        <v/>
      </c>
      <c r="AE474" s="78">
        <f>Table_1[[#This Row],[P/L]]/Table_1[[#This Row],[MÉDIA DE CRESCIMENTO]]</f>
        <v/>
      </c>
    </row>
    <row r="475" ht="15.75" customHeight="1">
      <c r="B475" s="77">
        <f>'Dados Status Invest'!A461</f>
        <v/>
      </c>
      <c r="C475" s="60">
        <f>VLOOKUP(Table_1[[#This Row],[AÇÕES]],'Classificação B3'!A:B,2,0)</f>
        <v/>
      </c>
      <c r="D475" s="60">
        <f>VLOOKUP(Table_1[[#This Row],[AÇÕES]],'Classificação B3'!A:D,4,0)</f>
        <v/>
      </c>
      <c r="E475" s="60">
        <f>VLOOKUP(Table_1[[#This Row],[AÇÕES]],'Classificação B3'!A:F,6,0)</f>
        <v/>
      </c>
      <c r="F475" s="60">
        <f>VLOOKUP(Table_1[[#This Row],[AÇÕES]],'Classificação B3'!A:G,7,0)</f>
        <v/>
      </c>
      <c r="G475" s="61">
        <f>VLOOKUP(Table_1[[#This Row],[AÇÕES]],'Dados Status Invest'!A:B,2,0)</f>
        <v/>
      </c>
      <c r="H475" s="62">
        <f>VLOOKUP(Table_1[[#This Row],[AÇÕES]],'Dados Status Invest'!A:C,3,0)/100</f>
        <v/>
      </c>
      <c r="I475" s="62">
        <f>VLOOKUP(Table_1[[#This Row],[AÇÕES]],'Dados Status Invest'!A:D,4,0)/100</f>
        <v/>
      </c>
      <c r="J475" s="63">
        <f>VLOOKUP(Table_1[[#This Row],[AÇÕES]],'Dados Status Invest'!A:AB,28,0)</f>
        <v/>
      </c>
      <c r="K475" s="63">
        <f>VLOOKUP(Table_1[[#This Row],[AÇÕES]],'Dados Status Invest'!A:AA,27,0)</f>
        <v/>
      </c>
      <c r="L475" s="63">
        <f>Table_1[[#This Row],[PREÇO]]*Table_1[[#This Row],[DY]]</f>
        <v/>
      </c>
      <c r="M475" s="62">
        <f>$E$13</f>
        <v/>
      </c>
      <c r="N475" s="62" t="n">
        <v>0.3</v>
      </c>
      <c r="O475" s="62">
        <f>Table_1[[#This Row],[DPA]]/Table_1[[#This Row],[LPA]]</f>
        <v/>
      </c>
      <c r="P475" s="62">
        <f>IF(Table_1[[#This Row],[PAYOUT]]&lt;=40%,"CRESCIMENTO",IF(Table_1[[#This Row],[PAYOUT]]&lt;=60%,"INDEFINIDO","DIVIDENDOS"))</f>
        <v/>
      </c>
      <c r="Q475" s="62">
        <f>VLOOKUP(Table_1[[#This Row],[AÇÕES]],'Dados Status Invest'!A:R,18,0)/100</f>
        <v/>
      </c>
      <c r="R475" s="62">
        <f>VLOOKUP(Table_1[[#This Row],[AÇÕES]],'Dados Status Invest'!A:Y,25,0)/100</f>
        <v/>
      </c>
      <c r="S475" s="62">
        <f>(1-Table_1[[#This Row],[PAYOUT]])*Table_1[[#This Row],[ROE]]</f>
        <v/>
      </c>
      <c r="T475" s="98">
        <f>AVERAGE(Table_1[[#This Row],[CAGR LUCRO 5A]],Table_1[[#This Row],[CRESCIMENTO DAMODARAN]])</f>
        <v/>
      </c>
      <c r="U475" s="64">
        <f>(Table_1[[#This Row],[PREÇO JUSTO BAZIN]]-Table_1[[#This Row],[PREÇO]])/Table_1[[#This Row],[PREÇO JUSTO BAZIN]]</f>
        <v/>
      </c>
      <c r="V475" s="129">
        <f>Table_1[[#This Row],[DPA]]/6%</f>
        <v/>
      </c>
      <c r="W475" s="129">
        <f>Table_1[[#This Row],[PREÇO JUSTO BAZIN]]/(1+Table_1[[#This Row],[MARGEM DE DESCONTO]])</f>
        <v/>
      </c>
      <c r="X475" s="64">
        <f>(Table_1[[#This Row],[PREÇO JUSTO GRAHAM]]-Table_1[[#This Row],[PREÇO]])/Table_1[[#This Row],[PREÇO JUSTO GRAHAM]]</f>
        <v/>
      </c>
      <c r="Y475" s="129">
        <f>(22.5*Table_1[[#This Row],[LPA]]*Table_1[[#This Row],[VPA]])^0.5</f>
        <v/>
      </c>
      <c r="Z475" s="129">
        <f>Table_1[[#This Row],[PREÇO JUSTO GRAHAM]]/(1+Table_1[[#This Row],[MARGEM DE DESCONTO]])</f>
        <v/>
      </c>
      <c r="AA475" s="64">
        <f>(Table_1[[#This Row],[PREÇO JUSTO GORDON]]-Table_1[[#This Row],[PREÇO]])/Table_1[[#This Row],[PREÇO JUSTO GORDON]]</f>
        <v/>
      </c>
      <c r="AB475" s="130">
        <f>Table_1[[#This Row],[DPA]]*(1+Table_1[[#This Row],[MÉDIA DE CRESCIMENTO]])</f>
        <v/>
      </c>
      <c r="AC475" s="130">
        <f>Table_1[[#This Row],[D1]]/(Table_1[[#This Row],[RISCO]]-Table_1[[#This Row],[MÉDIA DE CRESCIMENTO]])</f>
        <v/>
      </c>
      <c r="AD475" s="130">
        <f>Table_1[[#This Row],[PREÇO JUSTO GORDON]]/(1+Table_1[[#This Row],[MARGEM DE DESCONTO]])</f>
        <v/>
      </c>
      <c r="AE475" s="78">
        <f>Table_1[[#This Row],[P/L]]/Table_1[[#This Row],[MÉDIA DE CRESCIMENTO]]</f>
        <v/>
      </c>
    </row>
    <row r="476" ht="15.75" customHeight="1">
      <c r="B476" s="77">
        <f>'Dados Status Invest'!A462</f>
        <v/>
      </c>
      <c r="C476" s="60">
        <f>VLOOKUP(Table_1[[#This Row],[AÇÕES]],'Classificação B3'!A:B,2,0)</f>
        <v/>
      </c>
      <c r="D476" s="60">
        <f>VLOOKUP(Table_1[[#This Row],[AÇÕES]],'Classificação B3'!A:D,4,0)</f>
        <v/>
      </c>
      <c r="E476" s="60">
        <f>VLOOKUP(Table_1[[#This Row],[AÇÕES]],'Classificação B3'!A:F,6,0)</f>
        <v/>
      </c>
      <c r="F476" s="60">
        <f>VLOOKUP(Table_1[[#This Row],[AÇÕES]],'Classificação B3'!A:G,7,0)</f>
        <v/>
      </c>
      <c r="G476" s="61">
        <f>VLOOKUP(Table_1[[#This Row],[AÇÕES]],'Dados Status Invest'!A:B,2,0)</f>
        <v/>
      </c>
      <c r="H476" s="62">
        <f>VLOOKUP(Table_1[[#This Row],[AÇÕES]],'Dados Status Invest'!A:C,3,0)/100</f>
        <v/>
      </c>
      <c r="I476" s="62">
        <f>VLOOKUP(Table_1[[#This Row],[AÇÕES]],'Dados Status Invest'!A:D,4,0)/100</f>
        <v/>
      </c>
      <c r="J476" s="63">
        <f>VLOOKUP(Table_1[[#This Row],[AÇÕES]],'Dados Status Invest'!A:AB,28,0)</f>
        <v/>
      </c>
      <c r="K476" s="63">
        <f>VLOOKUP(Table_1[[#This Row],[AÇÕES]],'Dados Status Invest'!A:AA,27,0)</f>
        <v/>
      </c>
      <c r="L476" s="63">
        <f>Table_1[[#This Row],[PREÇO]]*Table_1[[#This Row],[DY]]</f>
        <v/>
      </c>
      <c r="M476" s="62">
        <f>$E$13</f>
        <v/>
      </c>
      <c r="N476" s="62" t="n">
        <v>0.3</v>
      </c>
      <c r="O476" s="62">
        <f>Table_1[[#This Row],[DPA]]/Table_1[[#This Row],[LPA]]</f>
        <v/>
      </c>
      <c r="P476" s="62">
        <f>IF(Table_1[[#This Row],[PAYOUT]]&lt;=40%,"CRESCIMENTO",IF(Table_1[[#This Row],[PAYOUT]]&lt;=60%,"INDEFINIDO","DIVIDENDOS"))</f>
        <v/>
      </c>
      <c r="Q476" s="62">
        <f>VLOOKUP(Table_1[[#This Row],[AÇÕES]],'Dados Status Invest'!A:R,18,0)/100</f>
        <v/>
      </c>
      <c r="R476" s="62">
        <f>VLOOKUP(Table_1[[#This Row],[AÇÕES]],'Dados Status Invest'!A:Y,25,0)/100</f>
        <v/>
      </c>
      <c r="S476" s="62">
        <f>(1-Table_1[[#This Row],[PAYOUT]])*Table_1[[#This Row],[ROE]]</f>
        <v/>
      </c>
      <c r="T476" s="98">
        <f>AVERAGE(Table_1[[#This Row],[CAGR LUCRO 5A]],Table_1[[#This Row],[CRESCIMENTO DAMODARAN]])</f>
        <v/>
      </c>
      <c r="U476" s="64">
        <f>(Table_1[[#This Row],[PREÇO JUSTO BAZIN]]-Table_1[[#This Row],[PREÇO]])/Table_1[[#This Row],[PREÇO JUSTO BAZIN]]</f>
        <v/>
      </c>
      <c r="V476" s="129">
        <f>Table_1[[#This Row],[DPA]]/6%</f>
        <v/>
      </c>
      <c r="W476" s="129">
        <f>Table_1[[#This Row],[PREÇO JUSTO BAZIN]]/(1+Table_1[[#This Row],[MARGEM DE DESCONTO]])</f>
        <v/>
      </c>
      <c r="X476" s="64">
        <f>(Table_1[[#This Row],[PREÇO JUSTO GRAHAM]]-Table_1[[#This Row],[PREÇO]])/Table_1[[#This Row],[PREÇO JUSTO GRAHAM]]</f>
        <v/>
      </c>
      <c r="Y476" s="129">
        <f>(22.5*Table_1[[#This Row],[LPA]]*Table_1[[#This Row],[VPA]])^0.5</f>
        <v/>
      </c>
      <c r="Z476" s="129">
        <f>Table_1[[#This Row],[PREÇO JUSTO GRAHAM]]/(1+Table_1[[#This Row],[MARGEM DE DESCONTO]])</f>
        <v/>
      </c>
      <c r="AA476" s="64">
        <f>(Table_1[[#This Row],[PREÇO JUSTO GORDON]]-Table_1[[#This Row],[PREÇO]])/Table_1[[#This Row],[PREÇO JUSTO GORDON]]</f>
        <v/>
      </c>
      <c r="AB476" s="130">
        <f>Table_1[[#This Row],[DPA]]*(1+Table_1[[#This Row],[MÉDIA DE CRESCIMENTO]])</f>
        <v/>
      </c>
      <c r="AC476" s="130">
        <f>Table_1[[#This Row],[D1]]/(Table_1[[#This Row],[RISCO]]-Table_1[[#This Row],[MÉDIA DE CRESCIMENTO]])</f>
        <v/>
      </c>
      <c r="AD476" s="130">
        <f>Table_1[[#This Row],[PREÇO JUSTO GORDON]]/(1+Table_1[[#This Row],[MARGEM DE DESCONTO]])</f>
        <v/>
      </c>
      <c r="AE476" s="78">
        <f>Table_1[[#This Row],[P/L]]/Table_1[[#This Row],[MÉDIA DE CRESCIMENTO]]</f>
        <v/>
      </c>
    </row>
    <row r="477" ht="15.75" customHeight="1">
      <c r="B477" s="77">
        <f>'Dados Status Invest'!A463</f>
        <v/>
      </c>
      <c r="C477" s="60">
        <f>VLOOKUP(Table_1[[#This Row],[AÇÕES]],'Classificação B3'!A:B,2,0)</f>
        <v/>
      </c>
      <c r="D477" s="60">
        <f>VLOOKUP(Table_1[[#This Row],[AÇÕES]],'Classificação B3'!A:D,4,0)</f>
        <v/>
      </c>
      <c r="E477" s="60">
        <f>VLOOKUP(Table_1[[#This Row],[AÇÕES]],'Classificação B3'!A:F,6,0)</f>
        <v/>
      </c>
      <c r="F477" s="60">
        <f>VLOOKUP(Table_1[[#This Row],[AÇÕES]],'Classificação B3'!A:G,7,0)</f>
        <v/>
      </c>
      <c r="G477" s="61">
        <f>VLOOKUP(Table_1[[#This Row],[AÇÕES]],'Dados Status Invest'!A:B,2,0)</f>
        <v/>
      </c>
      <c r="H477" s="62">
        <f>VLOOKUP(Table_1[[#This Row],[AÇÕES]],'Dados Status Invest'!A:C,3,0)/100</f>
        <v/>
      </c>
      <c r="I477" s="62">
        <f>VLOOKUP(Table_1[[#This Row],[AÇÕES]],'Dados Status Invest'!A:D,4,0)/100</f>
        <v/>
      </c>
      <c r="J477" s="63">
        <f>VLOOKUP(Table_1[[#This Row],[AÇÕES]],'Dados Status Invest'!A:AB,28,0)</f>
        <v/>
      </c>
      <c r="K477" s="63">
        <f>VLOOKUP(Table_1[[#This Row],[AÇÕES]],'Dados Status Invest'!A:AA,27,0)</f>
        <v/>
      </c>
      <c r="L477" s="63">
        <f>Table_1[[#This Row],[PREÇO]]*Table_1[[#This Row],[DY]]</f>
        <v/>
      </c>
      <c r="M477" s="62">
        <f>$E$13</f>
        <v/>
      </c>
      <c r="N477" s="62" t="n">
        <v>0.3</v>
      </c>
      <c r="O477" s="62">
        <f>Table_1[[#This Row],[DPA]]/Table_1[[#This Row],[LPA]]</f>
        <v/>
      </c>
      <c r="P477" s="62">
        <f>IF(Table_1[[#This Row],[PAYOUT]]&lt;=40%,"CRESCIMENTO",IF(Table_1[[#This Row],[PAYOUT]]&lt;=60%,"INDEFINIDO","DIVIDENDOS"))</f>
        <v/>
      </c>
      <c r="Q477" s="62">
        <f>VLOOKUP(Table_1[[#This Row],[AÇÕES]],'Dados Status Invest'!A:R,18,0)/100</f>
        <v/>
      </c>
      <c r="R477" s="62">
        <f>VLOOKUP(Table_1[[#This Row],[AÇÕES]],'Dados Status Invest'!A:Y,25,0)/100</f>
        <v/>
      </c>
      <c r="S477" s="62">
        <f>(1-Table_1[[#This Row],[PAYOUT]])*Table_1[[#This Row],[ROE]]</f>
        <v/>
      </c>
      <c r="T477" s="98">
        <f>AVERAGE(Table_1[[#This Row],[CAGR LUCRO 5A]],Table_1[[#This Row],[CRESCIMENTO DAMODARAN]])</f>
        <v/>
      </c>
      <c r="U477" s="64">
        <f>(Table_1[[#This Row],[PREÇO JUSTO BAZIN]]-Table_1[[#This Row],[PREÇO]])/Table_1[[#This Row],[PREÇO JUSTO BAZIN]]</f>
        <v/>
      </c>
      <c r="V477" s="129">
        <f>Table_1[[#This Row],[DPA]]/6%</f>
        <v/>
      </c>
      <c r="W477" s="129">
        <f>Table_1[[#This Row],[PREÇO JUSTO BAZIN]]/(1+Table_1[[#This Row],[MARGEM DE DESCONTO]])</f>
        <v/>
      </c>
      <c r="X477" s="64">
        <f>(Table_1[[#This Row],[PREÇO JUSTO GRAHAM]]-Table_1[[#This Row],[PREÇO]])/Table_1[[#This Row],[PREÇO JUSTO GRAHAM]]</f>
        <v/>
      </c>
      <c r="Y477" s="129">
        <f>(22.5*Table_1[[#This Row],[LPA]]*Table_1[[#This Row],[VPA]])^0.5</f>
        <v/>
      </c>
      <c r="Z477" s="129">
        <f>Table_1[[#This Row],[PREÇO JUSTO GRAHAM]]/(1+Table_1[[#This Row],[MARGEM DE DESCONTO]])</f>
        <v/>
      </c>
      <c r="AA477" s="64">
        <f>(Table_1[[#This Row],[PREÇO JUSTO GORDON]]-Table_1[[#This Row],[PREÇO]])/Table_1[[#This Row],[PREÇO JUSTO GORDON]]</f>
        <v/>
      </c>
      <c r="AB477" s="130">
        <f>Table_1[[#This Row],[DPA]]*(1+Table_1[[#This Row],[MÉDIA DE CRESCIMENTO]])</f>
        <v/>
      </c>
      <c r="AC477" s="130">
        <f>Table_1[[#This Row],[D1]]/(Table_1[[#This Row],[RISCO]]-Table_1[[#This Row],[MÉDIA DE CRESCIMENTO]])</f>
        <v/>
      </c>
      <c r="AD477" s="130">
        <f>Table_1[[#This Row],[PREÇO JUSTO GORDON]]/(1+Table_1[[#This Row],[MARGEM DE DESCONTO]])</f>
        <v/>
      </c>
      <c r="AE477" s="78">
        <f>Table_1[[#This Row],[P/L]]/Table_1[[#This Row],[MÉDIA DE CRESCIMENTO]]</f>
        <v/>
      </c>
    </row>
    <row r="478" ht="15.75" customHeight="1">
      <c r="B478" s="77">
        <f>'Dados Status Invest'!A464</f>
        <v/>
      </c>
      <c r="C478" s="60">
        <f>VLOOKUP(Table_1[[#This Row],[AÇÕES]],'Classificação B3'!A:B,2,0)</f>
        <v/>
      </c>
      <c r="D478" s="60">
        <f>VLOOKUP(Table_1[[#This Row],[AÇÕES]],'Classificação B3'!A:D,4,0)</f>
        <v/>
      </c>
      <c r="E478" s="60">
        <f>VLOOKUP(Table_1[[#This Row],[AÇÕES]],'Classificação B3'!A:F,6,0)</f>
        <v/>
      </c>
      <c r="F478" s="60">
        <f>VLOOKUP(Table_1[[#This Row],[AÇÕES]],'Classificação B3'!A:G,7,0)</f>
        <v/>
      </c>
      <c r="G478" s="61">
        <f>VLOOKUP(Table_1[[#This Row],[AÇÕES]],'Dados Status Invest'!A:B,2,0)</f>
        <v/>
      </c>
      <c r="H478" s="62">
        <f>VLOOKUP(Table_1[[#This Row],[AÇÕES]],'Dados Status Invest'!A:C,3,0)/100</f>
        <v/>
      </c>
      <c r="I478" s="62">
        <f>VLOOKUP(Table_1[[#This Row],[AÇÕES]],'Dados Status Invest'!A:D,4,0)/100</f>
        <v/>
      </c>
      <c r="J478" s="63">
        <f>VLOOKUP(Table_1[[#This Row],[AÇÕES]],'Dados Status Invest'!A:AB,28,0)</f>
        <v/>
      </c>
      <c r="K478" s="63">
        <f>VLOOKUP(Table_1[[#This Row],[AÇÕES]],'Dados Status Invest'!A:AA,27,0)</f>
        <v/>
      </c>
      <c r="L478" s="63">
        <f>Table_1[[#This Row],[PREÇO]]*Table_1[[#This Row],[DY]]</f>
        <v/>
      </c>
      <c r="M478" s="62">
        <f>$E$13</f>
        <v/>
      </c>
      <c r="N478" s="62" t="n">
        <v>0.3</v>
      </c>
      <c r="O478" s="62">
        <f>Table_1[[#This Row],[DPA]]/Table_1[[#This Row],[LPA]]</f>
        <v/>
      </c>
      <c r="P478" s="62">
        <f>IF(Table_1[[#This Row],[PAYOUT]]&lt;=40%,"CRESCIMENTO",IF(Table_1[[#This Row],[PAYOUT]]&lt;=60%,"INDEFINIDO","DIVIDENDOS"))</f>
        <v/>
      </c>
      <c r="Q478" s="62">
        <f>VLOOKUP(Table_1[[#This Row],[AÇÕES]],'Dados Status Invest'!A:R,18,0)/100</f>
        <v/>
      </c>
      <c r="R478" s="62">
        <f>VLOOKUP(Table_1[[#This Row],[AÇÕES]],'Dados Status Invest'!A:Y,25,0)/100</f>
        <v/>
      </c>
      <c r="S478" s="62">
        <f>(1-Table_1[[#This Row],[PAYOUT]])*Table_1[[#This Row],[ROE]]</f>
        <v/>
      </c>
      <c r="T478" s="98">
        <f>AVERAGE(Table_1[[#This Row],[CAGR LUCRO 5A]],Table_1[[#This Row],[CRESCIMENTO DAMODARAN]])</f>
        <v/>
      </c>
      <c r="U478" s="64">
        <f>(Table_1[[#This Row],[PREÇO JUSTO BAZIN]]-Table_1[[#This Row],[PREÇO]])/Table_1[[#This Row],[PREÇO JUSTO BAZIN]]</f>
        <v/>
      </c>
      <c r="V478" s="129">
        <f>Table_1[[#This Row],[DPA]]/6%</f>
        <v/>
      </c>
      <c r="W478" s="129">
        <f>Table_1[[#This Row],[PREÇO JUSTO BAZIN]]/(1+Table_1[[#This Row],[MARGEM DE DESCONTO]])</f>
        <v/>
      </c>
      <c r="X478" s="64">
        <f>(Table_1[[#This Row],[PREÇO JUSTO GRAHAM]]-Table_1[[#This Row],[PREÇO]])/Table_1[[#This Row],[PREÇO JUSTO GRAHAM]]</f>
        <v/>
      </c>
      <c r="Y478" s="129">
        <f>(22.5*Table_1[[#This Row],[LPA]]*Table_1[[#This Row],[VPA]])^0.5</f>
        <v/>
      </c>
      <c r="Z478" s="129">
        <f>Table_1[[#This Row],[PREÇO JUSTO GRAHAM]]/(1+Table_1[[#This Row],[MARGEM DE DESCONTO]])</f>
        <v/>
      </c>
      <c r="AA478" s="64">
        <f>(Table_1[[#This Row],[PREÇO JUSTO GORDON]]-Table_1[[#This Row],[PREÇO]])/Table_1[[#This Row],[PREÇO JUSTO GORDON]]</f>
        <v/>
      </c>
      <c r="AB478" s="130">
        <f>Table_1[[#This Row],[DPA]]*(1+Table_1[[#This Row],[MÉDIA DE CRESCIMENTO]])</f>
        <v/>
      </c>
      <c r="AC478" s="130">
        <f>Table_1[[#This Row],[D1]]/(Table_1[[#This Row],[RISCO]]-Table_1[[#This Row],[MÉDIA DE CRESCIMENTO]])</f>
        <v/>
      </c>
      <c r="AD478" s="130">
        <f>Table_1[[#This Row],[PREÇO JUSTO GORDON]]/(1+Table_1[[#This Row],[MARGEM DE DESCONTO]])</f>
        <v/>
      </c>
      <c r="AE478" s="78">
        <f>Table_1[[#This Row],[P/L]]/Table_1[[#This Row],[MÉDIA DE CRESCIMENTO]]</f>
        <v/>
      </c>
    </row>
    <row r="479" ht="15.75" customHeight="1">
      <c r="B479" s="77">
        <f>'Dados Status Invest'!A465</f>
        <v/>
      </c>
      <c r="C479" s="60">
        <f>VLOOKUP(Table_1[[#This Row],[AÇÕES]],'Classificação B3'!A:B,2,0)</f>
        <v/>
      </c>
      <c r="D479" s="60">
        <f>VLOOKUP(Table_1[[#This Row],[AÇÕES]],'Classificação B3'!A:D,4,0)</f>
        <v/>
      </c>
      <c r="E479" s="60">
        <f>VLOOKUP(Table_1[[#This Row],[AÇÕES]],'Classificação B3'!A:F,6,0)</f>
        <v/>
      </c>
      <c r="F479" s="60">
        <f>VLOOKUP(Table_1[[#This Row],[AÇÕES]],'Classificação B3'!A:G,7,0)</f>
        <v/>
      </c>
      <c r="G479" s="61">
        <f>VLOOKUP(Table_1[[#This Row],[AÇÕES]],'Dados Status Invest'!A:B,2,0)</f>
        <v/>
      </c>
      <c r="H479" s="62">
        <f>VLOOKUP(Table_1[[#This Row],[AÇÕES]],'Dados Status Invest'!A:C,3,0)/100</f>
        <v/>
      </c>
      <c r="I479" s="62">
        <f>VLOOKUP(Table_1[[#This Row],[AÇÕES]],'Dados Status Invest'!A:D,4,0)/100</f>
        <v/>
      </c>
      <c r="J479" s="63">
        <f>VLOOKUP(Table_1[[#This Row],[AÇÕES]],'Dados Status Invest'!A:AB,28,0)</f>
        <v/>
      </c>
      <c r="K479" s="63">
        <f>VLOOKUP(Table_1[[#This Row],[AÇÕES]],'Dados Status Invest'!A:AA,27,0)</f>
        <v/>
      </c>
      <c r="L479" s="63">
        <f>Table_1[[#This Row],[PREÇO]]*Table_1[[#This Row],[DY]]</f>
        <v/>
      </c>
      <c r="M479" s="62">
        <f>$E$13</f>
        <v/>
      </c>
      <c r="N479" s="62" t="n">
        <v>0.3</v>
      </c>
      <c r="O479" s="62">
        <f>Table_1[[#This Row],[DPA]]/Table_1[[#This Row],[LPA]]</f>
        <v/>
      </c>
      <c r="P479" s="62">
        <f>IF(Table_1[[#This Row],[PAYOUT]]&lt;=40%,"CRESCIMENTO",IF(Table_1[[#This Row],[PAYOUT]]&lt;=60%,"INDEFINIDO","DIVIDENDOS"))</f>
        <v/>
      </c>
      <c r="Q479" s="62">
        <f>VLOOKUP(Table_1[[#This Row],[AÇÕES]],'Dados Status Invest'!A:R,18,0)/100</f>
        <v/>
      </c>
      <c r="R479" s="62">
        <f>VLOOKUP(Table_1[[#This Row],[AÇÕES]],'Dados Status Invest'!A:Y,25,0)/100</f>
        <v/>
      </c>
      <c r="S479" s="62">
        <f>(1-Table_1[[#This Row],[PAYOUT]])*Table_1[[#This Row],[ROE]]</f>
        <v/>
      </c>
      <c r="T479" s="98">
        <f>AVERAGE(Table_1[[#This Row],[CAGR LUCRO 5A]],Table_1[[#This Row],[CRESCIMENTO DAMODARAN]])</f>
        <v/>
      </c>
      <c r="U479" s="64">
        <f>(Table_1[[#This Row],[PREÇO JUSTO BAZIN]]-Table_1[[#This Row],[PREÇO]])/Table_1[[#This Row],[PREÇO JUSTO BAZIN]]</f>
        <v/>
      </c>
      <c r="V479" s="129">
        <f>Table_1[[#This Row],[DPA]]/6%</f>
        <v/>
      </c>
      <c r="W479" s="129">
        <f>Table_1[[#This Row],[PREÇO JUSTO BAZIN]]/(1+Table_1[[#This Row],[MARGEM DE DESCONTO]])</f>
        <v/>
      </c>
      <c r="X479" s="64">
        <f>(Table_1[[#This Row],[PREÇO JUSTO GRAHAM]]-Table_1[[#This Row],[PREÇO]])/Table_1[[#This Row],[PREÇO JUSTO GRAHAM]]</f>
        <v/>
      </c>
      <c r="Y479" s="129">
        <f>(22.5*Table_1[[#This Row],[LPA]]*Table_1[[#This Row],[VPA]])^0.5</f>
        <v/>
      </c>
      <c r="Z479" s="129">
        <f>Table_1[[#This Row],[PREÇO JUSTO GRAHAM]]/(1+Table_1[[#This Row],[MARGEM DE DESCONTO]])</f>
        <v/>
      </c>
      <c r="AA479" s="64">
        <f>(Table_1[[#This Row],[PREÇO JUSTO GORDON]]-Table_1[[#This Row],[PREÇO]])/Table_1[[#This Row],[PREÇO JUSTO GORDON]]</f>
        <v/>
      </c>
      <c r="AB479" s="130">
        <f>Table_1[[#This Row],[DPA]]*(1+Table_1[[#This Row],[MÉDIA DE CRESCIMENTO]])</f>
        <v/>
      </c>
      <c r="AC479" s="130">
        <f>Table_1[[#This Row],[D1]]/(Table_1[[#This Row],[RISCO]]-Table_1[[#This Row],[MÉDIA DE CRESCIMENTO]])</f>
        <v/>
      </c>
      <c r="AD479" s="130">
        <f>Table_1[[#This Row],[PREÇO JUSTO GORDON]]/(1+Table_1[[#This Row],[MARGEM DE DESCONTO]])</f>
        <v/>
      </c>
      <c r="AE479" s="78">
        <f>Table_1[[#This Row],[P/L]]/Table_1[[#This Row],[MÉDIA DE CRESCIMENTO]]</f>
        <v/>
      </c>
    </row>
    <row r="480" ht="15.75" customHeight="1">
      <c r="B480" s="77">
        <f>'Dados Status Invest'!A466</f>
        <v/>
      </c>
      <c r="C480" s="60">
        <f>VLOOKUP(Table_1[[#This Row],[AÇÕES]],'Classificação B3'!A:B,2,0)</f>
        <v/>
      </c>
      <c r="D480" s="60">
        <f>VLOOKUP(Table_1[[#This Row],[AÇÕES]],'Classificação B3'!A:D,4,0)</f>
        <v/>
      </c>
      <c r="E480" s="60">
        <f>VLOOKUP(Table_1[[#This Row],[AÇÕES]],'Classificação B3'!A:F,6,0)</f>
        <v/>
      </c>
      <c r="F480" s="60">
        <f>VLOOKUP(Table_1[[#This Row],[AÇÕES]],'Classificação B3'!A:G,7,0)</f>
        <v/>
      </c>
      <c r="G480" s="61">
        <f>VLOOKUP(Table_1[[#This Row],[AÇÕES]],'Dados Status Invest'!A:B,2,0)</f>
        <v/>
      </c>
      <c r="H480" s="62">
        <f>VLOOKUP(Table_1[[#This Row],[AÇÕES]],'Dados Status Invest'!A:C,3,0)/100</f>
        <v/>
      </c>
      <c r="I480" s="62">
        <f>VLOOKUP(Table_1[[#This Row],[AÇÕES]],'Dados Status Invest'!A:D,4,0)/100</f>
        <v/>
      </c>
      <c r="J480" s="63">
        <f>VLOOKUP(Table_1[[#This Row],[AÇÕES]],'Dados Status Invest'!A:AB,28,0)</f>
        <v/>
      </c>
      <c r="K480" s="63">
        <f>VLOOKUP(Table_1[[#This Row],[AÇÕES]],'Dados Status Invest'!A:AA,27,0)</f>
        <v/>
      </c>
      <c r="L480" s="63">
        <f>Table_1[[#This Row],[PREÇO]]*Table_1[[#This Row],[DY]]</f>
        <v/>
      </c>
      <c r="M480" s="62">
        <f>$E$13</f>
        <v/>
      </c>
      <c r="N480" s="62" t="n">
        <v>0.3</v>
      </c>
      <c r="O480" s="62">
        <f>Table_1[[#This Row],[DPA]]/Table_1[[#This Row],[LPA]]</f>
        <v/>
      </c>
      <c r="P480" s="62">
        <f>IF(Table_1[[#This Row],[PAYOUT]]&lt;=40%,"CRESCIMENTO",IF(Table_1[[#This Row],[PAYOUT]]&lt;=60%,"INDEFINIDO","DIVIDENDOS"))</f>
        <v/>
      </c>
      <c r="Q480" s="62">
        <f>VLOOKUP(Table_1[[#This Row],[AÇÕES]],'Dados Status Invest'!A:R,18,0)/100</f>
        <v/>
      </c>
      <c r="R480" s="62">
        <f>VLOOKUP(Table_1[[#This Row],[AÇÕES]],'Dados Status Invest'!A:Y,25,0)/100</f>
        <v/>
      </c>
      <c r="S480" s="62">
        <f>(1-Table_1[[#This Row],[PAYOUT]])*Table_1[[#This Row],[ROE]]</f>
        <v/>
      </c>
      <c r="T480" s="98">
        <f>AVERAGE(Table_1[[#This Row],[CAGR LUCRO 5A]],Table_1[[#This Row],[CRESCIMENTO DAMODARAN]])</f>
        <v/>
      </c>
      <c r="U480" s="64">
        <f>(Table_1[[#This Row],[PREÇO JUSTO BAZIN]]-Table_1[[#This Row],[PREÇO]])/Table_1[[#This Row],[PREÇO JUSTO BAZIN]]</f>
        <v/>
      </c>
      <c r="V480" s="129">
        <f>Table_1[[#This Row],[DPA]]/6%</f>
        <v/>
      </c>
      <c r="W480" s="129">
        <f>Table_1[[#This Row],[PREÇO JUSTO BAZIN]]/(1+Table_1[[#This Row],[MARGEM DE DESCONTO]])</f>
        <v/>
      </c>
      <c r="X480" s="64">
        <f>(Table_1[[#This Row],[PREÇO JUSTO GRAHAM]]-Table_1[[#This Row],[PREÇO]])/Table_1[[#This Row],[PREÇO JUSTO GRAHAM]]</f>
        <v/>
      </c>
      <c r="Y480" s="129">
        <f>(22.5*Table_1[[#This Row],[LPA]]*Table_1[[#This Row],[VPA]])^0.5</f>
        <v/>
      </c>
      <c r="Z480" s="129">
        <f>Table_1[[#This Row],[PREÇO JUSTO GRAHAM]]/(1+Table_1[[#This Row],[MARGEM DE DESCONTO]])</f>
        <v/>
      </c>
      <c r="AA480" s="64">
        <f>(Table_1[[#This Row],[PREÇO JUSTO GORDON]]-Table_1[[#This Row],[PREÇO]])/Table_1[[#This Row],[PREÇO JUSTO GORDON]]</f>
        <v/>
      </c>
      <c r="AB480" s="130">
        <f>Table_1[[#This Row],[DPA]]*(1+Table_1[[#This Row],[MÉDIA DE CRESCIMENTO]])</f>
        <v/>
      </c>
      <c r="AC480" s="130">
        <f>Table_1[[#This Row],[D1]]/(Table_1[[#This Row],[RISCO]]-Table_1[[#This Row],[MÉDIA DE CRESCIMENTO]])</f>
        <v/>
      </c>
      <c r="AD480" s="130">
        <f>Table_1[[#This Row],[PREÇO JUSTO GORDON]]/(1+Table_1[[#This Row],[MARGEM DE DESCONTO]])</f>
        <v/>
      </c>
      <c r="AE480" s="78">
        <f>Table_1[[#This Row],[P/L]]/Table_1[[#This Row],[MÉDIA DE CRESCIMENTO]]</f>
        <v/>
      </c>
    </row>
    <row r="481" ht="15.75" customHeight="1">
      <c r="B481" s="77">
        <f>'Dados Status Invest'!A467</f>
        <v/>
      </c>
      <c r="C481" s="60">
        <f>VLOOKUP(Table_1[[#This Row],[AÇÕES]],'Classificação B3'!A:B,2,0)</f>
        <v/>
      </c>
      <c r="D481" s="60">
        <f>VLOOKUP(Table_1[[#This Row],[AÇÕES]],'Classificação B3'!A:D,4,0)</f>
        <v/>
      </c>
      <c r="E481" s="60">
        <f>VLOOKUP(Table_1[[#This Row],[AÇÕES]],'Classificação B3'!A:F,6,0)</f>
        <v/>
      </c>
      <c r="F481" s="60">
        <f>VLOOKUP(Table_1[[#This Row],[AÇÕES]],'Classificação B3'!A:G,7,0)</f>
        <v/>
      </c>
      <c r="G481" s="61">
        <f>VLOOKUP(Table_1[[#This Row],[AÇÕES]],'Dados Status Invest'!A:B,2,0)</f>
        <v/>
      </c>
      <c r="H481" s="62">
        <f>VLOOKUP(Table_1[[#This Row],[AÇÕES]],'Dados Status Invest'!A:C,3,0)/100</f>
        <v/>
      </c>
      <c r="I481" s="62">
        <f>VLOOKUP(Table_1[[#This Row],[AÇÕES]],'Dados Status Invest'!A:D,4,0)/100</f>
        <v/>
      </c>
      <c r="J481" s="63">
        <f>VLOOKUP(Table_1[[#This Row],[AÇÕES]],'Dados Status Invest'!A:AB,28,0)</f>
        <v/>
      </c>
      <c r="K481" s="63">
        <f>VLOOKUP(Table_1[[#This Row],[AÇÕES]],'Dados Status Invest'!A:AA,27,0)</f>
        <v/>
      </c>
      <c r="L481" s="63">
        <f>Table_1[[#This Row],[PREÇO]]*Table_1[[#This Row],[DY]]</f>
        <v/>
      </c>
      <c r="M481" s="62">
        <f>$E$13</f>
        <v/>
      </c>
      <c r="N481" s="62" t="n">
        <v>0.3</v>
      </c>
      <c r="O481" s="62">
        <f>Table_1[[#This Row],[DPA]]/Table_1[[#This Row],[LPA]]</f>
        <v/>
      </c>
      <c r="P481" s="62">
        <f>IF(Table_1[[#This Row],[PAYOUT]]&lt;=40%,"CRESCIMENTO",IF(Table_1[[#This Row],[PAYOUT]]&lt;=60%,"INDEFINIDO","DIVIDENDOS"))</f>
        <v/>
      </c>
      <c r="Q481" s="62">
        <f>VLOOKUP(Table_1[[#This Row],[AÇÕES]],'Dados Status Invest'!A:R,18,0)/100</f>
        <v/>
      </c>
      <c r="R481" s="62">
        <f>VLOOKUP(Table_1[[#This Row],[AÇÕES]],'Dados Status Invest'!A:Y,25,0)/100</f>
        <v/>
      </c>
      <c r="S481" s="62">
        <f>(1-Table_1[[#This Row],[PAYOUT]])*Table_1[[#This Row],[ROE]]</f>
        <v/>
      </c>
      <c r="T481" s="98">
        <f>AVERAGE(Table_1[[#This Row],[CAGR LUCRO 5A]],Table_1[[#This Row],[CRESCIMENTO DAMODARAN]])</f>
        <v/>
      </c>
      <c r="U481" s="64">
        <f>(Table_1[[#This Row],[PREÇO JUSTO BAZIN]]-Table_1[[#This Row],[PREÇO]])/Table_1[[#This Row],[PREÇO JUSTO BAZIN]]</f>
        <v/>
      </c>
      <c r="V481" s="129">
        <f>Table_1[[#This Row],[DPA]]/6%</f>
        <v/>
      </c>
      <c r="W481" s="129">
        <f>Table_1[[#This Row],[PREÇO JUSTO BAZIN]]/(1+Table_1[[#This Row],[MARGEM DE DESCONTO]])</f>
        <v/>
      </c>
      <c r="X481" s="64">
        <f>(Table_1[[#This Row],[PREÇO JUSTO GRAHAM]]-Table_1[[#This Row],[PREÇO]])/Table_1[[#This Row],[PREÇO JUSTO GRAHAM]]</f>
        <v/>
      </c>
      <c r="Y481" s="129">
        <f>(22.5*Table_1[[#This Row],[LPA]]*Table_1[[#This Row],[VPA]])^0.5</f>
        <v/>
      </c>
      <c r="Z481" s="129">
        <f>Table_1[[#This Row],[PREÇO JUSTO GRAHAM]]/(1+Table_1[[#This Row],[MARGEM DE DESCONTO]])</f>
        <v/>
      </c>
      <c r="AA481" s="64">
        <f>(Table_1[[#This Row],[PREÇO JUSTO GORDON]]-Table_1[[#This Row],[PREÇO]])/Table_1[[#This Row],[PREÇO JUSTO GORDON]]</f>
        <v/>
      </c>
      <c r="AB481" s="130">
        <f>Table_1[[#This Row],[DPA]]*(1+Table_1[[#This Row],[MÉDIA DE CRESCIMENTO]])</f>
        <v/>
      </c>
      <c r="AC481" s="130">
        <f>Table_1[[#This Row],[D1]]/(Table_1[[#This Row],[RISCO]]-Table_1[[#This Row],[MÉDIA DE CRESCIMENTO]])</f>
        <v/>
      </c>
      <c r="AD481" s="130">
        <f>Table_1[[#This Row],[PREÇO JUSTO GORDON]]/(1+Table_1[[#This Row],[MARGEM DE DESCONTO]])</f>
        <v/>
      </c>
      <c r="AE481" s="78">
        <f>Table_1[[#This Row],[P/L]]/Table_1[[#This Row],[MÉDIA DE CRESCIMENTO]]</f>
        <v/>
      </c>
    </row>
    <row r="482" ht="15.75" customHeight="1">
      <c r="B482" s="77">
        <f>'Dados Status Invest'!A468</f>
        <v/>
      </c>
      <c r="C482" s="60">
        <f>VLOOKUP(Table_1[[#This Row],[AÇÕES]],'Classificação B3'!A:B,2,0)</f>
        <v/>
      </c>
      <c r="D482" s="60">
        <f>VLOOKUP(Table_1[[#This Row],[AÇÕES]],'Classificação B3'!A:D,4,0)</f>
        <v/>
      </c>
      <c r="E482" s="60">
        <f>VLOOKUP(Table_1[[#This Row],[AÇÕES]],'Classificação B3'!A:F,6,0)</f>
        <v/>
      </c>
      <c r="F482" s="60">
        <f>VLOOKUP(Table_1[[#This Row],[AÇÕES]],'Classificação B3'!A:G,7,0)</f>
        <v/>
      </c>
      <c r="G482" s="61">
        <f>VLOOKUP(Table_1[[#This Row],[AÇÕES]],'Dados Status Invest'!A:B,2,0)</f>
        <v/>
      </c>
      <c r="H482" s="62">
        <f>VLOOKUP(Table_1[[#This Row],[AÇÕES]],'Dados Status Invest'!A:C,3,0)/100</f>
        <v/>
      </c>
      <c r="I482" s="62">
        <f>VLOOKUP(Table_1[[#This Row],[AÇÕES]],'Dados Status Invest'!A:D,4,0)/100</f>
        <v/>
      </c>
      <c r="J482" s="63">
        <f>VLOOKUP(Table_1[[#This Row],[AÇÕES]],'Dados Status Invest'!A:AB,28,0)</f>
        <v/>
      </c>
      <c r="K482" s="63">
        <f>VLOOKUP(Table_1[[#This Row],[AÇÕES]],'Dados Status Invest'!A:AA,27,0)</f>
        <v/>
      </c>
      <c r="L482" s="63">
        <f>Table_1[[#This Row],[PREÇO]]*Table_1[[#This Row],[DY]]</f>
        <v/>
      </c>
      <c r="M482" s="62">
        <f>$E$13</f>
        <v/>
      </c>
      <c r="N482" s="62" t="n">
        <v>0.3</v>
      </c>
      <c r="O482" s="62">
        <f>Table_1[[#This Row],[DPA]]/Table_1[[#This Row],[LPA]]</f>
        <v/>
      </c>
      <c r="P482" s="62">
        <f>IF(Table_1[[#This Row],[PAYOUT]]&lt;=40%,"CRESCIMENTO",IF(Table_1[[#This Row],[PAYOUT]]&lt;=60%,"INDEFINIDO","DIVIDENDOS"))</f>
        <v/>
      </c>
      <c r="Q482" s="62">
        <f>VLOOKUP(Table_1[[#This Row],[AÇÕES]],'Dados Status Invest'!A:R,18,0)/100</f>
        <v/>
      </c>
      <c r="R482" s="62">
        <f>VLOOKUP(Table_1[[#This Row],[AÇÕES]],'Dados Status Invest'!A:Y,25,0)/100</f>
        <v/>
      </c>
      <c r="S482" s="62">
        <f>(1-Table_1[[#This Row],[PAYOUT]])*Table_1[[#This Row],[ROE]]</f>
        <v/>
      </c>
      <c r="T482" s="98">
        <f>AVERAGE(Table_1[[#This Row],[CAGR LUCRO 5A]],Table_1[[#This Row],[CRESCIMENTO DAMODARAN]])</f>
        <v/>
      </c>
      <c r="U482" s="64">
        <f>(Table_1[[#This Row],[PREÇO JUSTO BAZIN]]-Table_1[[#This Row],[PREÇO]])/Table_1[[#This Row],[PREÇO JUSTO BAZIN]]</f>
        <v/>
      </c>
      <c r="V482" s="129">
        <f>Table_1[[#This Row],[DPA]]/6%</f>
        <v/>
      </c>
      <c r="W482" s="129">
        <f>Table_1[[#This Row],[PREÇO JUSTO BAZIN]]/(1+Table_1[[#This Row],[MARGEM DE DESCONTO]])</f>
        <v/>
      </c>
      <c r="X482" s="64">
        <f>(Table_1[[#This Row],[PREÇO JUSTO GRAHAM]]-Table_1[[#This Row],[PREÇO]])/Table_1[[#This Row],[PREÇO JUSTO GRAHAM]]</f>
        <v/>
      </c>
      <c r="Y482" s="129">
        <f>(22.5*Table_1[[#This Row],[LPA]]*Table_1[[#This Row],[VPA]])^0.5</f>
        <v/>
      </c>
      <c r="Z482" s="129">
        <f>Table_1[[#This Row],[PREÇO JUSTO GRAHAM]]/(1+Table_1[[#This Row],[MARGEM DE DESCONTO]])</f>
        <v/>
      </c>
      <c r="AA482" s="64">
        <f>(Table_1[[#This Row],[PREÇO JUSTO GORDON]]-Table_1[[#This Row],[PREÇO]])/Table_1[[#This Row],[PREÇO JUSTO GORDON]]</f>
        <v/>
      </c>
      <c r="AB482" s="130">
        <f>Table_1[[#This Row],[DPA]]*(1+Table_1[[#This Row],[MÉDIA DE CRESCIMENTO]])</f>
        <v/>
      </c>
      <c r="AC482" s="130">
        <f>Table_1[[#This Row],[D1]]/(Table_1[[#This Row],[RISCO]]-Table_1[[#This Row],[MÉDIA DE CRESCIMENTO]])</f>
        <v/>
      </c>
      <c r="AD482" s="130">
        <f>Table_1[[#This Row],[PREÇO JUSTO GORDON]]/(1+Table_1[[#This Row],[MARGEM DE DESCONTO]])</f>
        <v/>
      </c>
      <c r="AE482" s="78">
        <f>Table_1[[#This Row],[P/L]]/Table_1[[#This Row],[MÉDIA DE CRESCIMENTO]]</f>
        <v/>
      </c>
    </row>
    <row r="483" ht="15.75" customHeight="1">
      <c r="B483" s="77">
        <f>'Dados Status Invest'!A469</f>
        <v/>
      </c>
      <c r="C483" s="60">
        <f>VLOOKUP(Table_1[[#This Row],[AÇÕES]],'Classificação B3'!A:B,2,0)</f>
        <v/>
      </c>
      <c r="D483" s="60">
        <f>VLOOKUP(Table_1[[#This Row],[AÇÕES]],'Classificação B3'!A:D,4,0)</f>
        <v/>
      </c>
      <c r="E483" s="60">
        <f>VLOOKUP(Table_1[[#This Row],[AÇÕES]],'Classificação B3'!A:F,6,0)</f>
        <v/>
      </c>
      <c r="F483" s="60">
        <f>VLOOKUP(Table_1[[#This Row],[AÇÕES]],'Classificação B3'!A:G,7,0)</f>
        <v/>
      </c>
      <c r="G483" s="61">
        <f>VLOOKUP(Table_1[[#This Row],[AÇÕES]],'Dados Status Invest'!A:B,2,0)</f>
        <v/>
      </c>
      <c r="H483" s="62">
        <f>VLOOKUP(Table_1[[#This Row],[AÇÕES]],'Dados Status Invest'!A:C,3,0)/100</f>
        <v/>
      </c>
      <c r="I483" s="62">
        <f>VLOOKUP(Table_1[[#This Row],[AÇÕES]],'Dados Status Invest'!A:D,4,0)/100</f>
        <v/>
      </c>
      <c r="J483" s="63">
        <f>VLOOKUP(Table_1[[#This Row],[AÇÕES]],'Dados Status Invest'!A:AB,28,0)</f>
        <v/>
      </c>
      <c r="K483" s="63">
        <f>VLOOKUP(Table_1[[#This Row],[AÇÕES]],'Dados Status Invest'!A:AA,27,0)</f>
        <v/>
      </c>
      <c r="L483" s="63">
        <f>Table_1[[#This Row],[PREÇO]]*Table_1[[#This Row],[DY]]</f>
        <v/>
      </c>
      <c r="M483" s="62">
        <f>$E$13</f>
        <v/>
      </c>
      <c r="N483" s="62" t="n">
        <v>0.3</v>
      </c>
      <c r="O483" s="62">
        <f>Table_1[[#This Row],[DPA]]/Table_1[[#This Row],[LPA]]</f>
        <v/>
      </c>
      <c r="P483" s="62">
        <f>IF(Table_1[[#This Row],[PAYOUT]]&lt;=40%,"CRESCIMENTO",IF(Table_1[[#This Row],[PAYOUT]]&lt;=60%,"INDEFINIDO","DIVIDENDOS"))</f>
        <v/>
      </c>
      <c r="Q483" s="62">
        <f>VLOOKUP(Table_1[[#This Row],[AÇÕES]],'Dados Status Invest'!A:R,18,0)/100</f>
        <v/>
      </c>
      <c r="R483" s="62">
        <f>VLOOKUP(Table_1[[#This Row],[AÇÕES]],'Dados Status Invest'!A:Y,25,0)/100</f>
        <v/>
      </c>
      <c r="S483" s="62">
        <f>(1-Table_1[[#This Row],[PAYOUT]])*Table_1[[#This Row],[ROE]]</f>
        <v/>
      </c>
      <c r="T483" s="98">
        <f>AVERAGE(Table_1[[#This Row],[CAGR LUCRO 5A]],Table_1[[#This Row],[CRESCIMENTO DAMODARAN]])</f>
        <v/>
      </c>
      <c r="U483" s="64">
        <f>(Table_1[[#This Row],[PREÇO JUSTO BAZIN]]-Table_1[[#This Row],[PREÇO]])/Table_1[[#This Row],[PREÇO JUSTO BAZIN]]</f>
        <v/>
      </c>
      <c r="V483" s="129">
        <f>Table_1[[#This Row],[DPA]]/6%</f>
        <v/>
      </c>
      <c r="W483" s="129">
        <f>Table_1[[#This Row],[PREÇO JUSTO BAZIN]]/(1+Table_1[[#This Row],[MARGEM DE DESCONTO]])</f>
        <v/>
      </c>
      <c r="X483" s="64">
        <f>(Table_1[[#This Row],[PREÇO JUSTO GRAHAM]]-Table_1[[#This Row],[PREÇO]])/Table_1[[#This Row],[PREÇO JUSTO GRAHAM]]</f>
        <v/>
      </c>
      <c r="Y483" s="129">
        <f>(22.5*Table_1[[#This Row],[LPA]]*Table_1[[#This Row],[VPA]])^0.5</f>
        <v/>
      </c>
      <c r="Z483" s="129">
        <f>Table_1[[#This Row],[PREÇO JUSTO GRAHAM]]/(1+Table_1[[#This Row],[MARGEM DE DESCONTO]])</f>
        <v/>
      </c>
      <c r="AA483" s="64">
        <f>(Table_1[[#This Row],[PREÇO JUSTO GORDON]]-Table_1[[#This Row],[PREÇO]])/Table_1[[#This Row],[PREÇO JUSTO GORDON]]</f>
        <v/>
      </c>
      <c r="AB483" s="130">
        <f>Table_1[[#This Row],[DPA]]*(1+Table_1[[#This Row],[MÉDIA DE CRESCIMENTO]])</f>
        <v/>
      </c>
      <c r="AC483" s="130">
        <f>Table_1[[#This Row],[D1]]/(Table_1[[#This Row],[RISCO]]-Table_1[[#This Row],[MÉDIA DE CRESCIMENTO]])</f>
        <v/>
      </c>
      <c r="AD483" s="130">
        <f>Table_1[[#This Row],[PREÇO JUSTO GORDON]]/(1+Table_1[[#This Row],[MARGEM DE DESCONTO]])</f>
        <v/>
      </c>
      <c r="AE483" s="78">
        <f>Table_1[[#This Row],[P/L]]/Table_1[[#This Row],[MÉDIA DE CRESCIMENTO]]</f>
        <v/>
      </c>
    </row>
    <row r="484" ht="15.75" customHeight="1">
      <c r="B484" s="77">
        <f>'Dados Status Invest'!A470</f>
        <v/>
      </c>
      <c r="C484" s="60">
        <f>VLOOKUP(Table_1[[#This Row],[AÇÕES]],'Classificação B3'!A:B,2,0)</f>
        <v/>
      </c>
      <c r="D484" s="60">
        <f>VLOOKUP(Table_1[[#This Row],[AÇÕES]],'Classificação B3'!A:D,4,0)</f>
        <v/>
      </c>
      <c r="E484" s="60">
        <f>VLOOKUP(Table_1[[#This Row],[AÇÕES]],'Classificação B3'!A:F,6,0)</f>
        <v/>
      </c>
      <c r="F484" s="60">
        <f>VLOOKUP(Table_1[[#This Row],[AÇÕES]],'Classificação B3'!A:G,7,0)</f>
        <v/>
      </c>
      <c r="G484" s="61">
        <f>VLOOKUP(Table_1[[#This Row],[AÇÕES]],'Dados Status Invest'!A:B,2,0)</f>
        <v/>
      </c>
      <c r="H484" s="62">
        <f>VLOOKUP(Table_1[[#This Row],[AÇÕES]],'Dados Status Invest'!A:C,3,0)/100</f>
        <v/>
      </c>
      <c r="I484" s="62">
        <f>VLOOKUP(Table_1[[#This Row],[AÇÕES]],'Dados Status Invest'!A:D,4,0)/100</f>
        <v/>
      </c>
      <c r="J484" s="63">
        <f>VLOOKUP(Table_1[[#This Row],[AÇÕES]],'Dados Status Invest'!A:AB,28,0)</f>
        <v/>
      </c>
      <c r="K484" s="63">
        <f>VLOOKUP(Table_1[[#This Row],[AÇÕES]],'Dados Status Invest'!A:AA,27,0)</f>
        <v/>
      </c>
      <c r="L484" s="63">
        <f>Table_1[[#This Row],[PREÇO]]*Table_1[[#This Row],[DY]]</f>
        <v/>
      </c>
      <c r="M484" s="62">
        <f>$E$13</f>
        <v/>
      </c>
      <c r="N484" s="62" t="n">
        <v>0.3</v>
      </c>
      <c r="O484" s="62">
        <f>Table_1[[#This Row],[DPA]]/Table_1[[#This Row],[LPA]]</f>
        <v/>
      </c>
      <c r="P484" s="62">
        <f>IF(Table_1[[#This Row],[PAYOUT]]&lt;=40%,"CRESCIMENTO",IF(Table_1[[#This Row],[PAYOUT]]&lt;=60%,"INDEFINIDO","DIVIDENDOS"))</f>
        <v/>
      </c>
      <c r="Q484" s="62">
        <f>VLOOKUP(Table_1[[#This Row],[AÇÕES]],'Dados Status Invest'!A:R,18,0)/100</f>
        <v/>
      </c>
      <c r="R484" s="62">
        <f>VLOOKUP(Table_1[[#This Row],[AÇÕES]],'Dados Status Invest'!A:Y,25,0)/100</f>
        <v/>
      </c>
      <c r="S484" s="62">
        <f>(1-Table_1[[#This Row],[PAYOUT]])*Table_1[[#This Row],[ROE]]</f>
        <v/>
      </c>
      <c r="T484" s="98">
        <f>AVERAGE(Table_1[[#This Row],[CAGR LUCRO 5A]],Table_1[[#This Row],[CRESCIMENTO DAMODARAN]])</f>
        <v/>
      </c>
      <c r="U484" s="64">
        <f>(Table_1[[#This Row],[PREÇO JUSTO BAZIN]]-Table_1[[#This Row],[PREÇO]])/Table_1[[#This Row],[PREÇO JUSTO BAZIN]]</f>
        <v/>
      </c>
      <c r="V484" s="129">
        <f>Table_1[[#This Row],[DPA]]/6%</f>
        <v/>
      </c>
      <c r="W484" s="129">
        <f>Table_1[[#This Row],[PREÇO JUSTO BAZIN]]/(1+Table_1[[#This Row],[MARGEM DE DESCONTO]])</f>
        <v/>
      </c>
      <c r="X484" s="64">
        <f>(Table_1[[#This Row],[PREÇO JUSTO GRAHAM]]-Table_1[[#This Row],[PREÇO]])/Table_1[[#This Row],[PREÇO JUSTO GRAHAM]]</f>
        <v/>
      </c>
      <c r="Y484" s="129">
        <f>(22.5*Table_1[[#This Row],[LPA]]*Table_1[[#This Row],[VPA]])^0.5</f>
        <v/>
      </c>
      <c r="Z484" s="129">
        <f>Table_1[[#This Row],[PREÇO JUSTO GRAHAM]]/(1+Table_1[[#This Row],[MARGEM DE DESCONTO]])</f>
        <v/>
      </c>
      <c r="AA484" s="64">
        <f>(Table_1[[#This Row],[PREÇO JUSTO GORDON]]-Table_1[[#This Row],[PREÇO]])/Table_1[[#This Row],[PREÇO JUSTO GORDON]]</f>
        <v/>
      </c>
      <c r="AB484" s="130">
        <f>Table_1[[#This Row],[DPA]]*(1+Table_1[[#This Row],[MÉDIA DE CRESCIMENTO]])</f>
        <v/>
      </c>
      <c r="AC484" s="130">
        <f>Table_1[[#This Row],[D1]]/(Table_1[[#This Row],[RISCO]]-Table_1[[#This Row],[MÉDIA DE CRESCIMENTO]])</f>
        <v/>
      </c>
      <c r="AD484" s="130">
        <f>Table_1[[#This Row],[PREÇO JUSTO GORDON]]/(1+Table_1[[#This Row],[MARGEM DE DESCONTO]])</f>
        <v/>
      </c>
      <c r="AE484" s="78">
        <f>Table_1[[#This Row],[P/L]]/Table_1[[#This Row],[MÉDIA DE CRESCIMENTO]]</f>
        <v/>
      </c>
    </row>
    <row r="485" ht="15.75" customHeight="1">
      <c r="B485" s="77">
        <f>'Dados Status Invest'!A471</f>
        <v/>
      </c>
      <c r="C485" s="60">
        <f>VLOOKUP(Table_1[[#This Row],[AÇÕES]],'Classificação B3'!A:B,2,0)</f>
        <v/>
      </c>
      <c r="D485" s="60">
        <f>VLOOKUP(Table_1[[#This Row],[AÇÕES]],'Classificação B3'!A:D,4,0)</f>
        <v/>
      </c>
      <c r="E485" s="60">
        <f>VLOOKUP(Table_1[[#This Row],[AÇÕES]],'Classificação B3'!A:F,6,0)</f>
        <v/>
      </c>
      <c r="F485" s="60">
        <f>VLOOKUP(Table_1[[#This Row],[AÇÕES]],'Classificação B3'!A:G,7,0)</f>
        <v/>
      </c>
      <c r="G485" s="61">
        <f>VLOOKUP(Table_1[[#This Row],[AÇÕES]],'Dados Status Invest'!A:B,2,0)</f>
        <v/>
      </c>
      <c r="H485" s="62">
        <f>VLOOKUP(Table_1[[#This Row],[AÇÕES]],'Dados Status Invest'!A:C,3,0)/100</f>
        <v/>
      </c>
      <c r="I485" s="62">
        <f>VLOOKUP(Table_1[[#This Row],[AÇÕES]],'Dados Status Invest'!A:D,4,0)/100</f>
        <v/>
      </c>
      <c r="J485" s="63">
        <f>VLOOKUP(Table_1[[#This Row],[AÇÕES]],'Dados Status Invest'!A:AB,28,0)</f>
        <v/>
      </c>
      <c r="K485" s="63">
        <f>VLOOKUP(Table_1[[#This Row],[AÇÕES]],'Dados Status Invest'!A:AA,27,0)</f>
        <v/>
      </c>
      <c r="L485" s="63">
        <f>Table_1[[#This Row],[PREÇO]]*Table_1[[#This Row],[DY]]</f>
        <v/>
      </c>
      <c r="M485" s="62">
        <f>$E$13</f>
        <v/>
      </c>
      <c r="N485" s="62" t="n">
        <v>0.3</v>
      </c>
      <c r="O485" s="62">
        <f>Table_1[[#This Row],[DPA]]/Table_1[[#This Row],[LPA]]</f>
        <v/>
      </c>
      <c r="P485" s="62">
        <f>IF(Table_1[[#This Row],[PAYOUT]]&lt;=40%,"CRESCIMENTO",IF(Table_1[[#This Row],[PAYOUT]]&lt;=60%,"INDEFINIDO","DIVIDENDOS"))</f>
        <v/>
      </c>
      <c r="Q485" s="62">
        <f>VLOOKUP(Table_1[[#This Row],[AÇÕES]],'Dados Status Invest'!A:R,18,0)/100</f>
        <v/>
      </c>
      <c r="R485" s="62">
        <f>VLOOKUP(Table_1[[#This Row],[AÇÕES]],'Dados Status Invest'!A:Y,25,0)/100</f>
        <v/>
      </c>
      <c r="S485" s="62">
        <f>(1-Table_1[[#This Row],[PAYOUT]])*Table_1[[#This Row],[ROE]]</f>
        <v/>
      </c>
      <c r="T485" s="98">
        <f>AVERAGE(Table_1[[#This Row],[CAGR LUCRO 5A]],Table_1[[#This Row],[CRESCIMENTO DAMODARAN]])</f>
        <v/>
      </c>
      <c r="U485" s="64">
        <f>(Table_1[[#This Row],[PREÇO JUSTO BAZIN]]-Table_1[[#This Row],[PREÇO]])/Table_1[[#This Row],[PREÇO JUSTO BAZIN]]</f>
        <v/>
      </c>
      <c r="V485" s="129">
        <f>Table_1[[#This Row],[DPA]]/6%</f>
        <v/>
      </c>
      <c r="W485" s="129">
        <f>Table_1[[#This Row],[PREÇO JUSTO BAZIN]]/(1+Table_1[[#This Row],[MARGEM DE DESCONTO]])</f>
        <v/>
      </c>
      <c r="X485" s="64">
        <f>(Table_1[[#This Row],[PREÇO JUSTO GRAHAM]]-Table_1[[#This Row],[PREÇO]])/Table_1[[#This Row],[PREÇO JUSTO GRAHAM]]</f>
        <v/>
      </c>
      <c r="Y485" s="129">
        <f>(22.5*Table_1[[#This Row],[LPA]]*Table_1[[#This Row],[VPA]])^0.5</f>
        <v/>
      </c>
      <c r="Z485" s="129">
        <f>Table_1[[#This Row],[PREÇO JUSTO GRAHAM]]/(1+Table_1[[#This Row],[MARGEM DE DESCONTO]])</f>
        <v/>
      </c>
      <c r="AA485" s="64">
        <f>(Table_1[[#This Row],[PREÇO JUSTO GORDON]]-Table_1[[#This Row],[PREÇO]])/Table_1[[#This Row],[PREÇO JUSTO GORDON]]</f>
        <v/>
      </c>
      <c r="AB485" s="130">
        <f>Table_1[[#This Row],[DPA]]*(1+Table_1[[#This Row],[MÉDIA DE CRESCIMENTO]])</f>
        <v/>
      </c>
      <c r="AC485" s="130">
        <f>Table_1[[#This Row],[D1]]/(Table_1[[#This Row],[RISCO]]-Table_1[[#This Row],[MÉDIA DE CRESCIMENTO]])</f>
        <v/>
      </c>
      <c r="AD485" s="130">
        <f>Table_1[[#This Row],[PREÇO JUSTO GORDON]]/(1+Table_1[[#This Row],[MARGEM DE DESCONTO]])</f>
        <v/>
      </c>
      <c r="AE485" s="78">
        <f>Table_1[[#This Row],[P/L]]/Table_1[[#This Row],[MÉDIA DE CRESCIMENTO]]</f>
        <v/>
      </c>
    </row>
    <row r="486" ht="15.75" customHeight="1">
      <c r="B486" s="77">
        <f>'Dados Status Invest'!A472</f>
        <v/>
      </c>
      <c r="C486" s="60">
        <f>VLOOKUP(Table_1[[#This Row],[AÇÕES]],'Classificação B3'!A:B,2,0)</f>
        <v/>
      </c>
      <c r="D486" s="60">
        <f>VLOOKUP(Table_1[[#This Row],[AÇÕES]],'Classificação B3'!A:D,4,0)</f>
        <v/>
      </c>
      <c r="E486" s="60">
        <f>VLOOKUP(Table_1[[#This Row],[AÇÕES]],'Classificação B3'!A:F,6,0)</f>
        <v/>
      </c>
      <c r="F486" s="60">
        <f>VLOOKUP(Table_1[[#This Row],[AÇÕES]],'Classificação B3'!A:G,7,0)</f>
        <v/>
      </c>
      <c r="G486" s="61">
        <f>VLOOKUP(Table_1[[#This Row],[AÇÕES]],'Dados Status Invest'!A:B,2,0)</f>
        <v/>
      </c>
      <c r="H486" s="62">
        <f>VLOOKUP(Table_1[[#This Row],[AÇÕES]],'Dados Status Invest'!A:C,3,0)/100</f>
        <v/>
      </c>
      <c r="I486" s="62">
        <f>VLOOKUP(Table_1[[#This Row],[AÇÕES]],'Dados Status Invest'!A:D,4,0)/100</f>
        <v/>
      </c>
      <c r="J486" s="63">
        <f>VLOOKUP(Table_1[[#This Row],[AÇÕES]],'Dados Status Invest'!A:AB,28,0)</f>
        <v/>
      </c>
      <c r="K486" s="63">
        <f>VLOOKUP(Table_1[[#This Row],[AÇÕES]],'Dados Status Invest'!A:AA,27,0)</f>
        <v/>
      </c>
      <c r="L486" s="63">
        <f>Table_1[[#This Row],[PREÇO]]*Table_1[[#This Row],[DY]]</f>
        <v/>
      </c>
      <c r="M486" s="62">
        <f>$E$13</f>
        <v/>
      </c>
      <c r="N486" s="62" t="n">
        <v>0.3</v>
      </c>
      <c r="O486" s="62">
        <f>Table_1[[#This Row],[DPA]]/Table_1[[#This Row],[LPA]]</f>
        <v/>
      </c>
      <c r="P486" s="62">
        <f>IF(Table_1[[#This Row],[PAYOUT]]&lt;=40%,"CRESCIMENTO",IF(Table_1[[#This Row],[PAYOUT]]&lt;=60%,"INDEFINIDO","DIVIDENDOS"))</f>
        <v/>
      </c>
      <c r="Q486" s="62">
        <f>VLOOKUP(Table_1[[#This Row],[AÇÕES]],'Dados Status Invest'!A:R,18,0)/100</f>
        <v/>
      </c>
      <c r="R486" s="62">
        <f>VLOOKUP(Table_1[[#This Row],[AÇÕES]],'Dados Status Invest'!A:Y,25,0)/100</f>
        <v/>
      </c>
      <c r="S486" s="62">
        <f>(1-Table_1[[#This Row],[PAYOUT]])*Table_1[[#This Row],[ROE]]</f>
        <v/>
      </c>
      <c r="T486" s="98">
        <f>AVERAGE(Table_1[[#This Row],[CAGR LUCRO 5A]],Table_1[[#This Row],[CRESCIMENTO DAMODARAN]])</f>
        <v/>
      </c>
      <c r="U486" s="64">
        <f>(Table_1[[#This Row],[PREÇO JUSTO BAZIN]]-Table_1[[#This Row],[PREÇO]])/Table_1[[#This Row],[PREÇO JUSTO BAZIN]]</f>
        <v/>
      </c>
      <c r="V486" s="129">
        <f>Table_1[[#This Row],[DPA]]/6%</f>
        <v/>
      </c>
      <c r="W486" s="129">
        <f>Table_1[[#This Row],[PREÇO JUSTO BAZIN]]/(1+Table_1[[#This Row],[MARGEM DE DESCONTO]])</f>
        <v/>
      </c>
      <c r="X486" s="64">
        <f>(Table_1[[#This Row],[PREÇO JUSTO GRAHAM]]-Table_1[[#This Row],[PREÇO]])/Table_1[[#This Row],[PREÇO JUSTO GRAHAM]]</f>
        <v/>
      </c>
      <c r="Y486" s="129">
        <f>(22.5*Table_1[[#This Row],[LPA]]*Table_1[[#This Row],[VPA]])^0.5</f>
        <v/>
      </c>
      <c r="Z486" s="129">
        <f>Table_1[[#This Row],[PREÇO JUSTO GRAHAM]]/(1+Table_1[[#This Row],[MARGEM DE DESCONTO]])</f>
        <v/>
      </c>
      <c r="AA486" s="64">
        <f>(Table_1[[#This Row],[PREÇO JUSTO GORDON]]-Table_1[[#This Row],[PREÇO]])/Table_1[[#This Row],[PREÇO JUSTO GORDON]]</f>
        <v/>
      </c>
      <c r="AB486" s="130">
        <f>Table_1[[#This Row],[DPA]]*(1+Table_1[[#This Row],[MÉDIA DE CRESCIMENTO]])</f>
        <v/>
      </c>
      <c r="AC486" s="130">
        <f>Table_1[[#This Row],[D1]]/(Table_1[[#This Row],[RISCO]]-Table_1[[#This Row],[MÉDIA DE CRESCIMENTO]])</f>
        <v/>
      </c>
      <c r="AD486" s="130">
        <f>Table_1[[#This Row],[PREÇO JUSTO GORDON]]/(1+Table_1[[#This Row],[MARGEM DE DESCONTO]])</f>
        <v/>
      </c>
      <c r="AE486" s="78">
        <f>Table_1[[#This Row],[P/L]]/Table_1[[#This Row],[MÉDIA DE CRESCIMENTO]]</f>
        <v/>
      </c>
    </row>
    <row r="487" ht="15.75" customHeight="1">
      <c r="B487" s="77">
        <f>'Dados Status Invest'!A473</f>
        <v/>
      </c>
      <c r="C487" s="60">
        <f>VLOOKUP(Table_1[[#This Row],[AÇÕES]],'Classificação B3'!A:B,2,0)</f>
        <v/>
      </c>
      <c r="D487" s="60">
        <f>VLOOKUP(Table_1[[#This Row],[AÇÕES]],'Classificação B3'!A:D,4,0)</f>
        <v/>
      </c>
      <c r="E487" s="60">
        <f>VLOOKUP(Table_1[[#This Row],[AÇÕES]],'Classificação B3'!A:F,6,0)</f>
        <v/>
      </c>
      <c r="F487" s="60">
        <f>VLOOKUP(Table_1[[#This Row],[AÇÕES]],'Classificação B3'!A:G,7,0)</f>
        <v/>
      </c>
      <c r="G487" s="61">
        <f>VLOOKUP(Table_1[[#This Row],[AÇÕES]],'Dados Status Invest'!A:B,2,0)</f>
        <v/>
      </c>
      <c r="H487" s="62">
        <f>VLOOKUP(Table_1[[#This Row],[AÇÕES]],'Dados Status Invest'!A:C,3,0)/100</f>
        <v/>
      </c>
      <c r="I487" s="62">
        <f>VLOOKUP(Table_1[[#This Row],[AÇÕES]],'Dados Status Invest'!A:D,4,0)/100</f>
        <v/>
      </c>
      <c r="J487" s="63">
        <f>VLOOKUP(Table_1[[#This Row],[AÇÕES]],'Dados Status Invest'!A:AB,28,0)</f>
        <v/>
      </c>
      <c r="K487" s="63">
        <f>VLOOKUP(Table_1[[#This Row],[AÇÕES]],'Dados Status Invest'!A:AA,27,0)</f>
        <v/>
      </c>
      <c r="L487" s="63">
        <f>Table_1[[#This Row],[PREÇO]]*Table_1[[#This Row],[DY]]</f>
        <v/>
      </c>
      <c r="M487" s="62">
        <f>$E$13</f>
        <v/>
      </c>
      <c r="N487" s="62" t="n">
        <v>0.3</v>
      </c>
      <c r="O487" s="62">
        <f>Table_1[[#This Row],[DPA]]/Table_1[[#This Row],[LPA]]</f>
        <v/>
      </c>
      <c r="P487" s="62">
        <f>IF(Table_1[[#This Row],[PAYOUT]]&lt;=40%,"CRESCIMENTO",IF(Table_1[[#This Row],[PAYOUT]]&lt;=60%,"INDEFINIDO","DIVIDENDOS"))</f>
        <v/>
      </c>
      <c r="Q487" s="62">
        <f>VLOOKUP(Table_1[[#This Row],[AÇÕES]],'Dados Status Invest'!A:R,18,0)/100</f>
        <v/>
      </c>
      <c r="R487" s="62">
        <f>VLOOKUP(Table_1[[#This Row],[AÇÕES]],'Dados Status Invest'!A:Y,25,0)/100</f>
        <v/>
      </c>
      <c r="S487" s="62">
        <f>(1-Table_1[[#This Row],[PAYOUT]])*Table_1[[#This Row],[ROE]]</f>
        <v/>
      </c>
      <c r="T487" s="98">
        <f>AVERAGE(Table_1[[#This Row],[CAGR LUCRO 5A]],Table_1[[#This Row],[CRESCIMENTO DAMODARAN]])</f>
        <v/>
      </c>
      <c r="U487" s="64">
        <f>(Table_1[[#This Row],[PREÇO JUSTO BAZIN]]-Table_1[[#This Row],[PREÇO]])/Table_1[[#This Row],[PREÇO JUSTO BAZIN]]</f>
        <v/>
      </c>
      <c r="V487" s="129">
        <f>Table_1[[#This Row],[DPA]]/6%</f>
        <v/>
      </c>
      <c r="W487" s="129">
        <f>Table_1[[#This Row],[PREÇO JUSTO BAZIN]]/(1+Table_1[[#This Row],[MARGEM DE DESCONTO]])</f>
        <v/>
      </c>
      <c r="X487" s="64">
        <f>(Table_1[[#This Row],[PREÇO JUSTO GRAHAM]]-Table_1[[#This Row],[PREÇO]])/Table_1[[#This Row],[PREÇO JUSTO GRAHAM]]</f>
        <v/>
      </c>
      <c r="Y487" s="129">
        <f>(22.5*Table_1[[#This Row],[LPA]]*Table_1[[#This Row],[VPA]])^0.5</f>
        <v/>
      </c>
      <c r="Z487" s="129">
        <f>Table_1[[#This Row],[PREÇO JUSTO GRAHAM]]/(1+Table_1[[#This Row],[MARGEM DE DESCONTO]])</f>
        <v/>
      </c>
      <c r="AA487" s="64">
        <f>(Table_1[[#This Row],[PREÇO JUSTO GORDON]]-Table_1[[#This Row],[PREÇO]])/Table_1[[#This Row],[PREÇO JUSTO GORDON]]</f>
        <v/>
      </c>
      <c r="AB487" s="130">
        <f>Table_1[[#This Row],[DPA]]*(1+Table_1[[#This Row],[MÉDIA DE CRESCIMENTO]])</f>
        <v/>
      </c>
      <c r="AC487" s="130">
        <f>Table_1[[#This Row],[D1]]/(Table_1[[#This Row],[RISCO]]-Table_1[[#This Row],[MÉDIA DE CRESCIMENTO]])</f>
        <v/>
      </c>
      <c r="AD487" s="130">
        <f>Table_1[[#This Row],[PREÇO JUSTO GORDON]]/(1+Table_1[[#This Row],[MARGEM DE DESCONTO]])</f>
        <v/>
      </c>
      <c r="AE487" s="78">
        <f>Table_1[[#This Row],[P/L]]/Table_1[[#This Row],[MÉDIA DE CRESCIMENTO]]</f>
        <v/>
      </c>
    </row>
    <row r="488" ht="15.75" customHeight="1">
      <c r="B488" s="77">
        <f>'Dados Status Invest'!A474</f>
        <v/>
      </c>
      <c r="C488" s="60">
        <f>VLOOKUP(Table_1[[#This Row],[AÇÕES]],'Classificação B3'!A:B,2,0)</f>
        <v/>
      </c>
      <c r="D488" s="60">
        <f>VLOOKUP(Table_1[[#This Row],[AÇÕES]],'Classificação B3'!A:D,4,0)</f>
        <v/>
      </c>
      <c r="E488" s="60">
        <f>VLOOKUP(Table_1[[#This Row],[AÇÕES]],'Classificação B3'!A:F,6,0)</f>
        <v/>
      </c>
      <c r="F488" s="60">
        <f>VLOOKUP(Table_1[[#This Row],[AÇÕES]],'Classificação B3'!A:G,7,0)</f>
        <v/>
      </c>
      <c r="G488" s="61">
        <f>VLOOKUP(Table_1[[#This Row],[AÇÕES]],'Dados Status Invest'!A:B,2,0)</f>
        <v/>
      </c>
      <c r="H488" s="62">
        <f>VLOOKUP(Table_1[[#This Row],[AÇÕES]],'Dados Status Invest'!A:C,3,0)/100</f>
        <v/>
      </c>
      <c r="I488" s="62">
        <f>VLOOKUP(Table_1[[#This Row],[AÇÕES]],'Dados Status Invest'!A:D,4,0)/100</f>
        <v/>
      </c>
      <c r="J488" s="63">
        <f>VLOOKUP(Table_1[[#This Row],[AÇÕES]],'Dados Status Invest'!A:AB,28,0)</f>
        <v/>
      </c>
      <c r="K488" s="63">
        <f>VLOOKUP(Table_1[[#This Row],[AÇÕES]],'Dados Status Invest'!A:AA,27,0)</f>
        <v/>
      </c>
      <c r="L488" s="63">
        <f>Table_1[[#This Row],[PREÇO]]*Table_1[[#This Row],[DY]]</f>
        <v/>
      </c>
      <c r="M488" s="62">
        <f>$E$13</f>
        <v/>
      </c>
      <c r="N488" s="62" t="n">
        <v>0.3</v>
      </c>
      <c r="O488" s="62">
        <f>Table_1[[#This Row],[DPA]]/Table_1[[#This Row],[LPA]]</f>
        <v/>
      </c>
      <c r="P488" s="62">
        <f>IF(Table_1[[#This Row],[PAYOUT]]&lt;=40%,"CRESCIMENTO",IF(Table_1[[#This Row],[PAYOUT]]&lt;=60%,"INDEFINIDO","DIVIDENDOS"))</f>
        <v/>
      </c>
      <c r="Q488" s="62">
        <f>VLOOKUP(Table_1[[#This Row],[AÇÕES]],'Dados Status Invest'!A:R,18,0)/100</f>
        <v/>
      </c>
      <c r="R488" s="62">
        <f>VLOOKUP(Table_1[[#This Row],[AÇÕES]],'Dados Status Invest'!A:Y,25,0)/100</f>
        <v/>
      </c>
      <c r="S488" s="62">
        <f>(1-Table_1[[#This Row],[PAYOUT]])*Table_1[[#This Row],[ROE]]</f>
        <v/>
      </c>
      <c r="T488" s="98">
        <f>AVERAGE(Table_1[[#This Row],[CAGR LUCRO 5A]],Table_1[[#This Row],[CRESCIMENTO DAMODARAN]])</f>
        <v/>
      </c>
      <c r="U488" s="64">
        <f>(Table_1[[#This Row],[PREÇO JUSTO BAZIN]]-Table_1[[#This Row],[PREÇO]])/Table_1[[#This Row],[PREÇO JUSTO BAZIN]]</f>
        <v/>
      </c>
      <c r="V488" s="129">
        <f>Table_1[[#This Row],[DPA]]/6%</f>
        <v/>
      </c>
      <c r="W488" s="129">
        <f>Table_1[[#This Row],[PREÇO JUSTO BAZIN]]/(1+Table_1[[#This Row],[MARGEM DE DESCONTO]])</f>
        <v/>
      </c>
      <c r="X488" s="64">
        <f>(Table_1[[#This Row],[PREÇO JUSTO GRAHAM]]-Table_1[[#This Row],[PREÇO]])/Table_1[[#This Row],[PREÇO JUSTO GRAHAM]]</f>
        <v/>
      </c>
      <c r="Y488" s="129">
        <f>(22.5*Table_1[[#This Row],[LPA]]*Table_1[[#This Row],[VPA]])^0.5</f>
        <v/>
      </c>
      <c r="Z488" s="129">
        <f>Table_1[[#This Row],[PREÇO JUSTO GRAHAM]]/(1+Table_1[[#This Row],[MARGEM DE DESCONTO]])</f>
        <v/>
      </c>
      <c r="AA488" s="64">
        <f>(Table_1[[#This Row],[PREÇO JUSTO GORDON]]-Table_1[[#This Row],[PREÇO]])/Table_1[[#This Row],[PREÇO JUSTO GORDON]]</f>
        <v/>
      </c>
      <c r="AB488" s="130">
        <f>Table_1[[#This Row],[DPA]]*(1+Table_1[[#This Row],[MÉDIA DE CRESCIMENTO]])</f>
        <v/>
      </c>
      <c r="AC488" s="130">
        <f>Table_1[[#This Row],[D1]]/(Table_1[[#This Row],[RISCO]]-Table_1[[#This Row],[MÉDIA DE CRESCIMENTO]])</f>
        <v/>
      </c>
      <c r="AD488" s="130">
        <f>Table_1[[#This Row],[PREÇO JUSTO GORDON]]/(1+Table_1[[#This Row],[MARGEM DE DESCONTO]])</f>
        <v/>
      </c>
      <c r="AE488" s="78">
        <f>Table_1[[#This Row],[P/L]]/Table_1[[#This Row],[MÉDIA DE CRESCIMENTO]]</f>
        <v/>
      </c>
    </row>
    <row r="489" ht="15.75" customHeight="1">
      <c r="B489" s="77">
        <f>'Dados Status Invest'!A475</f>
        <v/>
      </c>
      <c r="C489" s="60">
        <f>VLOOKUP(Table_1[[#This Row],[AÇÕES]],'Classificação B3'!A:B,2,0)</f>
        <v/>
      </c>
      <c r="D489" s="60">
        <f>VLOOKUP(Table_1[[#This Row],[AÇÕES]],'Classificação B3'!A:D,4,0)</f>
        <v/>
      </c>
      <c r="E489" s="60">
        <f>VLOOKUP(Table_1[[#This Row],[AÇÕES]],'Classificação B3'!A:F,6,0)</f>
        <v/>
      </c>
      <c r="F489" s="60">
        <f>VLOOKUP(Table_1[[#This Row],[AÇÕES]],'Classificação B3'!A:G,7,0)</f>
        <v/>
      </c>
      <c r="G489" s="61">
        <f>VLOOKUP(Table_1[[#This Row],[AÇÕES]],'Dados Status Invest'!A:B,2,0)</f>
        <v/>
      </c>
      <c r="H489" s="62">
        <f>VLOOKUP(Table_1[[#This Row],[AÇÕES]],'Dados Status Invest'!A:C,3,0)/100</f>
        <v/>
      </c>
      <c r="I489" s="62">
        <f>VLOOKUP(Table_1[[#This Row],[AÇÕES]],'Dados Status Invest'!A:D,4,0)/100</f>
        <v/>
      </c>
      <c r="J489" s="63">
        <f>VLOOKUP(Table_1[[#This Row],[AÇÕES]],'Dados Status Invest'!A:AB,28,0)</f>
        <v/>
      </c>
      <c r="K489" s="63">
        <f>VLOOKUP(Table_1[[#This Row],[AÇÕES]],'Dados Status Invest'!A:AA,27,0)</f>
        <v/>
      </c>
      <c r="L489" s="63">
        <f>Table_1[[#This Row],[PREÇO]]*Table_1[[#This Row],[DY]]</f>
        <v/>
      </c>
      <c r="M489" s="62">
        <f>$E$13</f>
        <v/>
      </c>
      <c r="N489" s="62" t="n">
        <v>0.3</v>
      </c>
      <c r="O489" s="62">
        <f>Table_1[[#This Row],[DPA]]/Table_1[[#This Row],[LPA]]</f>
        <v/>
      </c>
      <c r="P489" s="62">
        <f>IF(Table_1[[#This Row],[PAYOUT]]&lt;=40%,"CRESCIMENTO",IF(Table_1[[#This Row],[PAYOUT]]&lt;=60%,"INDEFINIDO","DIVIDENDOS"))</f>
        <v/>
      </c>
      <c r="Q489" s="62">
        <f>VLOOKUP(Table_1[[#This Row],[AÇÕES]],'Dados Status Invest'!A:R,18,0)/100</f>
        <v/>
      </c>
      <c r="R489" s="62">
        <f>VLOOKUP(Table_1[[#This Row],[AÇÕES]],'Dados Status Invest'!A:Y,25,0)/100</f>
        <v/>
      </c>
      <c r="S489" s="62">
        <f>(1-Table_1[[#This Row],[PAYOUT]])*Table_1[[#This Row],[ROE]]</f>
        <v/>
      </c>
      <c r="T489" s="98">
        <f>AVERAGE(Table_1[[#This Row],[CAGR LUCRO 5A]],Table_1[[#This Row],[CRESCIMENTO DAMODARAN]])</f>
        <v/>
      </c>
      <c r="U489" s="64">
        <f>(Table_1[[#This Row],[PREÇO JUSTO BAZIN]]-Table_1[[#This Row],[PREÇO]])/Table_1[[#This Row],[PREÇO JUSTO BAZIN]]</f>
        <v/>
      </c>
      <c r="V489" s="129">
        <f>Table_1[[#This Row],[DPA]]/6%</f>
        <v/>
      </c>
      <c r="W489" s="129">
        <f>Table_1[[#This Row],[PREÇO JUSTO BAZIN]]/(1+Table_1[[#This Row],[MARGEM DE DESCONTO]])</f>
        <v/>
      </c>
      <c r="X489" s="64">
        <f>(Table_1[[#This Row],[PREÇO JUSTO GRAHAM]]-Table_1[[#This Row],[PREÇO]])/Table_1[[#This Row],[PREÇO JUSTO GRAHAM]]</f>
        <v/>
      </c>
      <c r="Y489" s="129">
        <f>(22.5*Table_1[[#This Row],[LPA]]*Table_1[[#This Row],[VPA]])^0.5</f>
        <v/>
      </c>
      <c r="Z489" s="129">
        <f>Table_1[[#This Row],[PREÇO JUSTO GRAHAM]]/(1+Table_1[[#This Row],[MARGEM DE DESCONTO]])</f>
        <v/>
      </c>
      <c r="AA489" s="64">
        <f>(Table_1[[#This Row],[PREÇO JUSTO GORDON]]-Table_1[[#This Row],[PREÇO]])/Table_1[[#This Row],[PREÇO JUSTO GORDON]]</f>
        <v/>
      </c>
      <c r="AB489" s="130">
        <f>Table_1[[#This Row],[DPA]]*(1+Table_1[[#This Row],[MÉDIA DE CRESCIMENTO]])</f>
        <v/>
      </c>
      <c r="AC489" s="130">
        <f>Table_1[[#This Row],[D1]]/(Table_1[[#This Row],[RISCO]]-Table_1[[#This Row],[MÉDIA DE CRESCIMENTO]])</f>
        <v/>
      </c>
      <c r="AD489" s="130">
        <f>Table_1[[#This Row],[PREÇO JUSTO GORDON]]/(1+Table_1[[#This Row],[MARGEM DE DESCONTO]])</f>
        <v/>
      </c>
      <c r="AE489" s="78">
        <f>Table_1[[#This Row],[P/L]]/Table_1[[#This Row],[MÉDIA DE CRESCIMENTO]]</f>
        <v/>
      </c>
    </row>
    <row r="490" ht="15.75" customHeight="1">
      <c r="B490" s="77">
        <f>'Dados Status Invest'!A476</f>
        <v/>
      </c>
      <c r="C490" s="60">
        <f>VLOOKUP(Table_1[[#This Row],[AÇÕES]],'Classificação B3'!A:B,2,0)</f>
        <v/>
      </c>
      <c r="D490" s="60">
        <f>VLOOKUP(Table_1[[#This Row],[AÇÕES]],'Classificação B3'!A:D,4,0)</f>
        <v/>
      </c>
      <c r="E490" s="60">
        <f>VLOOKUP(Table_1[[#This Row],[AÇÕES]],'Classificação B3'!A:F,6,0)</f>
        <v/>
      </c>
      <c r="F490" s="60">
        <f>VLOOKUP(Table_1[[#This Row],[AÇÕES]],'Classificação B3'!A:G,7,0)</f>
        <v/>
      </c>
      <c r="G490" s="61">
        <f>VLOOKUP(Table_1[[#This Row],[AÇÕES]],'Dados Status Invest'!A:B,2,0)</f>
        <v/>
      </c>
      <c r="H490" s="62">
        <f>VLOOKUP(Table_1[[#This Row],[AÇÕES]],'Dados Status Invest'!A:C,3,0)/100</f>
        <v/>
      </c>
      <c r="I490" s="62">
        <f>VLOOKUP(Table_1[[#This Row],[AÇÕES]],'Dados Status Invest'!A:D,4,0)/100</f>
        <v/>
      </c>
      <c r="J490" s="63">
        <f>VLOOKUP(Table_1[[#This Row],[AÇÕES]],'Dados Status Invest'!A:AB,28,0)</f>
        <v/>
      </c>
      <c r="K490" s="63">
        <f>VLOOKUP(Table_1[[#This Row],[AÇÕES]],'Dados Status Invest'!A:AA,27,0)</f>
        <v/>
      </c>
      <c r="L490" s="63">
        <f>Table_1[[#This Row],[PREÇO]]*Table_1[[#This Row],[DY]]</f>
        <v/>
      </c>
      <c r="M490" s="62">
        <f>$E$13</f>
        <v/>
      </c>
      <c r="N490" s="62" t="n">
        <v>0.3</v>
      </c>
      <c r="O490" s="62">
        <f>Table_1[[#This Row],[DPA]]/Table_1[[#This Row],[LPA]]</f>
        <v/>
      </c>
      <c r="P490" s="62">
        <f>IF(Table_1[[#This Row],[PAYOUT]]&lt;=40%,"CRESCIMENTO",IF(Table_1[[#This Row],[PAYOUT]]&lt;=60%,"INDEFINIDO","DIVIDENDOS"))</f>
        <v/>
      </c>
      <c r="Q490" s="62">
        <f>VLOOKUP(Table_1[[#This Row],[AÇÕES]],'Dados Status Invest'!A:R,18,0)/100</f>
        <v/>
      </c>
      <c r="R490" s="62">
        <f>VLOOKUP(Table_1[[#This Row],[AÇÕES]],'Dados Status Invest'!A:Y,25,0)/100</f>
        <v/>
      </c>
      <c r="S490" s="62">
        <f>(1-Table_1[[#This Row],[PAYOUT]])*Table_1[[#This Row],[ROE]]</f>
        <v/>
      </c>
      <c r="T490" s="98">
        <f>AVERAGE(Table_1[[#This Row],[CAGR LUCRO 5A]],Table_1[[#This Row],[CRESCIMENTO DAMODARAN]])</f>
        <v/>
      </c>
      <c r="U490" s="64">
        <f>(Table_1[[#This Row],[PREÇO JUSTO BAZIN]]-Table_1[[#This Row],[PREÇO]])/Table_1[[#This Row],[PREÇO JUSTO BAZIN]]</f>
        <v/>
      </c>
      <c r="V490" s="129">
        <f>Table_1[[#This Row],[DPA]]/6%</f>
        <v/>
      </c>
      <c r="W490" s="129">
        <f>Table_1[[#This Row],[PREÇO JUSTO BAZIN]]/(1+Table_1[[#This Row],[MARGEM DE DESCONTO]])</f>
        <v/>
      </c>
      <c r="X490" s="64">
        <f>(Table_1[[#This Row],[PREÇO JUSTO GRAHAM]]-Table_1[[#This Row],[PREÇO]])/Table_1[[#This Row],[PREÇO JUSTO GRAHAM]]</f>
        <v/>
      </c>
      <c r="Y490" s="129">
        <f>(22.5*Table_1[[#This Row],[LPA]]*Table_1[[#This Row],[VPA]])^0.5</f>
        <v/>
      </c>
      <c r="Z490" s="129">
        <f>Table_1[[#This Row],[PREÇO JUSTO GRAHAM]]/(1+Table_1[[#This Row],[MARGEM DE DESCONTO]])</f>
        <v/>
      </c>
      <c r="AA490" s="64">
        <f>(Table_1[[#This Row],[PREÇO JUSTO GORDON]]-Table_1[[#This Row],[PREÇO]])/Table_1[[#This Row],[PREÇO JUSTO GORDON]]</f>
        <v/>
      </c>
      <c r="AB490" s="130">
        <f>Table_1[[#This Row],[DPA]]*(1+Table_1[[#This Row],[MÉDIA DE CRESCIMENTO]])</f>
        <v/>
      </c>
      <c r="AC490" s="130">
        <f>Table_1[[#This Row],[D1]]/(Table_1[[#This Row],[RISCO]]-Table_1[[#This Row],[MÉDIA DE CRESCIMENTO]])</f>
        <v/>
      </c>
      <c r="AD490" s="130">
        <f>Table_1[[#This Row],[PREÇO JUSTO GORDON]]/(1+Table_1[[#This Row],[MARGEM DE DESCONTO]])</f>
        <v/>
      </c>
      <c r="AE490" s="78">
        <f>Table_1[[#This Row],[P/L]]/Table_1[[#This Row],[MÉDIA DE CRESCIMENTO]]</f>
        <v/>
      </c>
    </row>
    <row r="491" ht="15.75" customHeight="1">
      <c r="B491" s="77">
        <f>'Dados Status Invest'!A477</f>
        <v/>
      </c>
      <c r="C491" s="60">
        <f>VLOOKUP(Table_1[[#This Row],[AÇÕES]],'Classificação B3'!A:B,2,0)</f>
        <v/>
      </c>
      <c r="D491" s="60">
        <f>VLOOKUP(Table_1[[#This Row],[AÇÕES]],'Classificação B3'!A:D,4,0)</f>
        <v/>
      </c>
      <c r="E491" s="60">
        <f>VLOOKUP(Table_1[[#This Row],[AÇÕES]],'Classificação B3'!A:F,6,0)</f>
        <v/>
      </c>
      <c r="F491" s="60">
        <f>VLOOKUP(Table_1[[#This Row],[AÇÕES]],'Classificação B3'!A:G,7,0)</f>
        <v/>
      </c>
      <c r="G491" s="61">
        <f>VLOOKUP(Table_1[[#This Row],[AÇÕES]],'Dados Status Invest'!A:B,2,0)</f>
        <v/>
      </c>
      <c r="H491" s="62">
        <f>VLOOKUP(Table_1[[#This Row],[AÇÕES]],'Dados Status Invest'!A:C,3,0)/100</f>
        <v/>
      </c>
      <c r="I491" s="62">
        <f>VLOOKUP(Table_1[[#This Row],[AÇÕES]],'Dados Status Invest'!A:D,4,0)/100</f>
        <v/>
      </c>
      <c r="J491" s="63">
        <f>VLOOKUP(Table_1[[#This Row],[AÇÕES]],'Dados Status Invest'!A:AB,28,0)</f>
        <v/>
      </c>
      <c r="K491" s="63">
        <f>VLOOKUP(Table_1[[#This Row],[AÇÕES]],'Dados Status Invest'!A:AA,27,0)</f>
        <v/>
      </c>
      <c r="L491" s="63">
        <f>Table_1[[#This Row],[PREÇO]]*Table_1[[#This Row],[DY]]</f>
        <v/>
      </c>
      <c r="M491" s="62">
        <f>$E$13</f>
        <v/>
      </c>
      <c r="N491" s="62" t="n">
        <v>0.3</v>
      </c>
      <c r="O491" s="62">
        <f>Table_1[[#This Row],[DPA]]/Table_1[[#This Row],[LPA]]</f>
        <v/>
      </c>
      <c r="P491" s="62">
        <f>IF(Table_1[[#This Row],[PAYOUT]]&lt;=40%,"CRESCIMENTO",IF(Table_1[[#This Row],[PAYOUT]]&lt;=60%,"INDEFINIDO","DIVIDENDOS"))</f>
        <v/>
      </c>
      <c r="Q491" s="62">
        <f>VLOOKUP(Table_1[[#This Row],[AÇÕES]],'Dados Status Invest'!A:R,18,0)/100</f>
        <v/>
      </c>
      <c r="R491" s="62">
        <f>VLOOKUP(Table_1[[#This Row],[AÇÕES]],'Dados Status Invest'!A:Y,25,0)/100</f>
        <v/>
      </c>
      <c r="S491" s="62">
        <f>(1-Table_1[[#This Row],[PAYOUT]])*Table_1[[#This Row],[ROE]]</f>
        <v/>
      </c>
      <c r="T491" s="98">
        <f>AVERAGE(Table_1[[#This Row],[CAGR LUCRO 5A]],Table_1[[#This Row],[CRESCIMENTO DAMODARAN]])</f>
        <v/>
      </c>
      <c r="U491" s="64">
        <f>(Table_1[[#This Row],[PREÇO JUSTO BAZIN]]-Table_1[[#This Row],[PREÇO]])/Table_1[[#This Row],[PREÇO JUSTO BAZIN]]</f>
        <v/>
      </c>
      <c r="V491" s="129">
        <f>Table_1[[#This Row],[DPA]]/6%</f>
        <v/>
      </c>
      <c r="W491" s="129">
        <f>Table_1[[#This Row],[PREÇO JUSTO BAZIN]]/(1+Table_1[[#This Row],[MARGEM DE DESCONTO]])</f>
        <v/>
      </c>
      <c r="X491" s="64">
        <f>(Table_1[[#This Row],[PREÇO JUSTO GRAHAM]]-Table_1[[#This Row],[PREÇO]])/Table_1[[#This Row],[PREÇO JUSTO GRAHAM]]</f>
        <v/>
      </c>
      <c r="Y491" s="129">
        <f>(22.5*Table_1[[#This Row],[LPA]]*Table_1[[#This Row],[VPA]])^0.5</f>
        <v/>
      </c>
      <c r="Z491" s="129">
        <f>Table_1[[#This Row],[PREÇO JUSTO GRAHAM]]/(1+Table_1[[#This Row],[MARGEM DE DESCONTO]])</f>
        <v/>
      </c>
      <c r="AA491" s="64">
        <f>(Table_1[[#This Row],[PREÇO JUSTO GORDON]]-Table_1[[#This Row],[PREÇO]])/Table_1[[#This Row],[PREÇO JUSTO GORDON]]</f>
        <v/>
      </c>
      <c r="AB491" s="130">
        <f>Table_1[[#This Row],[DPA]]*(1+Table_1[[#This Row],[MÉDIA DE CRESCIMENTO]])</f>
        <v/>
      </c>
      <c r="AC491" s="130">
        <f>Table_1[[#This Row],[D1]]/(Table_1[[#This Row],[RISCO]]-Table_1[[#This Row],[MÉDIA DE CRESCIMENTO]])</f>
        <v/>
      </c>
      <c r="AD491" s="130">
        <f>Table_1[[#This Row],[PREÇO JUSTO GORDON]]/(1+Table_1[[#This Row],[MARGEM DE DESCONTO]])</f>
        <v/>
      </c>
      <c r="AE491" s="78">
        <f>Table_1[[#This Row],[P/L]]/Table_1[[#This Row],[MÉDIA DE CRESCIMENTO]]</f>
        <v/>
      </c>
    </row>
    <row r="492" ht="15.75" customHeight="1">
      <c r="B492" s="77">
        <f>'Dados Status Invest'!A478</f>
        <v/>
      </c>
      <c r="C492" s="60">
        <f>VLOOKUP(Table_1[[#This Row],[AÇÕES]],'Classificação B3'!A:B,2,0)</f>
        <v/>
      </c>
      <c r="D492" s="60">
        <f>VLOOKUP(Table_1[[#This Row],[AÇÕES]],'Classificação B3'!A:D,4,0)</f>
        <v/>
      </c>
      <c r="E492" s="60">
        <f>VLOOKUP(Table_1[[#This Row],[AÇÕES]],'Classificação B3'!A:F,6,0)</f>
        <v/>
      </c>
      <c r="F492" s="60">
        <f>VLOOKUP(Table_1[[#This Row],[AÇÕES]],'Classificação B3'!A:G,7,0)</f>
        <v/>
      </c>
      <c r="G492" s="61">
        <f>VLOOKUP(Table_1[[#This Row],[AÇÕES]],'Dados Status Invest'!A:B,2,0)</f>
        <v/>
      </c>
      <c r="H492" s="62">
        <f>VLOOKUP(Table_1[[#This Row],[AÇÕES]],'Dados Status Invest'!A:C,3,0)/100</f>
        <v/>
      </c>
      <c r="I492" s="62">
        <f>VLOOKUP(Table_1[[#This Row],[AÇÕES]],'Dados Status Invest'!A:D,4,0)/100</f>
        <v/>
      </c>
      <c r="J492" s="63">
        <f>VLOOKUP(Table_1[[#This Row],[AÇÕES]],'Dados Status Invest'!A:AB,28,0)</f>
        <v/>
      </c>
      <c r="K492" s="63">
        <f>VLOOKUP(Table_1[[#This Row],[AÇÕES]],'Dados Status Invest'!A:AA,27,0)</f>
        <v/>
      </c>
      <c r="L492" s="63">
        <f>Table_1[[#This Row],[PREÇO]]*Table_1[[#This Row],[DY]]</f>
        <v/>
      </c>
      <c r="M492" s="62">
        <f>$E$13</f>
        <v/>
      </c>
      <c r="N492" s="62" t="n">
        <v>0.3</v>
      </c>
      <c r="O492" s="62">
        <f>Table_1[[#This Row],[DPA]]/Table_1[[#This Row],[LPA]]</f>
        <v/>
      </c>
      <c r="P492" s="62">
        <f>IF(Table_1[[#This Row],[PAYOUT]]&lt;=40%,"CRESCIMENTO",IF(Table_1[[#This Row],[PAYOUT]]&lt;=60%,"INDEFINIDO","DIVIDENDOS"))</f>
        <v/>
      </c>
      <c r="Q492" s="62">
        <f>VLOOKUP(Table_1[[#This Row],[AÇÕES]],'Dados Status Invest'!A:R,18,0)/100</f>
        <v/>
      </c>
      <c r="R492" s="62">
        <f>VLOOKUP(Table_1[[#This Row],[AÇÕES]],'Dados Status Invest'!A:Y,25,0)/100</f>
        <v/>
      </c>
      <c r="S492" s="62">
        <f>(1-Table_1[[#This Row],[PAYOUT]])*Table_1[[#This Row],[ROE]]</f>
        <v/>
      </c>
      <c r="T492" s="98">
        <f>AVERAGE(Table_1[[#This Row],[CAGR LUCRO 5A]],Table_1[[#This Row],[CRESCIMENTO DAMODARAN]])</f>
        <v/>
      </c>
      <c r="U492" s="64">
        <f>(Table_1[[#This Row],[PREÇO JUSTO BAZIN]]-Table_1[[#This Row],[PREÇO]])/Table_1[[#This Row],[PREÇO JUSTO BAZIN]]</f>
        <v/>
      </c>
      <c r="V492" s="129">
        <f>Table_1[[#This Row],[DPA]]/6%</f>
        <v/>
      </c>
      <c r="W492" s="129">
        <f>Table_1[[#This Row],[PREÇO JUSTO BAZIN]]/(1+Table_1[[#This Row],[MARGEM DE DESCONTO]])</f>
        <v/>
      </c>
      <c r="X492" s="64">
        <f>(Table_1[[#This Row],[PREÇO JUSTO GRAHAM]]-Table_1[[#This Row],[PREÇO]])/Table_1[[#This Row],[PREÇO JUSTO GRAHAM]]</f>
        <v/>
      </c>
      <c r="Y492" s="129">
        <f>(22.5*Table_1[[#This Row],[LPA]]*Table_1[[#This Row],[VPA]])^0.5</f>
        <v/>
      </c>
      <c r="Z492" s="129">
        <f>Table_1[[#This Row],[PREÇO JUSTO GRAHAM]]/(1+Table_1[[#This Row],[MARGEM DE DESCONTO]])</f>
        <v/>
      </c>
      <c r="AA492" s="64">
        <f>(Table_1[[#This Row],[PREÇO JUSTO GORDON]]-Table_1[[#This Row],[PREÇO]])/Table_1[[#This Row],[PREÇO JUSTO GORDON]]</f>
        <v/>
      </c>
      <c r="AB492" s="130">
        <f>Table_1[[#This Row],[DPA]]*(1+Table_1[[#This Row],[MÉDIA DE CRESCIMENTO]])</f>
        <v/>
      </c>
      <c r="AC492" s="130">
        <f>Table_1[[#This Row],[D1]]/(Table_1[[#This Row],[RISCO]]-Table_1[[#This Row],[MÉDIA DE CRESCIMENTO]])</f>
        <v/>
      </c>
      <c r="AD492" s="130">
        <f>Table_1[[#This Row],[PREÇO JUSTO GORDON]]/(1+Table_1[[#This Row],[MARGEM DE DESCONTO]])</f>
        <v/>
      </c>
      <c r="AE492" s="78">
        <f>Table_1[[#This Row],[P/L]]/Table_1[[#This Row],[MÉDIA DE CRESCIMENTO]]</f>
        <v/>
      </c>
    </row>
    <row r="493" ht="15.75" customHeight="1">
      <c r="B493" s="77">
        <f>'Dados Status Invest'!A479</f>
        <v/>
      </c>
      <c r="C493" s="60">
        <f>VLOOKUP(Table_1[[#This Row],[AÇÕES]],'Classificação B3'!A:B,2,0)</f>
        <v/>
      </c>
      <c r="D493" s="60">
        <f>VLOOKUP(Table_1[[#This Row],[AÇÕES]],'Classificação B3'!A:D,4,0)</f>
        <v/>
      </c>
      <c r="E493" s="60">
        <f>VLOOKUP(Table_1[[#This Row],[AÇÕES]],'Classificação B3'!A:F,6,0)</f>
        <v/>
      </c>
      <c r="F493" s="60">
        <f>VLOOKUP(Table_1[[#This Row],[AÇÕES]],'Classificação B3'!A:G,7,0)</f>
        <v/>
      </c>
      <c r="G493" s="61">
        <f>VLOOKUP(Table_1[[#This Row],[AÇÕES]],'Dados Status Invest'!A:B,2,0)</f>
        <v/>
      </c>
      <c r="H493" s="62">
        <f>VLOOKUP(Table_1[[#This Row],[AÇÕES]],'Dados Status Invest'!A:C,3,0)/100</f>
        <v/>
      </c>
      <c r="I493" s="62">
        <f>VLOOKUP(Table_1[[#This Row],[AÇÕES]],'Dados Status Invest'!A:D,4,0)/100</f>
        <v/>
      </c>
      <c r="J493" s="63">
        <f>VLOOKUP(Table_1[[#This Row],[AÇÕES]],'Dados Status Invest'!A:AB,28,0)</f>
        <v/>
      </c>
      <c r="K493" s="63">
        <f>VLOOKUP(Table_1[[#This Row],[AÇÕES]],'Dados Status Invest'!A:AA,27,0)</f>
        <v/>
      </c>
      <c r="L493" s="63">
        <f>Table_1[[#This Row],[PREÇO]]*Table_1[[#This Row],[DY]]</f>
        <v/>
      </c>
      <c r="M493" s="62">
        <f>$E$13</f>
        <v/>
      </c>
      <c r="N493" s="62" t="n">
        <v>0.3</v>
      </c>
      <c r="O493" s="62">
        <f>Table_1[[#This Row],[DPA]]/Table_1[[#This Row],[LPA]]</f>
        <v/>
      </c>
      <c r="P493" s="62">
        <f>IF(Table_1[[#This Row],[PAYOUT]]&lt;=40%,"CRESCIMENTO",IF(Table_1[[#This Row],[PAYOUT]]&lt;=60%,"INDEFINIDO","DIVIDENDOS"))</f>
        <v/>
      </c>
      <c r="Q493" s="62">
        <f>VLOOKUP(Table_1[[#This Row],[AÇÕES]],'Dados Status Invest'!A:R,18,0)/100</f>
        <v/>
      </c>
      <c r="R493" s="62">
        <f>VLOOKUP(Table_1[[#This Row],[AÇÕES]],'Dados Status Invest'!A:Y,25,0)/100</f>
        <v/>
      </c>
      <c r="S493" s="62">
        <f>(1-Table_1[[#This Row],[PAYOUT]])*Table_1[[#This Row],[ROE]]</f>
        <v/>
      </c>
      <c r="T493" s="98">
        <f>AVERAGE(Table_1[[#This Row],[CAGR LUCRO 5A]],Table_1[[#This Row],[CRESCIMENTO DAMODARAN]])</f>
        <v/>
      </c>
      <c r="U493" s="64">
        <f>(Table_1[[#This Row],[PREÇO JUSTO BAZIN]]-Table_1[[#This Row],[PREÇO]])/Table_1[[#This Row],[PREÇO JUSTO BAZIN]]</f>
        <v/>
      </c>
      <c r="V493" s="129">
        <f>Table_1[[#This Row],[DPA]]/6%</f>
        <v/>
      </c>
      <c r="W493" s="129">
        <f>Table_1[[#This Row],[PREÇO JUSTO BAZIN]]/(1+Table_1[[#This Row],[MARGEM DE DESCONTO]])</f>
        <v/>
      </c>
      <c r="X493" s="64">
        <f>(Table_1[[#This Row],[PREÇO JUSTO GRAHAM]]-Table_1[[#This Row],[PREÇO]])/Table_1[[#This Row],[PREÇO JUSTO GRAHAM]]</f>
        <v/>
      </c>
      <c r="Y493" s="129">
        <f>(22.5*Table_1[[#This Row],[LPA]]*Table_1[[#This Row],[VPA]])^0.5</f>
        <v/>
      </c>
      <c r="Z493" s="129">
        <f>Table_1[[#This Row],[PREÇO JUSTO GRAHAM]]/(1+Table_1[[#This Row],[MARGEM DE DESCONTO]])</f>
        <v/>
      </c>
      <c r="AA493" s="64">
        <f>(Table_1[[#This Row],[PREÇO JUSTO GORDON]]-Table_1[[#This Row],[PREÇO]])/Table_1[[#This Row],[PREÇO JUSTO GORDON]]</f>
        <v/>
      </c>
      <c r="AB493" s="130">
        <f>Table_1[[#This Row],[DPA]]*(1+Table_1[[#This Row],[MÉDIA DE CRESCIMENTO]])</f>
        <v/>
      </c>
      <c r="AC493" s="130">
        <f>Table_1[[#This Row],[D1]]/(Table_1[[#This Row],[RISCO]]-Table_1[[#This Row],[MÉDIA DE CRESCIMENTO]])</f>
        <v/>
      </c>
      <c r="AD493" s="130">
        <f>Table_1[[#This Row],[PREÇO JUSTO GORDON]]/(1+Table_1[[#This Row],[MARGEM DE DESCONTO]])</f>
        <v/>
      </c>
      <c r="AE493" s="78">
        <f>Table_1[[#This Row],[P/L]]/Table_1[[#This Row],[MÉDIA DE CRESCIMENTO]]</f>
        <v/>
      </c>
    </row>
    <row r="494" ht="15.75" customHeight="1">
      <c r="B494" s="77">
        <f>'Dados Status Invest'!A480</f>
        <v/>
      </c>
      <c r="C494" s="60">
        <f>VLOOKUP(Table_1[[#This Row],[AÇÕES]],'Classificação B3'!A:B,2,0)</f>
        <v/>
      </c>
      <c r="D494" s="60">
        <f>VLOOKUP(Table_1[[#This Row],[AÇÕES]],'Classificação B3'!A:D,4,0)</f>
        <v/>
      </c>
      <c r="E494" s="60">
        <f>VLOOKUP(Table_1[[#This Row],[AÇÕES]],'Classificação B3'!A:F,6,0)</f>
        <v/>
      </c>
      <c r="F494" s="60">
        <f>VLOOKUP(Table_1[[#This Row],[AÇÕES]],'Classificação B3'!A:G,7,0)</f>
        <v/>
      </c>
      <c r="G494" s="61">
        <f>VLOOKUP(Table_1[[#This Row],[AÇÕES]],'Dados Status Invest'!A:B,2,0)</f>
        <v/>
      </c>
      <c r="H494" s="62">
        <f>VLOOKUP(Table_1[[#This Row],[AÇÕES]],'Dados Status Invest'!A:C,3,0)/100</f>
        <v/>
      </c>
      <c r="I494" s="62">
        <f>VLOOKUP(Table_1[[#This Row],[AÇÕES]],'Dados Status Invest'!A:D,4,0)/100</f>
        <v/>
      </c>
      <c r="J494" s="63">
        <f>VLOOKUP(Table_1[[#This Row],[AÇÕES]],'Dados Status Invest'!A:AB,28,0)</f>
        <v/>
      </c>
      <c r="K494" s="63">
        <f>VLOOKUP(Table_1[[#This Row],[AÇÕES]],'Dados Status Invest'!A:AA,27,0)</f>
        <v/>
      </c>
      <c r="L494" s="63">
        <f>Table_1[[#This Row],[PREÇO]]*Table_1[[#This Row],[DY]]</f>
        <v/>
      </c>
      <c r="M494" s="62">
        <f>$E$13</f>
        <v/>
      </c>
      <c r="N494" s="62" t="n">
        <v>0.3</v>
      </c>
      <c r="O494" s="62">
        <f>Table_1[[#This Row],[DPA]]/Table_1[[#This Row],[LPA]]</f>
        <v/>
      </c>
      <c r="P494" s="62">
        <f>IF(Table_1[[#This Row],[PAYOUT]]&lt;=40%,"CRESCIMENTO",IF(Table_1[[#This Row],[PAYOUT]]&lt;=60%,"INDEFINIDO","DIVIDENDOS"))</f>
        <v/>
      </c>
      <c r="Q494" s="62">
        <f>VLOOKUP(Table_1[[#This Row],[AÇÕES]],'Dados Status Invest'!A:R,18,0)/100</f>
        <v/>
      </c>
      <c r="R494" s="62">
        <f>VLOOKUP(Table_1[[#This Row],[AÇÕES]],'Dados Status Invest'!A:Y,25,0)/100</f>
        <v/>
      </c>
      <c r="S494" s="62">
        <f>(1-Table_1[[#This Row],[PAYOUT]])*Table_1[[#This Row],[ROE]]</f>
        <v/>
      </c>
      <c r="T494" s="98">
        <f>AVERAGE(Table_1[[#This Row],[CAGR LUCRO 5A]],Table_1[[#This Row],[CRESCIMENTO DAMODARAN]])</f>
        <v/>
      </c>
      <c r="U494" s="64">
        <f>(Table_1[[#This Row],[PREÇO JUSTO BAZIN]]-Table_1[[#This Row],[PREÇO]])/Table_1[[#This Row],[PREÇO JUSTO BAZIN]]</f>
        <v/>
      </c>
      <c r="V494" s="129">
        <f>Table_1[[#This Row],[DPA]]/6%</f>
        <v/>
      </c>
      <c r="W494" s="129">
        <f>Table_1[[#This Row],[PREÇO JUSTO BAZIN]]/(1+Table_1[[#This Row],[MARGEM DE DESCONTO]])</f>
        <v/>
      </c>
      <c r="X494" s="64">
        <f>(Table_1[[#This Row],[PREÇO JUSTO GRAHAM]]-Table_1[[#This Row],[PREÇO]])/Table_1[[#This Row],[PREÇO JUSTO GRAHAM]]</f>
        <v/>
      </c>
      <c r="Y494" s="129">
        <f>(22.5*Table_1[[#This Row],[LPA]]*Table_1[[#This Row],[VPA]])^0.5</f>
        <v/>
      </c>
      <c r="Z494" s="129">
        <f>Table_1[[#This Row],[PREÇO JUSTO GRAHAM]]/(1+Table_1[[#This Row],[MARGEM DE DESCONTO]])</f>
        <v/>
      </c>
      <c r="AA494" s="64">
        <f>(Table_1[[#This Row],[PREÇO JUSTO GORDON]]-Table_1[[#This Row],[PREÇO]])/Table_1[[#This Row],[PREÇO JUSTO GORDON]]</f>
        <v/>
      </c>
      <c r="AB494" s="130">
        <f>Table_1[[#This Row],[DPA]]*(1+Table_1[[#This Row],[MÉDIA DE CRESCIMENTO]])</f>
        <v/>
      </c>
      <c r="AC494" s="130">
        <f>Table_1[[#This Row],[D1]]/(Table_1[[#This Row],[RISCO]]-Table_1[[#This Row],[MÉDIA DE CRESCIMENTO]])</f>
        <v/>
      </c>
      <c r="AD494" s="130">
        <f>Table_1[[#This Row],[PREÇO JUSTO GORDON]]/(1+Table_1[[#This Row],[MARGEM DE DESCONTO]])</f>
        <v/>
      </c>
      <c r="AE494" s="78">
        <f>Table_1[[#This Row],[P/L]]/Table_1[[#This Row],[MÉDIA DE CRESCIMENTO]]</f>
        <v/>
      </c>
    </row>
    <row r="495" ht="15.75" customHeight="1">
      <c r="B495" s="77">
        <f>'Dados Status Invest'!A481</f>
        <v/>
      </c>
      <c r="C495" s="60">
        <f>VLOOKUP(Table_1[[#This Row],[AÇÕES]],'Classificação B3'!A:B,2,0)</f>
        <v/>
      </c>
      <c r="D495" s="60">
        <f>VLOOKUP(Table_1[[#This Row],[AÇÕES]],'Classificação B3'!A:D,4,0)</f>
        <v/>
      </c>
      <c r="E495" s="60">
        <f>VLOOKUP(Table_1[[#This Row],[AÇÕES]],'Classificação B3'!A:F,6,0)</f>
        <v/>
      </c>
      <c r="F495" s="60">
        <f>VLOOKUP(Table_1[[#This Row],[AÇÕES]],'Classificação B3'!A:G,7,0)</f>
        <v/>
      </c>
      <c r="G495" s="61">
        <f>VLOOKUP(Table_1[[#This Row],[AÇÕES]],'Dados Status Invest'!A:B,2,0)</f>
        <v/>
      </c>
      <c r="H495" s="62">
        <f>VLOOKUP(Table_1[[#This Row],[AÇÕES]],'Dados Status Invest'!A:C,3,0)/100</f>
        <v/>
      </c>
      <c r="I495" s="62">
        <f>VLOOKUP(Table_1[[#This Row],[AÇÕES]],'Dados Status Invest'!A:D,4,0)/100</f>
        <v/>
      </c>
      <c r="J495" s="63">
        <f>VLOOKUP(Table_1[[#This Row],[AÇÕES]],'Dados Status Invest'!A:AB,28,0)</f>
        <v/>
      </c>
      <c r="K495" s="63">
        <f>VLOOKUP(Table_1[[#This Row],[AÇÕES]],'Dados Status Invest'!A:AA,27,0)</f>
        <v/>
      </c>
      <c r="L495" s="63">
        <f>Table_1[[#This Row],[PREÇO]]*Table_1[[#This Row],[DY]]</f>
        <v/>
      </c>
      <c r="M495" s="62">
        <f>$E$13</f>
        <v/>
      </c>
      <c r="N495" s="62" t="n">
        <v>0.3</v>
      </c>
      <c r="O495" s="62">
        <f>Table_1[[#This Row],[DPA]]/Table_1[[#This Row],[LPA]]</f>
        <v/>
      </c>
      <c r="P495" s="62">
        <f>IF(Table_1[[#This Row],[PAYOUT]]&lt;=40%,"CRESCIMENTO",IF(Table_1[[#This Row],[PAYOUT]]&lt;=60%,"INDEFINIDO","DIVIDENDOS"))</f>
        <v/>
      </c>
      <c r="Q495" s="62">
        <f>VLOOKUP(Table_1[[#This Row],[AÇÕES]],'Dados Status Invest'!A:R,18,0)/100</f>
        <v/>
      </c>
      <c r="R495" s="62">
        <f>VLOOKUP(Table_1[[#This Row],[AÇÕES]],'Dados Status Invest'!A:Y,25,0)/100</f>
        <v/>
      </c>
      <c r="S495" s="62">
        <f>(1-Table_1[[#This Row],[PAYOUT]])*Table_1[[#This Row],[ROE]]</f>
        <v/>
      </c>
      <c r="T495" s="98">
        <f>AVERAGE(Table_1[[#This Row],[CAGR LUCRO 5A]],Table_1[[#This Row],[CRESCIMENTO DAMODARAN]])</f>
        <v/>
      </c>
      <c r="U495" s="64">
        <f>(Table_1[[#This Row],[PREÇO JUSTO BAZIN]]-Table_1[[#This Row],[PREÇO]])/Table_1[[#This Row],[PREÇO JUSTO BAZIN]]</f>
        <v/>
      </c>
      <c r="V495" s="129">
        <f>Table_1[[#This Row],[DPA]]/6%</f>
        <v/>
      </c>
      <c r="W495" s="129">
        <f>Table_1[[#This Row],[PREÇO JUSTO BAZIN]]/(1+Table_1[[#This Row],[MARGEM DE DESCONTO]])</f>
        <v/>
      </c>
      <c r="X495" s="64">
        <f>(Table_1[[#This Row],[PREÇO JUSTO GRAHAM]]-Table_1[[#This Row],[PREÇO]])/Table_1[[#This Row],[PREÇO JUSTO GRAHAM]]</f>
        <v/>
      </c>
      <c r="Y495" s="129">
        <f>(22.5*Table_1[[#This Row],[LPA]]*Table_1[[#This Row],[VPA]])^0.5</f>
        <v/>
      </c>
      <c r="Z495" s="129">
        <f>Table_1[[#This Row],[PREÇO JUSTO GRAHAM]]/(1+Table_1[[#This Row],[MARGEM DE DESCONTO]])</f>
        <v/>
      </c>
      <c r="AA495" s="64">
        <f>(Table_1[[#This Row],[PREÇO JUSTO GORDON]]-Table_1[[#This Row],[PREÇO]])/Table_1[[#This Row],[PREÇO JUSTO GORDON]]</f>
        <v/>
      </c>
      <c r="AB495" s="130">
        <f>Table_1[[#This Row],[DPA]]*(1+Table_1[[#This Row],[MÉDIA DE CRESCIMENTO]])</f>
        <v/>
      </c>
      <c r="AC495" s="130">
        <f>Table_1[[#This Row],[D1]]/(Table_1[[#This Row],[RISCO]]-Table_1[[#This Row],[MÉDIA DE CRESCIMENTO]])</f>
        <v/>
      </c>
      <c r="AD495" s="130">
        <f>Table_1[[#This Row],[PREÇO JUSTO GORDON]]/(1+Table_1[[#This Row],[MARGEM DE DESCONTO]])</f>
        <v/>
      </c>
      <c r="AE495" s="78">
        <f>Table_1[[#This Row],[P/L]]/Table_1[[#This Row],[MÉDIA DE CRESCIMENTO]]</f>
        <v/>
      </c>
    </row>
    <row r="496" ht="15.75" customHeight="1">
      <c r="B496" s="77">
        <f>'Dados Status Invest'!A482</f>
        <v/>
      </c>
      <c r="C496" s="60">
        <f>VLOOKUP(Table_1[[#This Row],[AÇÕES]],'Classificação B3'!A:B,2,0)</f>
        <v/>
      </c>
      <c r="D496" s="60">
        <f>VLOOKUP(Table_1[[#This Row],[AÇÕES]],'Classificação B3'!A:D,4,0)</f>
        <v/>
      </c>
      <c r="E496" s="60">
        <f>VLOOKUP(Table_1[[#This Row],[AÇÕES]],'Classificação B3'!A:F,6,0)</f>
        <v/>
      </c>
      <c r="F496" s="60">
        <f>VLOOKUP(Table_1[[#This Row],[AÇÕES]],'Classificação B3'!A:G,7,0)</f>
        <v/>
      </c>
      <c r="G496" s="61">
        <f>VLOOKUP(Table_1[[#This Row],[AÇÕES]],'Dados Status Invest'!A:B,2,0)</f>
        <v/>
      </c>
      <c r="H496" s="62">
        <f>VLOOKUP(Table_1[[#This Row],[AÇÕES]],'Dados Status Invest'!A:C,3,0)/100</f>
        <v/>
      </c>
      <c r="I496" s="62">
        <f>VLOOKUP(Table_1[[#This Row],[AÇÕES]],'Dados Status Invest'!A:D,4,0)/100</f>
        <v/>
      </c>
      <c r="J496" s="63">
        <f>VLOOKUP(Table_1[[#This Row],[AÇÕES]],'Dados Status Invest'!A:AB,28,0)</f>
        <v/>
      </c>
      <c r="K496" s="63">
        <f>VLOOKUP(Table_1[[#This Row],[AÇÕES]],'Dados Status Invest'!A:AA,27,0)</f>
        <v/>
      </c>
      <c r="L496" s="63">
        <f>Table_1[[#This Row],[PREÇO]]*Table_1[[#This Row],[DY]]</f>
        <v/>
      </c>
      <c r="M496" s="62">
        <f>$E$13</f>
        <v/>
      </c>
      <c r="N496" s="62" t="n">
        <v>0.3</v>
      </c>
      <c r="O496" s="62">
        <f>Table_1[[#This Row],[DPA]]/Table_1[[#This Row],[LPA]]</f>
        <v/>
      </c>
      <c r="P496" s="62">
        <f>IF(Table_1[[#This Row],[PAYOUT]]&lt;=40%,"CRESCIMENTO",IF(Table_1[[#This Row],[PAYOUT]]&lt;=60%,"INDEFINIDO","DIVIDENDOS"))</f>
        <v/>
      </c>
      <c r="Q496" s="62">
        <f>VLOOKUP(Table_1[[#This Row],[AÇÕES]],'Dados Status Invest'!A:R,18,0)/100</f>
        <v/>
      </c>
      <c r="R496" s="62">
        <f>VLOOKUP(Table_1[[#This Row],[AÇÕES]],'Dados Status Invest'!A:Y,25,0)/100</f>
        <v/>
      </c>
      <c r="S496" s="62">
        <f>(1-Table_1[[#This Row],[PAYOUT]])*Table_1[[#This Row],[ROE]]</f>
        <v/>
      </c>
      <c r="T496" s="98">
        <f>AVERAGE(Table_1[[#This Row],[CAGR LUCRO 5A]],Table_1[[#This Row],[CRESCIMENTO DAMODARAN]])</f>
        <v/>
      </c>
      <c r="U496" s="64">
        <f>(Table_1[[#This Row],[PREÇO JUSTO BAZIN]]-Table_1[[#This Row],[PREÇO]])/Table_1[[#This Row],[PREÇO JUSTO BAZIN]]</f>
        <v/>
      </c>
      <c r="V496" s="129">
        <f>Table_1[[#This Row],[DPA]]/6%</f>
        <v/>
      </c>
      <c r="W496" s="129">
        <f>Table_1[[#This Row],[PREÇO JUSTO BAZIN]]/(1+Table_1[[#This Row],[MARGEM DE DESCONTO]])</f>
        <v/>
      </c>
      <c r="X496" s="64">
        <f>(Table_1[[#This Row],[PREÇO JUSTO GRAHAM]]-Table_1[[#This Row],[PREÇO]])/Table_1[[#This Row],[PREÇO JUSTO GRAHAM]]</f>
        <v/>
      </c>
      <c r="Y496" s="129">
        <f>(22.5*Table_1[[#This Row],[LPA]]*Table_1[[#This Row],[VPA]])^0.5</f>
        <v/>
      </c>
      <c r="Z496" s="129">
        <f>Table_1[[#This Row],[PREÇO JUSTO GRAHAM]]/(1+Table_1[[#This Row],[MARGEM DE DESCONTO]])</f>
        <v/>
      </c>
      <c r="AA496" s="64">
        <f>(Table_1[[#This Row],[PREÇO JUSTO GORDON]]-Table_1[[#This Row],[PREÇO]])/Table_1[[#This Row],[PREÇO JUSTO GORDON]]</f>
        <v/>
      </c>
      <c r="AB496" s="130">
        <f>Table_1[[#This Row],[DPA]]*(1+Table_1[[#This Row],[MÉDIA DE CRESCIMENTO]])</f>
        <v/>
      </c>
      <c r="AC496" s="130">
        <f>Table_1[[#This Row],[D1]]/(Table_1[[#This Row],[RISCO]]-Table_1[[#This Row],[MÉDIA DE CRESCIMENTO]])</f>
        <v/>
      </c>
      <c r="AD496" s="130">
        <f>Table_1[[#This Row],[PREÇO JUSTO GORDON]]/(1+Table_1[[#This Row],[MARGEM DE DESCONTO]])</f>
        <v/>
      </c>
      <c r="AE496" s="78">
        <f>Table_1[[#This Row],[P/L]]/Table_1[[#This Row],[MÉDIA DE CRESCIMENTO]]</f>
        <v/>
      </c>
    </row>
    <row r="497" ht="15.75" customHeight="1">
      <c r="B497" s="77">
        <f>'Dados Status Invest'!A483</f>
        <v/>
      </c>
      <c r="C497" s="60">
        <f>VLOOKUP(Table_1[[#This Row],[AÇÕES]],'Classificação B3'!A:B,2,0)</f>
        <v/>
      </c>
      <c r="D497" s="60">
        <f>VLOOKUP(Table_1[[#This Row],[AÇÕES]],'Classificação B3'!A:D,4,0)</f>
        <v/>
      </c>
      <c r="E497" s="60">
        <f>VLOOKUP(Table_1[[#This Row],[AÇÕES]],'Classificação B3'!A:F,6,0)</f>
        <v/>
      </c>
      <c r="F497" s="60">
        <f>VLOOKUP(Table_1[[#This Row],[AÇÕES]],'Classificação B3'!A:G,7,0)</f>
        <v/>
      </c>
      <c r="G497" s="61">
        <f>VLOOKUP(Table_1[[#This Row],[AÇÕES]],'Dados Status Invest'!A:B,2,0)</f>
        <v/>
      </c>
      <c r="H497" s="62">
        <f>VLOOKUP(Table_1[[#This Row],[AÇÕES]],'Dados Status Invest'!A:C,3,0)/100</f>
        <v/>
      </c>
      <c r="I497" s="62">
        <f>VLOOKUP(Table_1[[#This Row],[AÇÕES]],'Dados Status Invest'!A:D,4,0)/100</f>
        <v/>
      </c>
      <c r="J497" s="63">
        <f>VLOOKUP(Table_1[[#This Row],[AÇÕES]],'Dados Status Invest'!A:AB,28,0)</f>
        <v/>
      </c>
      <c r="K497" s="63">
        <f>VLOOKUP(Table_1[[#This Row],[AÇÕES]],'Dados Status Invest'!A:AA,27,0)</f>
        <v/>
      </c>
      <c r="L497" s="63">
        <f>Table_1[[#This Row],[PREÇO]]*Table_1[[#This Row],[DY]]</f>
        <v/>
      </c>
      <c r="M497" s="62">
        <f>$E$13</f>
        <v/>
      </c>
      <c r="N497" s="62" t="n">
        <v>0.3</v>
      </c>
      <c r="O497" s="62">
        <f>Table_1[[#This Row],[DPA]]/Table_1[[#This Row],[LPA]]</f>
        <v/>
      </c>
      <c r="P497" s="62">
        <f>IF(Table_1[[#This Row],[PAYOUT]]&lt;=40%,"CRESCIMENTO",IF(Table_1[[#This Row],[PAYOUT]]&lt;=60%,"INDEFINIDO","DIVIDENDOS"))</f>
        <v/>
      </c>
      <c r="Q497" s="62">
        <f>VLOOKUP(Table_1[[#This Row],[AÇÕES]],'Dados Status Invest'!A:R,18,0)/100</f>
        <v/>
      </c>
      <c r="R497" s="62">
        <f>VLOOKUP(Table_1[[#This Row],[AÇÕES]],'Dados Status Invest'!A:Y,25,0)/100</f>
        <v/>
      </c>
      <c r="S497" s="62">
        <f>(1-Table_1[[#This Row],[PAYOUT]])*Table_1[[#This Row],[ROE]]</f>
        <v/>
      </c>
      <c r="T497" s="98">
        <f>AVERAGE(Table_1[[#This Row],[CAGR LUCRO 5A]],Table_1[[#This Row],[CRESCIMENTO DAMODARAN]])</f>
        <v/>
      </c>
      <c r="U497" s="64">
        <f>(Table_1[[#This Row],[PREÇO JUSTO BAZIN]]-Table_1[[#This Row],[PREÇO]])/Table_1[[#This Row],[PREÇO JUSTO BAZIN]]</f>
        <v/>
      </c>
      <c r="V497" s="129">
        <f>Table_1[[#This Row],[DPA]]/6%</f>
        <v/>
      </c>
      <c r="W497" s="129">
        <f>Table_1[[#This Row],[PREÇO JUSTO BAZIN]]/(1+Table_1[[#This Row],[MARGEM DE DESCONTO]])</f>
        <v/>
      </c>
      <c r="X497" s="64">
        <f>(Table_1[[#This Row],[PREÇO JUSTO GRAHAM]]-Table_1[[#This Row],[PREÇO]])/Table_1[[#This Row],[PREÇO JUSTO GRAHAM]]</f>
        <v/>
      </c>
      <c r="Y497" s="129">
        <f>(22.5*Table_1[[#This Row],[LPA]]*Table_1[[#This Row],[VPA]])^0.5</f>
        <v/>
      </c>
      <c r="Z497" s="129">
        <f>Table_1[[#This Row],[PREÇO JUSTO GRAHAM]]/(1+Table_1[[#This Row],[MARGEM DE DESCONTO]])</f>
        <v/>
      </c>
      <c r="AA497" s="64">
        <f>(Table_1[[#This Row],[PREÇO JUSTO GORDON]]-Table_1[[#This Row],[PREÇO]])/Table_1[[#This Row],[PREÇO JUSTO GORDON]]</f>
        <v/>
      </c>
      <c r="AB497" s="130">
        <f>Table_1[[#This Row],[DPA]]*(1+Table_1[[#This Row],[MÉDIA DE CRESCIMENTO]])</f>
        <v/>
      </c>
      <c r="AC497" s="130">
        <f>Table_1[[#This Row],[D1]]/(Table_1[[#This Row],[RISCO]]-Table_1[[#This Row],[MÉDIA DE CRESCIMENTO]])</f>
        <v/>
      </c>
      <c r="AD497" s="130">
        <f>Table_1[[#This Row],[PREÇO JUSTO GORDON]]/(1+Table_1[[#This Row],[MARGEM DE DESCONTO]])</f>
        <v/>
      </c>
      <c r="AE497" s="78">
        <f>Table_1[[#This Row],[P/L]]/Table_1[[#This Row],[MÉDIA DE CRESCIMENTO]]</f>
        <v/>
      </c>
    </row>
    <row r="498" ht="15.75" customHeight="1">
      <c r="B498" s="77">
        <f>'Dados Status Invest'!A484</f>
        <v/>
      </c>
      <c r="C498" s="60">
        <f>VLOOKUP(Table_1[[#This Row],[AÇÕES]],'Classificação B3'!A:B,2,0)</f>
        <v/>
      </c>
      <c r="D498" s="60">
        <f>VLOOKUP(Table_1[[#This Row],[AÇÕES]],'Classificação B3'!A:D,4,0)</f>
        <v/>
      </c>
      <c r="E498" s="60">
        <f>VLOOKUP(Table_1[[#This Row],[AÇÕES]],'Classificação B3'!A:F,6,0)</f>
        <v/>
      </c>
      <c r="F498" s="60">
        <f>VLOOKUP(Table_1[[#This Row],[AÇÕES]],'Classificação B3'!A:G,7,0)</f>
        <v/>
      </c>
      <c r="G498" s="61">
        <f>VLOOKUP(Table_1[[#This Row],[AÇÕES]],'Dados Status Invest'!A:B,2,0)</f>
        <v/>
      </c>
      <c r="H498" s="62">
        <f>VLOOKUP(Table_1[[#This Row],[AÇÕES]],'Dados Status Invest'!A:C,3,0)/100</f>
        <v/>
      </c>
      <c r="I498" s="62">
        <f>VLOOKUP(Table_1[[#This Row],[AÇÕES]],'Dados Status Invest'!A:D,4,0)/100</f>
        <v/>
      </c>
      <c r="J498" s="63">
        <f>VLOOKUP(Table_1[[#This Row],[AÇÕES]],'Dados Status Invest'!A:AB,28,0)</f>
        <v/>
      </c>
      <c r="K498" s="63">
        <f>VLOOKUP(Table_1[[#This Row],[AÇÕES]],'Dados Status Invest'!A:AA,27,0)</f>
        <v/>
      </c>
      <c r="L498" s="63">
        <f>Table_1[[#This Row],[PREÇO]]*Table_1[[#This Row],[DY]]</f>
        <v/>
      </c>
      <c r="M498" s="62">
        <f>$E$13</f>
        <v/>
      </c>
      <c r="N498" s="62" t="n">
        <v>0.3</v>
      </c>
      <c r="O498" s="62">
        <f>Table_1[[#This Row],[DPA]]/Table_1[[#This Row],[LPA]]</f>
        <v/>
      </c>
      <c r="P498" s="62">
        <f>IF(Table_1[[#This Row],[PAYOUT]]&lt;=40%,"CRESCIMENTO",IF(Table_1[[#This Row],[PAYOUT]]&lt;=60%,"INDEFINIDO","DIVIDENDOS"))</f>
        <v/>
      </c>
      <c r="Q498" s="62">
        <f>VLOOKUP(Table_1[[#This Row],[AÇÕES]],'Dados Status Invest'!A:R,18,0)/100</f>
        <v/>
      </c>
      <c r="R498" s="62">
        <f>VLOOKUP(Table_1[[#This Row],[AÇÕES]],'Dados Status Invest'!A:Y,25,0)/100</f>
        <v/>
      </c>
      <c r="S498" s="62">
        <f>(1-Table_1[[#This Row],[PAYOUT]])*Table_1[[#This Row],[ROE]]</f>
        <v/>
      </c>
      <c r="T498" s="98">
        <f>AVERAGE(Table_1[[#This Row],[CAGR LUCRO 5A]],Table_1[[#This Row],[CRESCIMENTO DAMODARAN]])</f>
        <v/>
      </c>
      <c r="U498" s="64">
        <f>(Table_1[[#This Row],[PREÇO JUSTO BAZIN]]-Table_1[[#This Row],[PREÇO]])/Table_1[[#This Row],[PREÇO JUSTO BAZIN]]</f>
        <v/>
      </c>
      <c r="V498" s="129">
        <f>Table_1[[#This Row],[DPA]]/6%</f>
        <v/>
      </c>
      <c r="W498" s="129">
        <f>Table_1[[#This Row],[PREÇO JUSTO BAZIN]]/(1+Table_1[[#This Row],[MARGEM DE DESCONTO]])</f>
        <v/>
      </c>
      <c r="X498" s="64">
        <f>(Table_1[[#This Row],[PREÇO JUSTO GRAHAM]]-Table_1[[#This Row],[PREÇO]])/Table_1[[#This Row],[PREÇO JUSTO GRAHAM]]</f>
        <v/>
      </c>
      <c r="Y498" s="129">
        <f>(22.5*Table_1[[#This Row],[LPA]]*Table_1[[#This Row],[VPA]])^0.5</f>
        <v/>
      </c>
      <c r="Z498" s="129">
        <f>Table_1[[#This Row],[PREÇO JUSTO GRAHAM]]/(1+Table_1[[#This Row],[MARGEM DE DESCONTO]])</f>
        <v/>
      </c>
      <c r="AA498" s="64">
        <f>(Table_1[[#This Row],[PREÇO JUSTO GORDON]]-Table_1[[#This Row],[PREÇO]])/Table_1[[#This Row],[PREÇO JUSTO GORDON]]</f>
        <v/>
      </c>
      <c r="AB498" s="130">
        <f>Table_1[[#This Row],[DPA]]*(1+Table_1[[#This Row],[MÉDIA DE CRESCIMENTO]])</f>
        <v/>
      </c>
      <c r="AC498" s="130">
        <f>Table_1[[#This Row],[D1]]/(Table_1[[#This Row],[RISCO]]-Table_1[[#This Row],[MÉDIA DE CRESCIMENTO]])</f>
        <v/>
      </c>
      <c r="AD498" s="130">
        <f>Table_1[[#This Row],[PREÇO JUSTO GORDON]]/(1+Table_1[[#This Row],[MARGEM DE DESCONTO]])</f>
        <v/>
      </c>
      <c r="AE498" s="78">
        <f>Table_1[[#This Row],[P/L]]/Table_1[[#This Row],[MÉDIA DE CRESCIMENTO]]</f>
        <v/>
      </c>
    </row>
    <row r="499" ht="15.75" customHeight="1">
      <c r="B499" s="77">
        <f>'Dados Status Invest'!A485</f>
        <v/>
      </c>
      <c r="C499" s="60">
        <f>VLOOKUP(Table_1[[#This Row],[AÇÕES]],'Classificação B3'!A:B,2,0)</f>
        <v/>
      </c>
      <c r="D499" s="60">
        <f>VLOOKUP(Table_1[[#This Row],[AÇÕES]],'Classificação B3'!A:D,4,0)</f>
        <v/>
      </c>
      <c r="E499" s="60">
        <f>VLOOKUP(Table_1[[#This Row],[AÇÕES]],'Classificação B3'!A:F,6,0)</f>
        <v/>
      </c>
      <c r="F499" s="60">
        <f>VLOOKUP(Table_1[[#This Row],[AÇÕES]],'Classificação B3'!A:G,7,0)</f>
        <v/>
      </c>
      <c r="G499" s="61">
        <f>VLOOKUP(Table_1[[#This Row],[AÇÕES]],'Dados Status Invest'!A:B,2,0)</f>
        <v/>
      </c>
      <c r="H499" s="62">
        <f>VLOOKUP(Table_1[[#This Row],[AÇÕES]],'Dados Status Invest'!A:C,3,0)/100</f>
        <v/>
      </c>
      <c r="I499" s="62">
        <f>VLOOKUP(Table_1[[#This Row],[AÇÕES]],'Dados Status Invest'!A:D,4,0)/100</f>
        <v/>
      </c>
      <c r="J499" s="63">
        <f>VLOOKUP(Table_1[[#This Row],[AÇÕES]],'Dados Status Invest'!A:AB,28,0)</f>
        <v/>
      </c>
      <c r="K499" s="63">
        <f>VLOOKUP(Table_1[[#This Row],[AÇÕES]],'Dados Status Invest'!A:AA,27,0)</f>
        <v/>
      </c>
      <c r="L499" s="63">
        <f>Table_1[[#This Row],[PREÇO]]*Table_1[[#This Row],[DY]]</f>
        <v/>
      </c>
      <c r="M499" s="62">
        <f>$E$13</f>
        <v/>
      </c>
      <c r="N499" s="62" t="n">
        <v>0.3</v>
      </c>
      <c r="O499" s="62">
        <f>Table_1[[#This Row],[DPA]]/Table_1[[#This Row],[LPA]]</f>
        <v/>
      </c>
      <c r="P499" s="62">
        <f>IF(Table_1[[#This Row],[PAYOUT]]&lt;=40%,"CRESCIMENTO",IF(Table_1[[#This Row],[PAYOUT]]&lt;=60%,"INDEFINIDO","DIVIDENDOS"))</f>
        <v/>
      </c>
      <c r="Q499" s="62">
        <f>VLOOKUP(Table_1[[#This Row],[AÇÕES]],'Dados Status Invest'!A:R,18,0)/100</f>
        <v/>
      </c>
      <c r="R499" s="62">
        <f>VLOOKUP(Table_1[[#This Row],[AÇÕES]],'Dados Status Invest'!A:Y,25,0)/100</f>
        <v/>
      </c>
      <c r="S499" s="62">
        <f>(1-Table_1[[#This Row],[PAYOUT]])*Table_1[[#This Row],[ROE]]</f>
        <v/>
      </c>
      <c r="T499" s="98">
        <f>AVERAGE(Table_1[[#This Row],[CAGR LUCRO 5A]],Table_1[[#This Row],[CRESCIMENTO DAMODARAN]])</f>
        <v/>
      </c>
      <c r="U499" s="64">
        <f>(Table_1[[#This Row],[PREÇO JUSTO BAZIN]]-Table_1[[#This Row],[PREÇO]])/Table_1[[#This Row],[PREÇO JUSTO BAZIN]]</f>
        <v/>
      </c>
      <c r="V499" s="129">
        <f>Table_1[[#This Row],[DPA]]/6%</f>
        <v/>
      </c>
      <c r="W499" s="129">
        <f>Table_1[[#This Row],[PREÇO JUSTO BAZIN]]/(1+Table_1[[#This Row],[MARGEM DE DESCONTO]])</f>
        <v/>
      </c>
      <c r="X499" s="64">
        <f>(Table_1[[#This Row],[PREÇO JUSTO GRAHAM]]-Table_1[[#This Row],[PREÇO]])/Table_1[[#This Row],[PREÇO JUSTO GRAHAM]]</f>
        <v/>
      </c>
      <c r="Y499" s="129">
        <f>(22.5*Table_1[[#This Row],[LPA]]*Table_1[[#This Row],[VPA]])^0.5</f>
        <v/>
      </c>
      <c r="Z499" s="129">
        <f>Table_1[[#This Row],[PREÇO JUSTO GRAHAM]]/(1+Table_1[[#This Row],[MARGEM DE DESCONTO]])</f>
        <v/>
      </c>
      <c r="AA499" s="64">
        <f>(Table_1[[#This Row],[PREÇO JUSTO GORDON]]-Table_1[[#This Row],[PREÇO]])/Table_1[[#This Row],[PREÇO JUSTO GORDON]]</f>
        <v/>
      </c>
      <c r="AB499" s="130">
        <f>Table_1[[#This Row],[DPA]]*(1+Table_1[[#This Row],[MÉDIA DE CRESCIMENTO]])</f>
        <v/>
      </c>
      <c r="AC499" s="130">
        <f>Table_1[[#This Row],[D1]]/(Table_1[[#This Row],[RISCO]]-Table_1[[#This Row],[MÉDIA DE CRESCIMENTO]])</f>
        <v/>
      </c>
      <c r="AD499" s="130">
        <f>Table_1[[#This Row],[PREÇO JUSTO GORDON]]/(1+Table_1[[#This Row],[MARGEM DE DESCONTO]])</f>
        <v/>
      </c>
      <c r="AE499" s="78">
        <f>Table_1[[#This Row],[P/L]]/Table_1[[#This Row],[MÉDIA DE CRESCIMENTO]]</f>
        <v/>
      </c>
    </row>
    <row r="500" ht="15.75" customHeight="1">
      <c r="B500" s="77">
        <f>'Dados Status Invest'!A486</f>
        <v/>
      </c>
      <c r="C500" s="60">
        <f>VLOOKUP(Table_1[[#This Row],[AÇÕES]],'Classificação B3'!A:B,2,0)</f>
        <v/>
      </c>
      <c r="D500" s="60">
        <f>VLOOKUP(Table_1[[#This Row],[AÇÕES]],'Classificação B3'!A:D,4,0)</f>
        <v/>
      </c>
      <c r="E500" s="60">
        <f>VLOOKUP(Table_1[[#This Row],[AÇÕES]],'Classificação B3'!A:F,6,0)</f>
        <v/>
      </c>
      <c r="F500" s="60">
        <f>VLOOKUP(Table_1[[#This Row],[AÇÕES]],'Classificação B3'!A:G,7,0)</f>
        <v/>
      </c>
      <c r="G500" s="61">
        <f>VLOOKUP(Table_1[[#This Row],[AÇÕES]],'Dados Status Invest'!A:B,2,0)</f>
        <v/>
      </c>
      <c r="H500" s="62">
        <f>VLOOKUP(Table_1[[#This Row],[AÇÕES]],'Dados Status Invest'!A:C,3,0)/100</f>
        <v/>
      </c>
      <c r="I500" s="62">
        <f>VLOOKUP(Table_1[[#This Row],[AÇÕES]],'Dados Status Invest'!A:D,4,0)/100</f>
        <v/>
      </c>
      <c r="J500" s="63">
        <f>VLOOKUP(Table_1[[#This Row],[AÇÕES]],'Dados Status Invest'!A:AB,28,0)</f>
        <v/>
      </c>
      <c r="K500" s="63">
        <f>VLOOKUP(Table_1[[#This Row],[AÇÕES]],'Dados Status Invest'!A:AA,27,0)</f>
        <v/>
      </c>
      <c r="L500" s="63">
        <f>Table_1[[#This Row],[PREÇO]]*Table_1[[#This Row],[DY]]</f>
        <v/>
      </c>
      <c r="M500" s="62">
        <f>$E$13</f>
        <v/>
      </c>
      <c r="N500" s="62" t="n">
        <v>0.3</v>
      </c>
      <c r="O500" s="62">
        <f>Table_1[[#This Row],[DPA]]/Table_1[[#This Row],[LPA]]</f>
        <v/>
      </c>
      <c r="P500" s="62">
        <f>IF(Table_1[[#This Row],[PAYOUT]]&lt;=40%,"CRESCIMENTO",IF(Table_1[[#This Row],[PAYOUT]]&lt;=60%,"INDEFINIDO","DIVIDENDOS"))</f>
        <v/>
      </c>
      <c r="Q500" s="62">
        <f>VLOOKUP(Table_1[[#This Row],[AÇÕES]],'Dados Status Invest'!A:R,18,0)/100</f>
        <v/>
      </c>
      <c r="R500" s="62">
        <f>VLOOKUP(Table_1[[#This Row],[AÇÕES]],'Dados Status Invest'!A:Y,25,0)/100</f>
        <v/>
      </c>
      <c r="S500" s="62">
        <f>(1-Table_1[[#This Row],[PAYOUT]])*Table_1[[#This Row],[ROE]]</f>
        <v/>
      </c>
      <c r="T500" s="98">
        <f>AVERAGE(Table_1[[#This Row],[CAGR LUCRO 5A]],Table_1[[#This Row],[CRESCIMENTO DAMODARAN]])</f>
        <v/>
      </c>
      <c r="U500" s="64">
        <f>(Table_1[[#This Row],[PREÇO JUSTO BAZIN]]-Table_1[[#This Row],[PREÇO]])/Table_1[[#This Row],[PREÇO JUSTO BAZIN]]</f>
        <v/>
      </c>
      <c r="V500" s="129">
        <f>Table_1[[#This Row],[DPA]]/6%</f>
        <v/>
      </c>
      <c r="W500" s="129">
        <f>Table_1[[#This Row],[PREÇO JUSTO BAZIN]]/(1+Table_1[[#This Row],[MARGEM DE DESCONTO]])</f>
        <v/>
      </c>
      <c r="X500" s="64">
        <f>(Table_1[[#This Row],[PREÇO JUSTO GRAHAM]]-Table_1[[#This Row],[PREÇO]])/Table_1[[#This Row],[PREÇO JUSTO GRAHAM]]</f>
        <v/>
      </c>
      <c r="Y500" s="129">
        <f>(22.5*Table_1[[#This Row],[LPA]]*Table_1[[#This Row],[VPA]])^0.5</f>
        <v/>
      </c>
      <c r="Z500" s="129">
        <f>Table_1[[#This Row],[PREÇO JUSTO GRAHAM]]/(1+Table_1[[#This Row],[MARGEM DE DESCONTO]])</f>
        <v/>
      </c>
      <c r="AA500" s="64">
        <f>(Table_1[[#This Row],[PREÇO JUSTO GORDON]]-Table_1[[#This Row],[PREÇO]])/Table_1[[#This Row],[PREÇO JUSTO GORDON]]</f>
        <v/>
      </c>
      <c r="AB500" s="130">
        <f>Table_1[[#This Row],[DPA]]*(1+Table_1[[#This Row],[MÉDIA DE CRESCIMENTO]])</f>
        <v/>
      </c>
      <c r="AC500" s="130">
        <f>Table_1[[#This Row],[D1]]/(Table_1[[#This Row],[RISCO]]-Table_1[[#This Row],[MÉDIA DE CRESCIMENTO]])</f>
        <v/>
      </c>
      <c r="AD500" s="130">
        <f>Table_1[[#This Row],[PREÇO JUSTO GORDON]]/(1+Table_1[[#This Row],[MARGEM DE DESCONTO]])</f>
        <v/>
      </c>
      <c r="AE500" s="78">
        <f>Table_1[[#This Row],[P/L]]/Table_1[[#This Row],[MÉDIA DE CRESCIMENTO]]</f>
        <v/>
      </c>
    </row>
    <row r="501" ht="15.75" customHeight="1">
      <c r="B501" s="77">
        <f>'Dados Status Invest'!A487</f>
        <v/>
      </c>
      <c r="C501" s="60">
        <f>VLOOKUP(Table_1[[#This Row],[AÇÕES]],'Classificação B3'!A:B,2,0)</f>
        <v/>
      </c>
      <c r="D501" s="60">
        <f>VLOOKUP(Table_1[[#This Row],[AÇÕES]],'Classificação B3'!A:D,4,0)</f>
        <v/>
      </c>
      <c r="E501" s="60">
        <f>VLOOKUP(Table_1[[#This Row],[AÇÕES]],'Classificação B3'!A:F,6,0)</f>
        <v/>
      </c>
      <c r="F501" s="60">
        <f>VLOOKUP(Table_1[[#This Row],[AÇÕES]],'Classificação B3'!A:G,7,0)</f>
        <v/>
      </c>
      <c r="G501" s="61">
        <f>VLOOKUP(Table_1[[#This Row],[AÇÕES]],'Dados Status Invest'!A:B,2,0)</f>
        <v/>
      </c>
      <c r="H501" s="62">
        <f>VLOOKUP(Table_1[[#This Row],[AÇÕES]],'Dados Status Invest'!A:C,3,0)/100</f>
        <v/>
      </c>
      <c r="I501" s="62">
        <f>VLOOKUP(Table_1[[#This Row],[AÇÕES]],'Dados Status Invest'!A:D,4,0)/100</f>
        <v/>
      </c>
      <c r="J501" s="63">
        <f>VLOOKUP(Table_1[[#This Row],[AÇÕES]],'Dados Status Invest'!A:AB,28,0)</f>
        <v/>
      </c>
      <c r="K501" s="63">
        <f>VLOOKUP(Table_1[[#This Row],[AÇÕES]],'Dados Status Invest'!A:AA,27,0)</f>
        <v/>
      </c>
      <c r="L501" s="63">
        <f>Table_1[[#This Row],[PREÇO]]*Table_1[[#This Row],[DY]]</f>
        <v/>
      </c>
      <c r="M501" s="62">
        <f>$E$13</f>
        <v/>
      </c>
      <c r="N501" s="62" t="n">
        <v>0.3</v>
      </c>
      <c r="O501" s="62">
        <f>Table_1[[#This Row],[DPA]]/Table_1[[#This Row],[LPA]]</f>
        <v/>
      </c>
      <c r="P501" s="62">
        <f>IF(Table_1[[#This Row],[PAYOUT]]&lt;=40%,"CRESCIMENTO",IF(Table_1[[#This Row],[PAYOUT]]&lt;=60%,"INDEFINIDO","DIVIDENDOS"))</f>
        <v/>
      </c>
      <c r="Q501" s="62">
        <f>VLOOKUP(Table_1[[#This Row],[AÇÕES]],'Dados Status Invest'!A:R,18,0)/100</f>
        <v/>
      </c>
      <c r="R501" s="62">
        <f>VLOOKUP(Table_1[[#This Row],[AÇÕES]],'Dados Status Invest'!A:Y,25,0)/100</f>
        <v/>
      </c>
      <c r="S501" s="62">
        <f>(1-Table_1[[#This Row],[PAYOUT]])*Table_1[[#This Row],[ROE]]</f>
        <v/>
      </c>
      <c r="T501" s="98">
        <f>AVERAGE(Table_1[[#This Row],[CAGR LUCRO 5A]],Table_1[[#This Row],[CRESCIMENTO DAMODARAN]])</f>
        <v/>
      </c>
      <c r="U501" s="64">
        <f>(Table_1[[#This Row],[PREÇO JUSTO BAZIN]]-Table_1[[#This Row],[PREÇO]])/Table_1[[#This Row],[PREÇO JUSTO BAZIN]]</f>
        <v/>
      </c>
      <c r="V501" s="129">
        <f>Table_1[[#This Row],[DPA]]/6%</f>
        <v/>
      </c>
      <c r="W501" s="129">
        <f>Table_1[[#This Row],[PREÇO JUSTO BAZIN]]/(1+Table_1[[#This Row],[MARGEM DE DESCONTO]])</f>
        <v/>
      </c>
      <c r="X501" s="64">
        <f>(Table_1[[#This Row],[PREÇO JUSTO GRAHAM]]-Table_1[[#This Row],[PREÇO]])/Table_1[[#This Row],[PREÇO JUSTO GRAHAM]]</f>
        <v/>
      </c>
      <c r="Y501" s="129">
        <f>(22.5*Table_1[[#This Row],[LPA]]*Table_1[[#This Row],[VPA]])^0.5</f>
        <v/>
      </c>
      <c r="Z501" s="129">
        <f>Table_1[[#This Row],[PREÇO JUSTO GRAHAM]]/(1+Table_1[[#This Row],[MARGEM DE DESCONTO]])</f>
        <v/>
      </c>
      <c r="AA501" s="64">
        <f>(Table_1[[#This Row],[PREÇO JUSTO GORDON]]-Table_1[[#This Row],[PREÇO]])/Table_1[[#This Row],[PREÇO JUSTO GORDON]]</f>
        <v/>
      </c>
      <c r="AB501" s="130">
        <f>Table_1[[#This Row],[DPA]]*(1+Table_1[[#This Row],[MÉDIA DE CRESCIMENTO]])</f>
        <v/>
      </c>
      <c r="AC501" s="130">
        <f>Table_1[[#This Row],[D1]]/(Table_1[[#This Row],[RISCO]]-Table_1[[#This Row],[MÉDIA DE CRESCIMENTO]])</f>
        <v/>
      </c>
      <c r="AD501" s="130">
        <f>Table_1[[#This Row],[PREÇO JUSTO GORDON]]/(1+Table_1[[#This Row],[MARGEM DE DESCONTO]])</f>
        <v/>
      </c>
      <c r="AE501" s="78">
        <f>Table_1[[#This Row],[P/L]]/Table_1[[#This Row],[MÉDIA DE CRESCIMENTO]]</f>
        <v/>
      </c>
    </row>
    <row r="502" ht="15.75" customHeight="1">
      <c r="B502" s="77">
        <f>'Dados Status Invest'!A488</f>
        <v/>
      </c>
      <c r="C502" s="60">
        <f>VLOOKUP(Table_1[[#This Row],[AÇÕES]],'Classificação B3'!A:B,2,0)</f>
        <v/>
      </c>
      <c r="D502" s="60">
        <f>VLOOKUP(Table_1[[#This Row],[AÇÕES]],'Classificação B3'!A:D,4,0)</f>
        <v/>
      </c>
      <c r="E502" s="60">
        <f>VLOOKUP(Table_1[[#This Row],[AÇÕES]],'Classificação B3'!A:F,6,0)</f>
        <v/>
      </c>
      <c r="F502" s="60">
        <f>VLOOKUP(Table_1[[#This Row],[AÇÕES]],'Classificação B3'!A:G,7,0)</f>
        <v/>
      </c>
      <c r="G502" s="61">
        <f>VLOOKUP(Table_1[[#This Row],[AÇÕES]],'Dados Status Invest'!A:B,2,0)</f>
        <v/>
      </c>
      <c r="H502" s="62">
        <f>VLOOKUP(Table_1[[#This Row],[AÇÕES]],'Dados Status Invest'!A:C,3,0)/100</f>
        <v/>
      </c>
      <c r="I502" s="62">
        <f>VLOOKUP(Table_1[[#This Row],[AÇÕES]],'Dados Status Invest'!A:D,4,0)/100</f>
        <v/>
      </c>
      <c r="J502" s="63">
        <f>VLOOKUP(Table_1[[#This Row],[AÇÕES]],'Dados Status Invest'!A:AB,28,0)</f>
        <v/>
      </c>
      <c r="K502" s="63">
        <f>VLOOKUP(Table_1[[#This Row],[AÇÕES]],'Dados Status Invest'!A:AA,27,0)</f>
        <v/>
      </c>
      <c r="L502" s="63">
        <f>Table_1[[#This Row],[PREÇO]]*Table_1[[#This Row],[DY]]</f>
        <v/>
      </c>
      <c r="M502" s="62">
        <f>$E$13</f>
        <v/>
      </c>
      <c r="N502" s="62" t="n">
        <v>0.3</v>
      </c>
      <c r="O502" s="62">
        <f>Table_1[[#This Row],[DPA]]/Table_1[[#This Row],[LPA]]</f>
        <v/>
      </c>
      <c r="P502" s="62">
        <f>IF(Table_1[[#This Row],[PAYOUT]]&lt;=40%,"CRESCIMENTO",IF(Table_1[[#This Row],[PAYOUT]]&lt;=60%,"INDEFINIDO","DIVIDENDOS"))</f>
        <v/>
      </c>
      <c r="Q502" s="62">
        <f>VLOOKUP(Table_1[[#This Row],[AÇÕES]],'Dados Status Invest'!A:R,18,0)/100</f>
        <v/>
      </c>
      <c r="R502" s="62">
        <f>VLOOKUP(Table_1[[#This Row],[AÇÕES]],'Dados Status Invest'!A:Y,25,0)/100</f>
        <v/>
      </c>
      <c r="S502" s="62">
        <f>(1-Table_1[[#This Row],[PAYOUT]])*Table_1[[#This Row],[ROE]]</f>
        <v/>
      </c>
      <c r="T502" s="98">
        <f>AVERAGE(Table_1[[#This Row],[CAGR LUCRO 5A]],Table_1[[#This Row],[CRESCIMENTO DAMODARAN]])</f>
        <v/>
      </c>
      <c r="U502" s="64">
        <f>(Table_1[[#This Row],[PREÇO JUSTO BAZIN]]-Table_1[[#This Row],[PREÇO]])/Table_1[[#This Row],[PREÇO JUSTO BAZIN]]</f>
        <v/>
      </c>
      <c r="V502" s="129">
        <f>Table_1[[#This Row],[DPA]]/6%</f>
        <v/>
      </c>
      <c r="W502" s="129">
        <f>Table_1[[#This Row],[PREÇO JUSTO BAZIN]]/(1+Table_1[[#This Row],[MARGEM DE DESCONTO]])</f>
        <v/>
      </c>
      <c r="X502" s="64">
        <f>(Table_1[[#This Row],[PREÇO JUSTO GRAHAM]]-Table_1[[#This Row],[PREÇO]])/Table_1[[#This Row],[PREÇO JUSTO GRAHAM]]</f>
        <v/>
      </c>
      <c r="Y502" s="129">
        <f>(22.5*Table_1[[#This Row],[LPA]]*Table_1[[#This Row],[VPA]])^0.5</f>
        <v/>
      </c>
      <c r="Z502" s="129">
        <f>Table_1[[#This Row],[PREÇO JUSTO GRAHAM]]/(1+Table_1[[#This Row],[MARGEM DE DESCONTO]])</f>
        <v/>
      </c>
      <c r="AA502" s="64">
        <f>(Table_1[[#This Row],[PREÇO JUSTO GORDON]]-Table_1[[#This Row],[PREÇO]])/Table_1[[#This Row],[PREÇO JUSTO GORDON]]</f>
        <v/>
      </c>
      <c r="AB502" s="130">
        <f>Table_1[[#This Row],[DPA]]*(1+Table_1[[#This Row],[MÉDIA DE CRESCIMENTO]])</f>
        <v/>
      </c>
      <c r="AC502" s="130">
        <f>Table_1[[#This Row],[D1]]/(Table_1[[#This Row],[RISCO]]-Table_1[[#This Row],[MÉDIA DE CRESCIMENTO]])</f>
        <v/>
      </c>
      <c r="AD502" s="130">
        <f>Table_1[[#This Row],[PREÇO JUSTO GORDON]]/(1+Table_1[[#This Row],[MARGEM DE DESCONTO]])</f>
        <v/>
      </c>
      <c r="AE502" s="78">
        <f>Table_1[[#This Row],[P/L]]/Table_1[[#This Row],[MÉDIA DE CRESCIMENTO]]</f>
        <v/>
      </c>
    </row>
    <row r="503" ht="15.75" customHeight="1">
      <c r="B503" s="77">
        <f>'Dados Status Invest'!A489</f>
        <v/>
      </c>
      <c r="C503" s="60">
        <f>VLOOKUP(Table_1[[#This Row],[AÇÕES]],'Classificação B3'!A:B,2,0)</f>
        <v/>
      </c>
      <c r="D503" s="60">
        <f>VLOOKUP(Table_1[[#This Row],[AÇÕES]],'Classificação B3'!A:D,4,0)</f>
        <v/>
      </c>
      <c r="E503" s="60">
        <f>VLOOKUP(Table_1[[#This Row],[AÇÕES]],'Classificação B3'!A:F,6,0)</f>
        <v/>
      </c>
      <c r="F503" s="60">
        <f>VLOOKUP(Table_1[[#This Row],[AÇÕES]],'Classificação B3'!A:G,7,0)</f>
        <v/>
      </c>
      <c r="G503" s="61">
        <f>VLOOKUP(Table_1[[#This Row],[AÇÕES]],'Dados Status Invest'!A:B,2,0)</f>
        <v/>
      </c>
      <c r="H503" s="62">
        <f>VLOOKUP(Table_1[[#This Row],[AÇÕES]],'Dados Status Invest'!A:C,3,0)/100</f>
        <v/>
      </c>
      <c r="I503" s="62">
        <f>VLOOKUP(Table_1[[#This Row],[AÇÕES]],'Dados Status Invest'!A:D,4,0)/100</f>
        <v/>
      </c>
      <c r="J503" s="63">
        <f>VLOOKUP(Table_1[[#This Row],[AÇÕES]],'Dados Status Invest'!A:AB,28,0)</f>
        <v/>
      </c>
      <c r="K503" s="63">
        <f>VLOOKUP(Table_1[[#This Row],[AÇÕES]],'Dados Status Invest'!A:AA,27,0)</f>
        <v/>
      </c>
      <c r="L503" s="63">
        <f>Table_1[[#This Row],[PREÇO]]*Table_1[[#This Row],[DY]]</f>
        <v/>
      </c>
      <c r="M503" s="62">
        <f>$E$13</f>
        <v/>
      </c>
      <c r="N503" s="62" t="n">
        <v>0.3</v>
      </c>
      <c r="O503" s="62">
        <f>Table_1[[#This Row],[DPA]]/Table_1[[#This Row],[LPA]]</f>
        <v/>
      </c>
      <c r="P503" s="62">
        <f>IF(Table_1[[#This Row],[PAYOUT]]&lt;=40%,"CRESCIMENTO",IF(Table_1[[#This Row],[PAYOUT]]&lt;=60%,"INDEFINIDO","DIVIDENDOS"))</f>
        <v/>
      </c>
      <c r="Q503" s="62">
        <f>VLOOKUP(Table_1[[#This Row],[AÇÕES]],'Dados Status Invest'!A:R,18,0)/100</f>
        <v/>
      </c>
      <c r="R503" s="62">
        <f>VLOOKUP(Table_1[[#This Row],[AÇÕES]],'Dados Status Invest'!A:Y,25,0)/100</f>
        <v/>
      </c>
      <c r="S503" s="62">
        <f>(1-Table_1[[#This Row],[PAYOUT]])*Table_1[[#This Row],[ROE]]</f>
        <v/>
      </c>
      <c r="T503" s="98">
        <f>AVERAGE(Table_1[[#This Row],[CAGR LUCRO 5A]],Table_1[[#This Row],[CRESCIMENTO DAMODARAN]])</f>
        <v/>
      </c>
      <c r="U503" s="64">
        <f>(Table_1[[#This Row],[PREÇO JUSTO BAZIN]]-Table_1[[#This Row],[PREÇO]])/Table_1[[#This Row],[PREÇO JUSTO BAZIN]]</f>
        <v/>
      </c>
      <c r="V503" s="129">
        <f>Table_1[[#This Row],[DPA]]/6%</f>
        <v/>
      </c>
      <c r="W503" s="129">
        <f>Table_1[[#This Row],[PREÇO JUSTO BAZIN]]/(1+Table_1[[#This Row],[MARGEM DE DESCONTO]])</f>
        <v/>
      </c>
      <c r="X503" s="64">
        <f>(Table_1[[#This Row],[PREÇO JUSTO GRAHAM]]-Table_1[[#This Row],[PREÇO]])/Table_1[[#This Row],[PREÇO JUSTO GRAHAM]]</f>
        <v/>
      </c>
      <c r="Y503" s="129">
        <f>(22.5*Table_1[[#This Row],[LPA]]*Table_1[[#This Row],[VPA]])^0.5</f>
        <v/>
      </c>
      <c r="Z503" s="129">
        <f>Table_1[[#This Row],[PREÇO JUSTO GRAHAM]]/(1+Table_1[[#This Row],[MARGEM DE DESCONTO]])</f>
        <v/>
      </c>
      <c r="AA503" s="64">
        <f>(Table_1[[#This Row],[PREÇO JUSTO GORDON]]-Table_1[[#This Row],[PREÇO]])/Table_1[[#This Row],[PREÇO JUSTO GORDON]]</f>
        <v/>
      </c>
      <c r="AB503" s="130">
        <f>Table_1[[#This Row],[DPA]]*(1+Table_1[[#This Row],[MÉDIA DE CRESCIMENTO]])</f>
        <v/>
      </c>
      <c r="AC503" s="130">
        <f>Table_1[[#This Row],[D1]]/(Table_1[[#This Row],[RISCO]]-Table_1[[#This Row],[MÉDIA DE CRESCIMENTO]])</f>
        <v/>
      </c>
      <c r="AD503" s="130">
        <f>Table_1[[#This Row],[PREÇO JUSTO GORDON]]/(1+Table_1[[#This Row],[MARGEM DE DESCONTO]])</f>
        <v/>
      </c>
      <c r="AE503" s="78">
        <f>Table_1[[#This Row],[P/L]]/Table_1[[#This Row],[MÉDIA DE CRESCIMENTO]]</f>
        <v/>
      </c>
    </row>
    <row r="504" ht="15.75" customHeight="1">
      <c r="B504" s="77">
        <f>'Dados Status Invest'!A490</f>
        <v/>
      </c>
      <c r="C504" s="60">
        <f>VLOOKUP(Table_1[[#This Row],[AÇÕES]],'Classificação B3'!A:B,2,0)</f>
        <v/>
      </c>
      <c r="D504" s="60">
        <f>VLOOKUP(Table_1[[#This Row],[AÇÕES]],'Classificação B3'!A:D,4,0)</f>
        <v/>
      </c>
      <c r="E504" s="60">
        <f>VLOOKUP(Table_1[[#This Row],[AÇÕES]],'Classificação B3'!A:F,6,0)</f>
        <v/>
      </c>
      <c r="F504" s="60">
        <f>VLOOKUP(Table_1[[#This Row],[AÇÕES]],'Classificação B3'!A:G,7,0)</f>
        <v/>
      </c>
      <c r="G504" s="61">
        <f>VLOOKUP(Table_1[[#This Row],[AÇÕES]],'Dados Status Invest'!A:B,2,0)</f>
        <v/>
      </c>
      <c r="H504" s="62">
        <f>VLOOKUP(Table_1[[#This Row],[AÇÕES]],'Dados Status Invest'!A:C,3,0)/100</f>
        <v/>
      </c>
      <c r="I504" s="62">
        <f>VLOOKUP(Table_1[[#This Row],[AÇÕES]],'Dados Status Invest'!A:D,4,0)/100</f>
        <v/>
      </c>
      <c r="J504" s="63">
        <f>VLOOKUP(Table_1[[#This Row],[AÇÕES]],'Dados Status Invest'!A:AB,28,0)</f>
        <v/>
      </c>
      <c r="K504" s="63">
        <f>VLOOKUP(Table_1[[#This Row],[AÇÕES]],'Dados Status Invest'!A:AA,27,0)</f>
        <v/>
      </c>
      <c r="L504" s="63">
        <f>Table_1[[#This Row],[PREÇO]]*Table_1[[#This Row],[DY]]</f>
        <v/>
      </c>
      <c r="M504" s="62">
        <f>$E$13</f>
        <v/>
      </c>
      <c r="N504" s="62" t="n">
        <v>0.3</v>
      </c>
      <c r="O504" s="62">
        <f>Table_1[[#This Row],[DPA]]/Table_1[[#This Row],[LPA]]</f>
        <v/>
      </c>
      <c r="P504" s="62">
        <f>IF(Table_1[[#This Row],[PAYOUT]]&lt;=40%,"CRESCIMENTO",IF(Table_1[[#This Row],[PAYOUT]]&lt;=60%,"INDEFINIDO","DIVIDENDOS"))</f>
        <v/>
      </c>
      <c r="Q504" s="62">
        <f>VLOOKUP(Table_1[[#This Row],[AÇÕES]],'Dados Status Invest'!A:R,18,0)/100</f>
        <v/>
      </c>
      <c r="R504" s="62">
        <f>VLOOKUP(Table_1[[#This Row],[AÇÕES]],'Dados Status Invest'!A:Y,25,0)/100</f>
        <v/>
      </c>
      <c r="S504" s="62">
        <f>(1-Table_1[[#This Row],[PAYOUT]])*Table_1[[#This Row],[ROE]]</f>
        <v/>
      </c>
      <c r="T504" s="98">
        <f>AVERAGE(Table_1[[#This Row],[CAGR LUCRO 5A]],Table_1[[#This Row],[CRESCIMENTO DAMODARAN]])</f>
        <v/>
      </c>
      <c r="U504" s="64">
        <f>(Table_1[[#This Row],[PREÇO JUSTO BAZIN]]-Table_1[[#This Row],[PREÇO]])/Table_1[[#This Row],[PREÇO JUSTO BAZIN]]</f>
        <v/>
      </c>
      <c r="V504" s="129">
        <f>Table_1[[#This Row],[DPA]]/6%</f>
        <v/>
      </c>
      <c r="W504" s="129">
        <f>Table_1[[#This Row],[PREÇO JUSTO BAZIN]]/(1+Table_1[[#This Row],[MARGEM DE DESCONTO]])</f>
        <v/>
      </c>
      <c r="X504" s="64">
        <f>(Table_1[[#This Row],[PREÇO JUSTO GRAHAM]]-Table_1[[#This Row],[PREÇO]])/Table_1[[#This Row],[PREÇO JUSTO GRAHAM]]</f>
        <v/>
      </c>
      <c r="Y504" s="129">
        <f>(22.5*Table_1[[#This Row],[LPA]]*Table_1[[#This Row],[VPA]])^0.5</f>
        <v/>
      </c>
      <c r="Z504" s="129">
        <f>Table_1[[#This Row],[PREÇO JUSTO GRAHAM]]/(1+Table_1[[#This Row],[MARGEM DE DESCONTO]])</f>
        <v/>
      </c>
      <c r="AA504" s="64">
        <f>(Table_1[[#This Row],[PREÇO JUSTO GORDON]]-Table_1[[#This Row],[PREÇO]])/Table_1[[#This Row],[PREÇO JUSTO GORDON]]</f>
        <v/>
      </c>
      <c r="AB504" s="130">
        <f>Table_1[[#This Row],[DPA]]*(1+Table_1[[#This Row],[MÉDIA DE CRESCIMENTO]])</f>
        <v/>
      </c>
      <c r="AC504" s="130">
        <f>Table_1[[#This Row],[D1]]/(Table_1[[#This Row],[RISCO]]-Table_1[[#This Row],[MÉDIA DE CRESCIMENTO]])</f>
        <v/>
      </c>
      <c r="AD504" s="130">
        <f>Table_1[[#This Row],[PREÇO JUSTO GORDON]]/(1+Table_1[[#This Row],[MARGEM DE DESCONTO]])</f>
        <v/>
      </c>
      <c r="AE504" s="78">
        <f>Table_1[[#This Row],[P/L]]/Table_1[[#This Row],[MÉDIA DE CRESCIMENTO]]</f>
        <v/>
      </c>
    </row>
    <row r="505" ht="15.75" customHeight="1">
      <c r="B505" s="77">
        <f>'Dados Status Invest'!A491</f>
        <v/>
      </c>
      <c r="C505" s="60">
        <f>VLOOKUP(Table_1[[#This Row],[AÇÕES]],'Classificação B3'!A:B,2,0)</f>
        <v/>
      </c>
      <c r="D505" s="60">
        <f>VLOOKUP(Table_1[[#This Row],[AÇÕES]],'Classificação B3'!A:D,4,0)</f>
        <v/>
      </c>
      <c r="E505" s="60">
        <f>VLOOKUP(Table_1[[#This Row],[AÇÕES]],'Classificação B3'!A:F,6,0)</f>
        <v/>
      </c>
      <c r="F505" s="60">
        <f>VLOOKUP(Table_1[[#This Row],[AÇÕES]],'Classificação B3'!A:G,7,0)</f>
        <v/>
      </c>
      <c r="G505" s="61">
        <f>VLOOKUP(Table_1[[#This Row],[AÇÕES]],'Dados Status Invest'!A:B,2,0)</f>
        <v/>
      </c>
      <c r="H505" s="62">
        <f>VLOOKUP(Table_1[[#This Row],[AÇÕES]],'Dados Status Invest'!A:C,3,0)/100</f>
        <v/>
      </c>
      <c r="I505" s="62">
        <f>VLOOKUP(Table_1[[#This Row],[AÇÕES]],'Dados Status Invest'!A:D,4,0)/100</f>
        <v/>
      </c>
      <c r="J505" s="63">
        <f>VLOOKUP(Table_1[[#This Row],[AÇÕES]],'Dados Status Invest'!A:AB,28,0)</f>
        <v/>
      </c>
      <c r="K505" s="63">
        <f>VLOOKUP(Table_1[[#This Row],[AÇÕES]],'Dados Status Invest'!A:AA,27,0)</f>
        <v/>
      </c>
      <c r="L505" s="63">
        <f>Table_1[[#This Row],[PREÇO]]*Table_1[[#This Row],[DY]]</f>
        <v/>
      </c>
      <c r="M505" s="62">
        <f>$E$13</f>
        <v/>
      </c>
      <c r="N505" s="62" t="n">
        <v>0.3</v>
      </c>
      <c r="O505" s="62">
        <f>Table_1[[#This Row],[DPA]]/Table_1[[#This Row],[LPA]]</f>
        <v/>
      </c>
      <c r="P505" s="62">
        <f>IF(Table_1[[#This Row],[PAYOUT]]&lt;=40%,"CRESCIMENTO",IF(Table_1[[#This Row],[PAYOUT]]&lt;=60%,"INDEFINIDO","DIVIDENDOS"))</f>
        <v/>
      </c>
      <c r="Q505" s="62">
        <f>VLOOKUP(Table_1[[#This Row],[AÇÕES]],'Dados Status Invest'!A:R,18,0)/100</f>
        <v/>
      </c>
      <c r="R505" s="62">
        <f>VLOOKUP(Table_1[[#This Row],[AÇÕES]],'Dados Status Invest'!A:Y,25,0)/100</f>
        <v/>
      </c>
      <c r="S505" s="62">
        <f>(1-Table_1[[#This Row],[PAYOUT]])*Table_1[[#This Row],[ROE]]</f>
        <v/>
      </c>
      <c r="T505" s="98">
        <f>AVERAGE(Table_1[[#This Row],[CAGR LUCRO 5A]],Table_1[[#This Row],[CRESCIMENTO DAMODARAN]])</f>
        <v/>
      </c>
      <c r="U505" s="64">
        <f>(Table_1[[#This Row],[PREÇO JUSTO BAZIN]]-Table_1[[#This Row],[PREÇO]])/Table_1[[#This Row],[PREÇO JUSTO BAZIN]]</f>
        <v/>
      </c>
      <c r="V505" s="129">
        <f>Table_1[[#This Row],[DPA]]/6%</f>
        <v/>
      </c>
      <c r="W505" s="129">
        <f>Table_1[[#This Row],[PREÇO JUSTO BAZIN]]/(1+Table_1[[#This Row],[MARGEM DE DESCONTO]])</f>
        <v/>
      </c>
      <c r="X505" s="64">
        <f>(Table_1[[#This Row],[PREÇO JUSTO GRAHAM]]-Table_1[[#This Row],[PREÇO]])/Table_1[[#This Row],[PREÇO JUSTO GRAHAM]]</f>
        <v/>
      </c>
      <c r="Y505" s="129">
        <f>(22.5*Table_1[[#This Row],[LPA]]*Table_1[[#This Row],[VPA]])^0.5</f>
        <v/>
      </c>
      <c r="Z505" s="129">
        <f>Table_1[[#This Row],[PREÇO JUSTO GRAHAM]]/(1+Table_1[[#This Row],[MARGEM DE DESCONTO]])</f>
        <v/>
      </c>
      <c r="AA505" s="64">
        <f>(Table_1[[#This Row],[PREÇO JUSTO GORDON]]-Table_1[[#This Row],[PREÇO]])/Table_1[[#This Row],[PREÇO JUSTO GORDON]]</f>
        <v/>
      </c>
      <c r="AB505" s="130">
        <f>Table_1[[#This Row],[DPA]]*(1+Table_1[[#This Row],[MÉDIA DE CRESCIMENTO]])</f>
        <v/>
      </c>
      <c r="AC505" s="130">
        <f>Table_1[[#This Row],[D1]]/(Table_1[[#This Row],[RISCO]]-Table_1[[#This Row],[MÉDIA DE CRESCIMENTO]])</f>
        <v/>
      </c>
      <c r="AD505" s="130">
        <f>Table_1[[#This Row],[PREÇO JUSTO GORDON]]/(1+Table_1[[#This Row],[MARGEM DE DESCONTO]])</f>
        <v/>
      </c>
      <c r="AE505" s="78">
        <f>Table_1[[#This Row],[P/L]]/Table_1[[#This Row],[MÉDIA DE CRESCIMENTO]]</f>
        <v/>
      </c>
    </row>
    <row r="506" ht="15.75" customHeight="1">
      <c r="B506" s="77">
        <f>'Dados Status Invest'!A492</f>
        <v/>
      </c>
      <c r="C506" s="60">
        <f>VLOOKUP(Table_1[[#This Row],[AÇÕES]],'Classificação B3'!A:B,2,0)</f>
        <v/>
      </c>
      <c r="D506" s="60">
        <f>VLOOKUP(Table_1[[#This Row],[AÇÕES]],'Classificação B3'!A:D,4,0)</f>
        <v/>
      </c>
      <c r="E506" s="60">
        <f>VLOOKUP(Table_1[[#This Row],[AÇÕES]],'Classificação B3'!A:F,6,0)</f>
        <v/>
      </c>
      <c r="F506" s="60">
        <f>VLOOKUP(Table_1[[#This Row],[AÇÕES]],'Classificação B3'!A:G,7,0)</f>
        <v/>
      </c>
      <c r="G506" s="61">
        <f>VLOOKUP(Table_1[[#This Row],[AÇÕES]],'Dados Status Invest'!A:B,2,0)</f>
        <v/>
      </c>
      <c r="H506" s="62">
        <f>VLOOKUP(Table_1[[#This Row],[AÇÕES]],'Dados Status Invest'!A:C,3,0)/100</f>
        <v/>
      </c>
      <c r="I506" s="62">
        <f>VLOOKUP(Table_1[[#This Row],[AÇÕES]],'Dados Status Invest'!A:D,4,0)/100</f>
        <v/>
      </c>
      <c r="J506" s="63">
        <f>VLOOKUP(Table_1[[#This Row],[AÇÕES]],'Dados Status Invest'!A:AB,28,0)</f>
        <v/>
      </c>
      <c r="K506" s="63">
        <f>VLOOKUP(Table_1[[#This Row],[AÇÕES]],'Dados Status Invest'!A:AA,27,0)</f>
        <v/>
      </c>
      <c r="L506" s="63">
        <f>Table_1[[#This Row],[PREÇO]]*Table_1[[#This Row],[DY]]</f>
        <v/>
      </c>
      <c r="M506" s="62">
        <f>$E$13</f>
        <v/>
      </c>
      <c r="N506" s="62" t="n">
        <v>0.3</v>
      </c>
      <c r="O506" s="62">
        <f>Table_1[[#This Row],[DPA]]/Table_1[[#This Row],[LPA]]</f>
        <v/>
      </c>
      <c r="P506" s="62">
        <f>IF(Table_1[[#This Row],[PAYOUT]]&lt;=40%,"CRESCIMENTO",IF(Table_1[[#This Row],[PAYOUT]]&lt;=60%,"INDEFINIDO","DIVIDENDOS"))</f>
        <v/>
      </c>
      <c r="Q506" s="62">
        <f>VLOOKUP(Table_1[[#This Row],[AÇÕES]],'Dados Status Invest'!A:R,18,0)/100</f>
        <v/>
      </c>
      <c r="R506" s="62">
        <f>VLOOKUP(Table_1[[#This Row],[AÇÕES]],'Dados Status Invest'!A:Y,25,0)/100</f>
        <v/>
      </c>
      <c r="S506" s="62">
        <f>(1-Table_1[[#This Row],[PAYOUT]])*Table_1[[#This Row],[ROE]]</f>
        <v/>
      </c>
      <c r="T506" s="98">
        <f>AVERAGE(Table_1[[#This Row],[CAGR LUCRO 5A]],Table_1[[#This Row],[CRESCIMENTO DAMODARAN]])</f>
        <v/>
      </c>
      <c r="U506" s="64">
        <f>(Table_1[[#This Row],[PREÇO JUSTO BAZIN]]-Table_1[[#This Row],[PREÇO]])/Table_1[[#This Row],[PREÇO JUSTO BAZIN]]</f>
        <v/>
      </c>
      <c r="V506" s="129">
        <f>Table_1[[#This Row],[DPA]]/6%</f>
        <v/>
      </c>
      <c r="W506" s="129">
        <f>Table_1[[#This Row],[PREÇO JUSTO BAZIN]]/(1+Table_1[[#This Row],[MARGEM DE DESCONTO]])</f>
        <v/>
      </c>
      <c r="X506" s="64">
        <f>(Table_1[[#This Row],[PREÇO JUSTO GRAHAM]]-Table_1[[#This Row],[PREÇO]])/Table_1[[#This Row],[PREÇO JUSTO GRAHAM]]</f>
        <v/>
      </c>
      <c r="Y506" s="129">
        <f>(22.5*Table_1[[#This Row],[LPA]]*Table_1[[#This Row],[VPA]])^0.5</f>
        <v/>
      </c>
      <c r="Z506" s="129">
        <f>Table_1[[#This Row],[PREÇO JUSTO GRAHAM]]/(1+Table_1[[#This Row],[MARGEM DE DESCONTO]])</f>
        <v/>
      </c>
      <c r="AA506" s="64">
        <f>(Table_1[[#This Row],[PREÇO JUSTO GORDON]]-Table_1[[#This Row],[PREÇO]])/Table_1[[#This Row],[PREÇO JUSTO GORDON]]</f>
        <v/>
      </c>
      <c r="AB506" s="130">
        <f>Table_1[[#This Row],[DPA]]*(1+Table_1[[#This Row],[MÉDIA DE CRESCIMENTO]])</f>
        <v/>
      </c>
      <c r="AC506" s="130">
        <f>Table_1[[#This Row],[D1]]/(Table_1[[#This Row],[RISCO]]-Table_1[[#This Row],[MÉDIA DE CRESCIMENTO]])</f>
        <v/>
      </c>
      <c r="AD506" s="130">
        <f>Table_1[[#This Row],[PREÇO JUSTO GORDON]]/(1+Table_1[[#This Row],[MARGEM DE DESCONTO]])</f>
        <v/>
      </c>
      <c r="AE506" s="78">
        <f>Table_1[[#This Row],[P/L]]/Table_1[[#This Row],[MÉDIA DE CRESCIMENTO]]</f>
        <v/>
      </c>
    </row>
    <row r="507" ht="15.75" customHeight="1">
      <c r="B507" s="77">
        <f>'Dados Status Invest'!A493</f>
        <v/>
      </c>
      <c r="C507" s="60">
        <f>VLOOKUP(Table_1[[#This Row],[AÇÕES]],'Classificação B3'!A:B,2,0)</f>
        <v/>
      </c>
      <c r="D507" s="60">
        <f>VLOOKUP(Table_1[[#This Row],[AÇÕES]],'Classificação B3'!A:D,4,0)</f>
        <v/>
      </c>
      <c r="E507" s="60">
        <f>VLOOKUP(Table_1[[#This Row],[AÇÕES]],'Classificação B3'!A:F,6,0)</f>
        <v/>
      </c>
      <c r="F507" s="60">
        <f>VLOOKUP(Table_1[[#This Row],[AÇÕES]],'Classificação B3'!A:G,7,0)</f>
        <v/>
      </c>
      <c r="G507" s="61">
        <f>VLOOKUP(Table_1[[#This Row],[AÇÕES]],'Dados Status Invest'!A:B,2,0)</f>
        <v/>
      </c>
      <c r="H507" s="62">
        <f>VLOOKUP(Table_1[[#This Row],[AÇÕES]],'Dados Status Invest'!A:C,3,0)/100</f>
        <v/>
      </c>
      <c r="I507" s="62">
        <f>VLOOKUP(Table_1[[#This Row],[AÇÕES]],'Dados Status Invest'!A:D,4,0)/100</f>
        <v/>
      </c>
      <c r="J507" s="63">
        <f>VLOOKUP(Table_1[[#This Row],[AÇÕES]],'Dados Status Invest'!A:AB,28,0)</f>
        <v/>
      </c>
      <c r="K507" s="63">
        <f>VLOOKUP(Table_1[[#This Row],[AÇÕES]],'Dados Status Invest'!A:AA,27,0)</f>
        <v/>
      </c>
      <c r="L507" s="63">
        <f>Table_1[[#This Row],[PREÇO]]*Table_1[[#This Row],[DY]]</f>
        <v/>
      </c>
      <c r="M507" s="62">
        <f>$E$13</f>
        <v/>
      </c>
      <c r="N507" s="62" t="n">
        <v>0.3</v>
      </c>
      <c r="O507" s="62">
        <f>Table_1[[#This Row],[DPA]]/Table_1[[#This Row],[LPA]]</f>
        <v/>
      </c>
      <c r="P507" s="62">
        <f>IF(Table_1[[#This Row],[PAYOUT]]&lt;=40%,"CRESCIMENTO",IF(Table_1[[#This Row],[PAYOUT]]&lt;=60%,"INDEFINIDO","DIVIDENDOS"))</f>
        <v/>
      </c>
      <c r="Q507" s="62">
        <f>VLOOKUP(Table_1[[#This Row],[AÇÕES]],'Dados Status Invest'!A:R,18,0)/100</f>
        <v/>
      </c>
      <c r="R507" s="62">
        <f>VLOOKUP(Table_1[[#This Row],[AÇÕES]],'Dados Status Invest'!A:Y,25,0)/100</f>
        <v/>
      </c>
      <c r="S507" s="62">
        <f>(1-Table_1[[#This Row],[PAYOUT]])*Table_1[[#This Row],[ROE]]</f>
        <v/>
      </c>
      <c r="T507" s="98">
        <f>AVERAGE(Table_1[[#This Row],[CAGR LUCRO 5A]],Table_1[[#This Row],[CRESCIMENTO DAMODARAN]])</f>
        <v/>
      </c>
      <c r="U507" s="64">
        <f>(Table_1[[#This Row],[PREÇO JUSTO BAZIN]]-Table_1[[#This Row],[PREÇO]])/Table_1[[#This Row],[PREÇO JUSTO BAZIN]]</f>
        <v/>
      </c>
      <c r="V507" s="129">
        <f>Table_1[[#This Row],[DPA]]/6%</f>
        <v/>
      </c>
      <c r="W507" s="129">
        <f>Table_1[[#This Row],[PREÇO JUSTO BAZIN]]/(1+Table_1[[#This Row],[MARGEM DE DESCONTO]])</f>
        <v/>
      </c>
      <c r="X507" s="64">
        <f>(Table_1[[#This Row],[PREÇO JUSTO GRAHAM]]-Table_1[[#This Row],[PREÇO]])/Table_1[[#This Row],[PREÇO JUSTO GRAHAM]]</f>
        <v/>
      </c>
      <c r="Y507" s="129">
        <f>(22.5*Table_1[[#This Row],[LPA]]*Table_1[[#This Row],[VPA]])^0.5</f>
        <v/>
      </c>
      <c r="Z507" s="129">
        <f>Table_1[[#This Row],[PREÇO JUSTO GRAHAM]]/(1+Table_1[[#This Row],[MARGEM DE DESCONTO]])</f>
        <v/>
      </c>
      <c r="AA507" s="64">
        <f>(Table_1[[#This Row],[PREÇO JUSTO GORDON]]-Table_1[[#This Row],[PREÇO]])/Table_1[[#This Row],[PREÇO JUSTO GORDON]]</f>
        <v/>
      </c>
      <c r="AB507" s="130">
        <f>Table_1[[#This Row],[DPA]]*(1+Table_1[[#This Row],[MÉDIA DE CRESCIMENTO]])</f>
        <v/>
      </c>
      <c r="AC507" s="130">
        <f>Table_1[[#This Row],[D1]]/(Table_1[[#This Row],[RISCO]]-Table_1[[#This Row],[MÉDIA DE CRESCIMENTO]])</f>
        <v/>
      </c>
      <c r="AD507" s="130">
        <f>Table_1[[#This Row],[PREÇO JUSTO GORDON]]/(1+Table_1[[#This Row],[MARGEM DE DESCONTO]])</f>
        <v/>
      </c>
      <c r="AE507" s="78">
        <f>Table_1[[#This Row],[P/L]]/Table_1[[#This Row],[MÉDIA DE CRESCIMENTO]]</f>
        <v/>
      </c>
    </row>
    <row r="508" ht="15.75" customHeight="1">
      <c r="B508" s="77">
        <f>'Dados Status Invest'!A494</f>
        <v/>
      </c>
      <c r="C508" s="60">
        <f>VLOOKUP(Table_1[[#This Row],[AÇÕES]],'Classificação B3'!A:B,2,0)</f>
        <v/>
      </c>
      <c r="D508" s="60">
        <f>VLOOKUP(Table_1[[#This Row],[AÇÕES]],'Classificação B3'!A:D,4,0)</f>
        <v/>
      </c>
      <c r="E508" s="60">
        <f>VLOOKUP(Table_1[[#This Row],[AÇÕES]],'Classificação B3'!A:F,6,0)</f>
        <v/>
      </c>
      <c r="F508" s="60">
        <f>VLOOKUP(Table_1[[#This Row],[AÇÕES]],'Classificação B3'!A:G,7,0)</f>
        <v/>
      </c>
      <c r="G508" s="61">
        <f>VLOOKUP(Table_1[[#This Row],[AÇÕES]],'Dados Status Invest'!A:B,2,0)</f>
        <v/>
      </c>
      <c r="H508" s="62">
        <f>VLOOKUP(Table_1[[#This Row],[AÇÕES]],'Dados Status Invest'!A:C,3,0)/100</f>
        <v/>
      </c>
      <c r="I508" s="62">
        <f>VLOOKUP(Table_1[[#This Row],[AÇÕES]],'Dados Status Invest'!A:D,4,0)/100</f>
        <v/>
      </c>
      <c r="J508" s="63">
        <f>VLOOKUP(Table_1[[#This Row],[AÇÕES]],'Dados Status Invest'!A:AB,28,0)</f>
        <v/>
      </c>
      <c r="K508" s="63">
        <f>VLOOKUP(Table_1[[#This Row],[AÇÕES]],'Dados Status Invest'!A:AA,27,0)</f>
        <v/>
      </c>
      <c r="L508" s="63">
        <f>Table_1[[#This Row],[PREÇO]]*Table_1[[#This Row],[DY]]</f>
        <v/>
      </c>
      <c r="M508" s="62">
        <f>$E$13</f>
        <v/>
      </c>
      <c r="N508" s="62" t="n">
        <v>0.3</v>
      </c>
      <c r="O508" s="62">
        <f>Table_1[[#This Row],[DPA]]/Table_1[[#This Row],[LPA]]</f>
        <v/>
      </c>
      <c r="P508" s="62">
        <f>IF(Table_1[[#This Row],[PAYOUT]]&lt;=40%,"CRESCIMENTO",IF(Table_1[[#This Row],[PAYOUT]]&lt;=60%,"INDEFINIDO","DIVIDENDOS"))</f>
        <v/>
      </c>
      <c r="Q508" s="62">
        <f>VLOOKUP(Table_1[[#This Row],[AÇÕES]],'Dados Status Invest'!A:R,18,0)/100</f>
        <v/>
      </c>
      <c r="R508" s="62">
        <f>VLOOKUP(Table_1[[#This Row],[AÇÕES]],'Dados Status Invest'!A:Y,25,0)/100</f>
        <v/>
      </c>
      <c r="S508" s="62">
        <f>(1-Table_1[[#This Row],[PAYOUT]])*Table_1[[#This Row],[ROE]]</f>
        <v/>
      </c>
      <c r="T508" s="98">
        <f>AVERAGE(Table_1[[#This Row],[CAGR LUCRO 5A]],Table_1[[#This Row],[CRESCIMENTO DAMODARAN]])</f>
        <v/>
      </c>
      <c r="U508" s="64">
        <f>(Table_1[[#This Row],[PREÇO JUSTO BAZIN]]-Table_1[[#This Row],[PREÇO]])/Table_1[[#This Row],[PREÇO JUSTO BAZIN]]</f>
        <v/>
      </c>
      <c r="V508" s="129">
        <f>Table_1[[#This Row],[DPA]]/6%</f>
        <v/>
      </c>
      <c r="W508" s="129">
        <f>Table_1[[#This Row],[PREÇO JUSTO BAZIN]]/(1+Table_1[[#This Row],[MARGEM DE DESCONTO]])</f>
        <v/>
      </c>
      <c r="X508" s="64">
        <f>(Table_1[[#This Row],[PREÇO JUSTO GRAHAM]]-Table_1[[#This Row],[PREÇO]])/Table_1[[#This Row],[PREÇO JUSTO GRAHAM]]</f>
        <v/>
      </c>
      <c r="Y508" s="129">
        <f>(22.5*Table_1[[#This Row],[LPA]]*Table_1[[#This Row],[VPA]])^0.5</f>
        <v/>
      </c>
      <c r="Z508" s="129">
        <f>Table_1[[#This Row],[PREÇO JUSTO GRAHAM]]/(1+Table_1[[#This Row],[MARGEM DE DESCONTO]])</f>
        <v/>
      </c>
      <c r="AA508" s="64">
        <f>(Table_1[[#This Row],[PREÇO JUSTO GORDON]]-Table_1[[#This Row],[PREÇO]])/Table_1[[#This Row],[PREÇO JUSTO GORDON]]</f>
        <v/>
      </c>
      <c r="AB508" s="130">
        <f>Table_1[[#This Row],[DPA]]*(1+Table_1[[#This Row],[MÉDIA DE CRESCIMENTO]])</f>
        <v/>
      </c>
      <c r="AC508" s="130">
        <f>Table_1[[#This Row],[D1]]/(Table_1[[#This Row],[RISCO]]-Table_1[[#This Row],[MÉDIA DE CRESCIMENTO]])</f>
        <v/>
      </c>
      <c r="AD508" s="130">
        <f>Table_1[[#This Row],[PREÇO JUSTO GORDON]]/(1+Table_1[[#This Row],[MARGEM DE DESCONTO]])</f>
        <v/>
      </c>
      <c r="AE508" s="78">
        <f>Table_1[[#This Row],[P/L]]/Table_1[[#This Row],[MÉDIA DE CRESCIMENTO]]</f>
        <v/>
      </c>
    </row>
    <row r="509" ht="15.75" customHeight="1">
      <c r="B509" s="77">
        <f>'Dados Status Invest'!A495</f>
        <v/>
      </c>
      <c r="C509" s="60">
        <f>VLOOKUP(Table_1[[#This Row],[AÇÕES]],'Classificação B3'!A:B,2,0)</f>
        <v/>
      </c>
      <c r="D509" s="60">
        <f>VLOOKUP(Table_1[[#This Row],[AÇÕES]],'Classificação B3'!A:D,4,0)</f>
        <v/>
      </c>
      <c r="E509" s="60">
        <f>VLOOKUP(Table_1[[#This Row],[AÇÕES]],'Classificação B3'!A:F,6,0)</f>
        <v/>
      </c>
      <c r="F509" s="60">
        <f>VLOOKUP(Table_1[[#This Row],[AÇÕES]],'Classificação B3'!A:G,7,0)</f>
        <v/>
      </c>
      <c r="G509" s="61">
        <f>VLOOKUP(Table_1[[#This Row],[AÇÕES]],'Dados Status Invest'!A:B,2,0)</f>
        <v/>
      </c>
      <c r="H509" s="62">
        <f>VLOOKUP(Table_1[[#This Row],[AÇÕES]],'Dados Status Invest'!A:C,3,0)/100</f>
        <v/>
      </c>
      <c r="I509" s="62">
        <f>VLOOKUP(Table_1[[#This Row],[AÇÕES]],'Dados Status Invest'!A:D,4,0)/100</f>
        <v/>
      </c>
      <c r="J509" s="63">
        <f>VLOOKUP(Table_1[[#This Row],[AÇÕES]],'Dados Status Invest'!A:AB,28,0)</f>
        <v/>
      </c>
      <c r="K509" s="63">
        <f>VLOOKUP(Table_1[[#This Row],[AÇÕES]],'Dados Status Invest'!A:AA,27,0)</f>
        <v/>
      </c>
      <c r="L509" s="63">
        <f>Table_1[[#This Row],[PREÇO]]*Table_1[[#This Row],[DY]]</f>
        <v/>
      </c>
      <c r="M509" s="62">
        <f>$E$13</f>
        <v/>
      </c>
      <c r="N509" s="62" t="n">
        <v>0.3</v>
      </c>
      <c r="O509" s="62">
        <f>Table_1[[#This Row],[DPA]]/Table_1[[#This Row],[LPA]]</f>
        <v/>
      </c>
      <c r="P509" s="62">
        <f>IF(Table_1[[#This Row],[PAYOUT]]&lt;=40%,"CRESCIMENTO",IF(Table_1[[#This Row],[PAYOUT]]&lt;=60%,"INDEFINIDO","DIVIDENDOS"))</f>
        <v/>
      </c>
      <c r="Q509" s="62">
        <f>VLOOKUP(Table_1[[#This Row],[AÇÕES]],'Dados Status Invest'!A:R,18,0)/100</f>
        <v/>
      </c>
      <c r="R509" s="62">
        <f>VLOOKUP(Table_1[[#This Row],[AÇÕES]],'Dados Status Invest'!A:Y,25,0)/100</f>
        <v/>
      </c>
      <c r="S509" s="62">
        <f>(1-Table_1[[#This Row],[PAYOUT]])*Table_1[[#This Row],[ROE]]</f>
        <v/>
      </c>
      <c r="T509" s="98">
        <f>AVERAGE(Table_1[[#This Row],[CAGR LUCRO 5A]],Table_1[[#This Row],[CRESCIMENTO DAMODARAN]])</f>
        <v/>
      </c>
      <c r="U509" s="64">
        <f>(Table_1[[#This Row],[PREÇO JUSTO BAZIN]]-Table_1[[#This Row],[PREÇO]])/Table_1[[#This Row],[PREÇO JUSTO BAZIN]]</f>
        <v/>
      </c>
      <c r="V509" s="129">
        <f>Table_1[[#This Row],[DPA]]/6%</f>
        <v/>
      </c>
      <c r="W509" s="129">
        <f>Table_1[[#This Row],[PREÇO JUSTO BAZIN]]/(1+Table_1[[#This Row],[MARGEM DE DESCONTO]])</f>
        <v/>
      </c>
      <c r="X509" s="64">
        <f>(Table_1[[#This Row],[PREÇO JUSTO GRAHAM]]-Table_1[[#This Row],[PREÇO]])/Table_1[[#This Row],[PREÇO JUSTO GRAHAM]]</f>
        <v/>
      </c>
      <c r="Y509" s="129">
        <f>(22.5*Table_1[[#This Row],[LPA]]*Table_1[[#This Row],[VPA]])^0.5</f>
        <v/>
      </c>
      <c r="Z509" s="129">
        <f>Table_1[[#This Row],[PREÇO JUSTO GRAHAM]]/(1+Table_1[[#This Row],[MARGEM DE DESCONTO]])</f>
        <v/>
      </c>
      <c r="AA509" s="64">
        <f>(Table_1[[#This Row],[PREÇO JUSTO GORDON]]-Table_1[[#This Row],[PREÇO]])/Table_1[[#This Row],[PREÇO JUSTO GORDON]]</f>
        <v/>
      </c>
      <c r="AB509" s="130">
        <f>Table_1[[#This Row],[DPA]]*(1+Table_1[[#This Row],[MÉDIA DE CRESCIMENTO]])</f>
        <v/>
      </c>
      <c r="AC509" s="130">
        <f>Table_1[[#This Row],[D1]]/(Table_1[[#This Row],[RISCO]]-Table_1[[#This Row],[MÉDIA DE CRESCIMENTO]])</f>
        <v/>
      </c>
      <c r="AD509" s="130">
        <f>Table_1[[#This Row],[PREÇO JUSTO GORDON]]/(1+Table_1[[#This Row],[MARGEM DE DESCONTO]])</f>
        <v/>
      </c>
      <c r="AE509" s="78">
        <f>Table_1[[#This Row],[P/L]]/Table_1[[#This Row],[MÉDIA DE CRESCIMENTO]]</f>
        <v/>
      </c>
    </row>
    <row r="510" ht="15.75" customHeight="1">
      <c r="B510" s="77">
        <f>'Dados Status Invest'!A496</f>
        <v/>
      </c>
      <c r="C510" s="60">
        <f>VLOOKUP(Table_1[[#This Row],[AÇÕES]],'Classificação B3'!A:B,2,0)</f>
        <v/>
      </c>
      <c r="D510" s="60">
        <f>VLOOKUP(Table_1[[#This Row],[AÇÕES]],'Classificação B3'!A:D,4,0)</f>
        <v/>
      </c>
      <c r="E510" s="60">
        <f>VLOOKUP(Table_1[[#This Row],[AÇÕES]],'Classificação B3'!A:F,6,0)</f>
        <v/>
      </c>
      <c r="F510" s="60">
        <f>VLOOKUP(Table_1[[#This Row],[AÇÕES]],'Classificação B3'!A:G,7,0)</f>
        <v/>
      </c>
      <c r="G510" s="61">
        <f>VLOOKUP(Table_1[[#This Row],[AÇÕES]],'Dados Status Invest'!A:B,2,0)</f>
        <v/>
      </c>
      <c r="H510" s="62">
        <f>VLOOKUP(Table_1[[#This Row],[AÇÕES]],'Dados Status Invest'!A:C,3,0)/100</f>
        <v/>
      </c>
      <c r="I510" s="62">
        <f>VLOOKUP(Table_1[[#This Row],[AÇÕES]],'Dados Status Invest'!A:D,4,0)/100</f>
        <v/>
      </c>
      <c r="J510" s="63">
        <f>VLOOKUP(Table_1[[#This Row],[AÇÕES]],'Dados Status Invest'!A:AB,28,0)</f>
        <v/>
      </c>
      <c r="K510" s="63">
        <f>VLOOKUP(Table_1[[#This Row],[AÇÕES]],'Dados Status Invest'!A:AA,27,0)</f>
        <v/>
      </c>
      <c r="L510" s="63">
        <f>Table_1[[#This Row],[PREÇO]]*Table_1[[#This Row],[DY]]</f>
        <v/>
      </c>
      <c r="M510" s="62">
        <f>$E$13</f>
        <v/>
      </c>
      <c r="N510" s="62" t="n">
        <v>0.3</v>
      </c>
      <c r="O510" s="62">
        <f>Table_1[[#This Row],[DPA]]/Table_1[[#This Row],[LPA]]</f>
        <v/>
      </c>
      <c r="P510" s="62">
        <f>IF(Table_1[[#This Row],[PAYOUT]]&lt;=40%,"CRESCIMENTO",IF(Table_1[[#This Row],[PAYOUT]]&lt;=60%,"INDEFINIDO","DIVIDENDOS"))</f>
        <v/>
      </c>
      <c r="Q510" s="62">
        <f>VLOOKUP(Table_1[[#This Row],[AÇÕES]],'Dados Status Invest'!A:R,18,0)/100</f>
        <v/>
      </c>
      <c r="R510" s="62">
        <f>VLOOKUP(Table_1[[#This Row],[AÇÕES]],'Dados Status Invest'!A:Y,25,0)/100</f>
        <v/>
      </c>
      <c r="S510" s="62">
        <f>(1-Table_1[[#This Row],[PAYOUT]])*Table_1[[#This Row],[ROE]]</f>
        <v/>
      </c>
      <c r="T510" s="98">
        <f>AVERAGE(Table_1[[#This Row],[CAGR LUCRO 5A]],Table_1[[#This Row],[CRESCIMENTO DAMODARAN]])</f>
        <v/>
      </c>
      <c r="U510" s="64">
        <f>(Table_1[[#This Row],[PREÇO JUSTO BAZIN]]-Table_1[[#This Row],[PREÇO]])/Table_1[[#This Row],[PREÇO JUSTO BAZIN]]</f>
        <v/>
      </c>
      <c r="V510" s="129">
        <f>Table_1[[#This Row],[DPA]]/6%</f>
        <v/>
      </c>
      <c r="W510" s="129">
        <f>Table_1[[#This Row],[PREÇO JUSTO BAZIN]]/(1+Table_1[[#This Row],[MARGEM DE DESCONTO]])</f>
        <v/>
      </c>
      <c r="X510" s="64">
        <f>(Table_1[[#This Row],[PREÇO JUSTO GRAHAM]]-Table_1[[#This Row],[PREÇO]])/Table_1[[#This Row],[PREÇO JUSTO GRAHAM]]</f>
        <v/>
      </c>
      <c r="Y510" s="129">
        <f>(22.5*Table_1[[#This Row],[LPA]]*Table_1[[#This Row],[VPA]])^0.5</f>
        <v/>
      </c>
      <c r="Z510" s="129">
        <f>Table_1[[#This Row],[PREÇO JUSTO GRAHAM]]/(1+Table_1[[#This Row],[MARGEM DE DESCONTO]])</f>
        <v/>
      </c>
      <c r="AA510" s="64">
        <f>(Table_1[[#This Row],[PREÇO JUSTO GORDON]]-Table_1[[#This Row],[PREÇO]])/Table_1[[#This Row],[PREÇO JUSTO GORDON]]</f>
        <v/>
      </c>
      <c r="AB510" s="130">
        <f>Table_1[[#This Row],[DPA]]*(1+Table_1[[#This Row],[MÉDIA DE CRESCIMENTO]])</f>
        <v/>
      </c>
      <c r="AC510" s="130">
        <f>Table_1[[#This Row],[D1]]/(Table_1[[#This Row],[RISCO]]-Table_1[[#This Row],[MÉDIA DE CRESCIMENTO]])</f>
        <v/>
      </c>
      <c r="AD510" s="130">
        <f>Table_1[[#This Row],[PREÇO JUSTO GORDON]]/(1+Table_1[[#This Row],[MARGEM DE DESCONTO]])</f>
        <v/>
      </c>
      <c r="AE510" s="78">
        <f>Table_1[[#This Row],[P/L]]/Table_1[[#This Row],[MÉDIA DE CRESCIMENTO]]</f>
        <v/>
      </c>
    </row>
    <row r="511" ht="15.75" customHeight="1">
      <c r="B511" s="77">
        <f>'Dados Status Invest'!A497</f>
        <v/>
      </c>
      <c r="C511" s="60">
        <f>VLOOKUP(Table_1[[#This Row],[AÇÕES]],'Classificação B3'!A:B,2,0)</f>
        <v/>
      </c>
      <c r="D511" s="60">
        <f>VLOOKUP(Table_1[[#This Row],[AÇÕES]],'Classificação B3'!A:D,4,0)</f>
        <v/>
      </c>
      <c r="E511" s="60">
        <f>VLOOKUP(Table_1[[#This Row],[AÇÕES]],'Classificação B3'!A:F,6,0)</f>
        <v/>
      </c>
      <c r="F511" s="60">
        <f>VLOOKUP(Table_1[[#This Row],[AÇÕES]],'Classificação B3'!A:G,7,0)</f>
        <v/>
      </c>
      <c r="G511" s="61">
        <f>VLOOKUP(Table_1[[#This Row],[AÇÕES]],'Dados Status Invest'!A:B,2,0)</f>
        <v/>
      </c>
      <c r="H511" s="62">
        <f>VLOOKUP(Table_1[[#This Row],[AÇÕES]],'Dados Status Invest'!A:C,3,0)/100</f>
        <v/>
      </c>
      <c r="I511" s="62">
        <f>VLOOKUP(Table_1[[#This Row],[AÇÕES]],'Dados Status Invest'!A:D,4,0)/100</f>
        <v/>
      </c>
      <c r="J511" s="63">
        <f>VLOOKUP(Table_1[[#This Row],[AÇÕES]],'Dados Status Invest'!A:AB,28,0)</f>
        <v/>
      </c>
      <c r="K511" s="63">
        <f>VLOOKUP(Table_1[[#This Row],[AÇÕES]],'Dados Status Invest'!A:AA,27,0)</f>
        <v/>
      </c>
      <c r="L511" s="63">
        <f>Table_1[[#This Row],[PREÇO]]*Table_1[[#This Row],[DY]]</f>
        <v/>
      </c>
      <c r="M511" s="62">
        <f>$E$13</f>
        <v/>
      </c>
      <c r="N511" s="62" t="n">
        <v>0.3</v>
      </c>
      <c r="O511" s="62">
        <f>Table_1[[#This Row],[DPA]]/Table_1[[#This Row],[LPA]]</f>
        <v/>
      </c>
      <c r="P511" s="62">
        <f>IF(Table_1[[#This Row],[PAYOUT]]&lt;=40%,"CRESCIMENTO",IF(Table_1[[#This Row],[PAYOUT]]&lt;=60%,"INDEFINIDO","DIVIDENDOS"))</f>
        <v/>
      </c>
      <c r="Q511" s="62">
        <f>VLOOKUP(Table_1[[#This Row],[AÇÕES]],'Dados Status Invest'!A:R,18,0)/100</f>
        <v/>
      </c>
      <c r="R511" s="62">
        <f>VLOOKUP(Table_1[[#This Row],[AÇÕES]],'Dados Status Invest'!A:Y,25,0)/100</f>
        <v/>
      </c>
      <c r="S511" s="62">
        <f>(1-Table_1[[#This Row],[PAYOUT]])*Table_1[[#This Row],[ROE]]</f>
        <v/>
      </c>
      <c r="T511" s="98">
        <f>AVERAGE(Table_1[[#This Row],[CAGR LUCRO 5A]],Table_1[[#This Row],[CRESCIMENTO DAMODARAN]])</f>
        <v/>
      </c>
      <c r="U511" s="64">
        <f>(Table_1[[#This Row],[PREÇO JUSTO BAZIN]]-Table_1[[#This Row],[PREÇO]])/Table_1[[#This Row],[PREÇO JUSTO BAZIN]]</f>
        <v/>
      </c>
      <c r="V511" s="129">
        <f>Table_1[[#This Row],[DPA]]/6%</f>
        <v/>
      </c>
      <c r="W511" s="129">
        <f>Table_1[[#This Row],[PREÇO JUSTO BAZIN]]/(1+Table_1[[#This Row],[MARGEM DE DESCONTO]])</f>
        <v/>
      </c>
      <c r="X511" s="64">
        <f>(Table_1[[#This Row],[PREÇO JUSTO GRAHAM]]-Table_1[[#This Row],[PREÇO]])/Table_1[[#This Row],[PREÇO JUSTO GRAHAM]]</f>
        <v/>
      </c>
      <c r="Y511" s="129">
        <f>(22.5*Table_1[[#This Row],[LPA]]*Table_1[[#This Row],[VPA]])^0.5</f>
        <v/>
      </c>
      <c r="Z511" s="129">
        <f>Table_1[[#This Row],[PREÇO JUSTO GRAHAM]]/(1+Table_1[[#This Row],[MARGEM DE DESCONTO]])</f>
        <v/>
      </c>
      <c r="AA511" s="64">
        <f>(Table_1[[#This Row],[PREÇO JUSTO GORDON]]-Table_1[[#This Row],[PREÇO]])/Table_1[[#This Row],[PREÇO JUSTO GORDON]]</f>
        <v/>
      </c>
      <c r="AB511" s="130">
        <f>Table_1[[#This Row],[DPA]]*(1+Table_1[[#This Row],[MÉDIA DE CRESCIMENTO]])</f>
        <v/>
      </c>
      <c r="AC511" s="130">
        <f>Table_1[[#This Row],[D1]]/(Table_1[[#This Row],[RISCO]]-Table_1[[#This Row],[MÉDIA DE CRESCIMENTO]])</f>
        <v/>
      </c>
      <c r="AD511" s="130">
        <f>Table_1[[#This Row],[PREÇO JUSTO GORDON]]/(1+Table_1[[#This Row],[MARGEM DE DESCONTO]])</f>
        <v/>
      </c>
      <c r="AE511" s="78">
        <f>Table_1[[#This Row],[P/L]]/Table_1[[#This Row],[MÉDIA DE CRESCIMENTO]]</f>
        <v/>
      </c>
    </row>
    <row r="512" ht="15.75" customHeight="1">
      <c r="B512" s="77">
        <f>'Dados Status Invest'!A498</f>
        <v/>
      </c>
      <c r="C512" s="60">
        <f>VLOOKUP(Table_1[[#This Row],[AÇÕES]],'Classificação B3'!A:B,2,0)</f>
        <v/>
      </c>
      <c r="D512" s="60">
        <f>VLOOKUP(Table_1[[#This Row],[AÇÕES]],'Classificação B3'!A:D,4,0)</f>
        <v/>
      </c>
      <c r="E512" s="60">
        <f>VLOOKUP(Table_1[[#This Row],[AÇÕES]],'Classificação B3'!A:F,6,0)</f>
        <v/>
      </c>
      <c r="F512" s="60">
        <f>VLOOKUP(Table_1[[#This Row],[AÇÕES]],'Classificação B3'!A:G,7,0)</f>
        <v/>
      </c>
      <c r="G512" s="61">
        <f>VLOOKUP(Table_1[[#This Row],[AÇÕES]],'Dados Status Invest'!A:B,2,0)</f>
        <v/>
      </c>
      <c r="H512" s="62">
        <f>VLOOKUP(Table_1[[#This Row],[AÇÕES]],'Dados Status Invest'!A:C,3,0)/100</f>
        <v/>
      </c>
      <c r="I512" s="62">
        <f>VLOOKUP(Table_1[[#This Row],[AÇÕES]],'Dados Status Invest'!A:D,4,0)/100</f>
        <v/>
      </c>
      <c r="J512" s="63">
        <f>VLOOKUP(Table_1[[#This Row],[AÇÕES]],'Dados Status Invest'!A:AB,28,0)</f>
        <v/>
      </c>
      <c r="K512" s="63">
        <f>VLOOKUP(Table_1[[#This Row],[AÇÕES]],'Dados Status Invest'!A:AA,27,0)</f>
        <v/>
      </c>
      <c r="L512" s="63">
        <f>Table_1[[#This Row],[PREÇO]]*Table_1[[#This Row],[DY]]</f>
        <v/>
      </c>
      <c r="M512" s="62">
        <f>$E$13</f>
        <v/>
      </c>
      <c r="N512" s="62" t="n">
        <v>0.3</v>
      </c>
      <c r="O512" s="62">
        <f>Table_1[[#This Row],[DPA]]/Table_1[[#This Row],[LPA]]</f>
        <v/>
      </c>
      <c r="P512" s="62">
        <f>IF(Table_1[[#This Row],[PAYOUT]]&lt;=40%,"CRESCIMENTO",IF(Table_1[[#This Row],[PAYOUT]]&lt;=60%,"INDEFINIDO","DIVIDENDOS"))</f>
        <v/>
      </c>
      <c r="Q512" s="62">
        <f>VLOOKUP(Table_1[[#This Row],[AÇÕES]],'Dados Status Invest'!A:R,18,0)/100</f>
        <v/>
      </c>
      <c r="R512" s="62">
        <f>VLOOKUP(Table_1[[#This Row],[AÇÕES]],'Dados Status Invest'!A:Y,25,0)/100</f>
        <v/>
      </c>
      <c r="S512" s="62">
        <f>(1-Table_1[[#This Row],[PAYOUT]])*Table_1[[#This Row],[ROE]]</f>
        <v/>
      </c>
      <c r="T512" s="98">
        <f>AVERAGE(Table_1[[#This Row],[CAGR LUCRO 5A]],Table_1[[#This Row],[CRESCIMENTO DAMODARAN]])</f>
        <v/>
      </c>
      <c r="U512" s="64">
        <f>(Table_1[[#This Row],[PREÇO JUSTO BAZIN]]-Table_1[[#This Row],[PREÇO]])/Table_1[[#This Row],[PREÇO JUSTO BAZIN]]</f>
        <v/>
      </c>
      <c r="V512" s="129">
        <f>Table_1[[#This Row],[DPA]]/6%</f>
        <v/>
      </c>
      <c r="W512" s="129">
        <f>Table_1[[#This Row],[PREÇO JUSTO BAZIN]]/(1+Table_1[[#This Row],[MARGEM DE DESCONTO]])</f>
        <v/>
      </c>
      <c r="X512" s="64">
        <f>(Table_1[[#This Row],[PREÇO JUSTO GRAHAM]]-Table_1[[#This Row],[PREÇO]])/Table_1[[#This Row],[PREÇO JUSTO GRAHAM]]</f>
        <v/>
      </c>
      <c r="Y512" s="129">
        <f>(22.5*Table_1[[#This Row],[LPA]]*Table_1[[#This Row],[VPA]])^0.5</f>
        <v/>
      </c>
      <c r="Z512" s="129">
        <f>Table_1[[#This Row],[PREÇO JUSTO GRAHAM]]/(1+Table_1[[#This Row],[MARGEM DE DESCONTO]])</f>
        <v/>
      </c>
      <c r="AA512" s="64">
        <f>(Table_1[[#This Row],[PREÇO JUSTO GORDON]]-Table_1[[#This Row],[PREÇO]])/Table_1[[#This Row],[PREÇO JUSTO GORDON]]</f>
        <v/>
      </c>
      <c r="AB512" s="130">
        <f>Table_1[[#This Row],[DPA]]*(1+Table_1[[#This Row],[MÉDIA DE CRESCIMENTO]])</f>
        <v/>
      </c>
      <c r="AC512" s="130">
        <f>Table_1[[#This Row],[D1]]/(Table_1[[#This Row],[RISCO]]-Table_1[[#This Row],[MÉDIA DE CRESCIMENTO]])</f>
        <v/>
      </c>
      <c r="AD512" s="130">
        <f>Table_1[[#This Row],[PREÇO JUSTO GORDON]]/(1+Table_1[[#This Row],[MARGEM DE DESCONTO]])</f>
        <v/>
      </c>
      <c r="AE512" s="78">
        <f>Table_1[[#This Row],[P/L]]/Table_1[[#This Row],[MÉDIA DE CRESCIMENTO]]</f>
        <v/>
      </c>
    </row>
    <row r="513" ht="15.75" customHeight="1">
      <c r="B513" s="77">
        <f>'Dados Status Invest'!A499</f>
        <v/>
      </c>
      <c r="C513" s="60">
        <f>VLOOKUP(Table_1[[#This Row],[AÇÕES]],'Classificação B3'!A:B,2,0)</f>
        <v/>
      </c>
      <c r="D513" s="60">
        <f>VLOOKUP(Table_1[[#This Row],[AÇÕES]],'Classificação B3'!A:D,4,0)</f>
        <v/>
      </c>
      <c r="E513" s="60">
        <f>VLOOKUP(Table_1[[#This Row],[AÇÕES]],'Classificação B3'!A:F,6,0)</f>
        <v/>
      </c>
      <c r="F513" s="60">
        <f>VLOOKUP(Table_1[[#This Row],[AÇÕES]],'Classificação B3'!A:G,7,0)</f>
        <v/>
      </c>
      <c r="G513" s="61">
        <f>VLOOKUP(Table_1[[#This Row],[AÇÕES]],'Dados Status Invest'!A:B,2,0)</f>
        <v/>
      </c>
      <c r="H513" s="62">
        <f>VLOOKUP(Table_1[[#This Row],[AÇÕES]],'Dados Status Invest'!A:C,3,0)/100</f>
        <v/>
      </c>
      <c r="I513" s="62">
        <f>VLOOKUP(Table_1[[#This Row],[AÇÕES]],'Dados Status Invest'!A:D,4,0)/100</f>
        <v/>
      </c>
      <c r="J513" s="63">
        <f>VLOOKUP(Table_1[[#This Row],[AÇÕES]],'Dados Status Invest'!A:AB,28,0)</f>
        <v/>
      </c>
      <c r="K513" s="63">
        <f>VLOOKUP(Table_1[[#This Row],[AÇÕES]],'Dados Status Invest'!A:AA,27,0)</f>
        <v/>
      </c>
      <c r="L513" s="63">
        <f>Table_1[[#This Row],[PREÇO]]*Table_1[[#This Row],[DY]]</f>
        <v/>
      </c>
      <c r="M513" s="62">
        <f>$E$13</f>
        <v/>
      </c>
      <c r="N513" s="62" t="n">
        <v>0.3</v>
      </c>
      <c r="O513" s="62">
        <f>Table_1[[#This Row],[DPA]]/Table_1[[#This Row],[LPA]]</f>
        <v/>
      </c>
      <c r="P513" s="62">
        <f>IF(Table_1[[#This Row],[PAYOUT]]&lt;=40%,"CRESCIMENTO",IF(Table_1[[#This Row],[PAYOUT]]&lt;=60%,"INDEFINIDO","DIVIDENDOS"))</f>
        <v/>
      </c>
      <c r="Q513" s="62">
        <f>VLOOKUP(Table_1[[#This Row],[AÇÕES]],'Dados Status Invest'!A:R,18,0)/100</f>
        <v/>
      </c>
      <c r="R513" s="62">
        <f>VLOOKUP(Table_1[[#This Row],[AÇÕES]],'Dados Status Invest'!A:Y,25,0)/100</f>
        <v/>
      </c>
      <c r="S513" s="62">
        <f>(1-Table_1[[#This Row],[PAYOUT]])*Table_1[[#This Row],[ROE]]</f>
        <v/>
      </c>
      <c r="T513" s="98">
        <f>AVERAGE(Table_1[[#This Row],[CAGR LUCRO 5A]],Table_1[[#This Row],[CRESCIMENTO DAMODARAN]])</f>
        <v/>
      </c>
      <c r="U513" s="64">
        <f>(Table_1[[#This Row],[PREÇO JUSTO BAZIN]]-Table_1[[#This Row],[PREÇO]])/Table_1[[#This Row],[PREÇO JUSTO BAZIN]]</f>
        <v/>
      </c>
      <c r="V513" s="129">
        <f>Table_1[[#This Row],[DPA]]/6%</f>
        <v/>
      </c>
      <c r="W513" s="129">
        <f>Table_1[[#This Row],[PREÇO JUSTO BAZIN]]/(1+Table_1[[#This Row],[MARGEM DE DESCONTO]])</f>
        <v/>
      </c>
      <c r="X513" s="64">
        <f>(Table_1[[#This Row],[PREÇO JUSTO GRAHAM]]-Table_1[[#This Row],[PREÇO]])/Table_1[[#This Row],[PREÇO JUSTO GRAHAM]]</f>
        <v/>
      </c>
      <c r="Y513" s="129">
        <f>(22.5*Table_1[[#This Row],[LPA]]*Table_1[[#This Row],[VPA]])^0.5</f>
        <v/>
      </c>
      <c r="Z513" s="129">
        <f>Table_1[[#This Row],[PREÇO JUSTO GRAHAM]]/(1+Table_1[[#This Row],[MARGEM DE DESCONTO]])</f>
        <v/>
      </c>
      <c r="AA513" s="64">
        <f>(Table_1[[#This Row],[PREÇO JUSTO GORDON]]-Table_1[[#This Row],[PREÇO]])/Table_1[[#This Row],[PREÇO JUSTO GORDON]]</f>
        <v/>
      </c>
      <c r="AB513" s="130">
        <f>Table_1[[#This Row],[DPA]]*(1+Table_1[[#This Row],[MÉDIA DE CRESCIMENTO]])</f>
        <v/>
      </c>
      <c r="AC513" s="130">
        <f>Table_1[[#This Row],[D1]]/(Table_1[[#This Row],[RISCO]]-Table_1[[#This Row],[MÉDIA DE CRESCIMENTO]])</f>
        <v/>
      </c>
      <c r="AD513" s="130">
        <f>Table_1[[#This Row],[PREÇO JUSTO GORDON]]/(1+Table_1[[#This Row],[MARGEM DE DESCONTO]])</f>
        <v/>
      </c>
      <c r="AE513" s="78">
        <f>Table_1[[#This Row],[P/L]]/Table_1[[#This Row],[MÉDIA DE CRESCIMENTO]]</f>
        <v/>
      </c>
    </row>
    <row r="514" ht="15.75" customHeight="1">
      <c r="B514" s="77">
        <f>'Dados Status Invest'!A500</f>
        <v/>
      </c>
      <c r="C514" s="60">
        <f>VLOOKUP(Table_1[[#This Row],[AÇÕES]],'Classificação B3'!A:B,2,0)</f>
        <v/>
      </c>
      <c r="D514" s="60">
        <f>VLOOKUP(Table_1[[#This Row],[AÇÕES]],'Classificação B3'!A:D,4,0)</f>
        <v/>
      </c>
      <c r="E514" s="60">
        <f>VLOOKUP(Table_1[[#This Row],[AÇÕES]],'Classificação B3'!A:F,6,0)</f>
        <v/>
      </c>
      <c r="F514" s="60">
        <f>VLOOKUP(Table_1[[#This Row],[AÇÕES]],'Classificação B3'!A:G,7,0)</f>
        <v/>
      </c>
      <c r="G514" s="61">
        <f>VLOOKUP(Table_1[[#This Row],[AÇÕES]],'Dados Status Invest'!A:B,2,0)</f>
        <v/>
      </c>
      <c r="H514" s="62">
        <f>VLOOKUP(Table_1[[#This Row],[AÇÕES]],'Dados Status Invest'!A:C,3,0)/100</f>
        <v/>
      </c>
      <c r="I514" s="62">
        <f>VLOOKUP(Table_1[[#This Row],[AÇÕES]],'Dados Status Invest'!A:D,4,0)/100</f>
        <v/>
      </c>
      <c r="J514" s="63">
        <f>VLOOKUP(Table_1[[#This Row],[AÇÕES]],'Dados Status Invest'!A:AB,28,0)</f>
        <v/>
      </c>
      <c r="K514" s="63">
        <f>VLOOKUP(Table_1[[#This Row],[AÇÕES]],'Dados Status Invest'!A:AA,27,0)</f>
        <v/>
      </c>
      <c r="L514" s="63">
        <f>Table_1[[#This Row],[PREÇO]]*Table_1[[#This Row],[DY]]</f>
        <v/>
      </c>
      <c r="M514" s="62">
        <f>$E$13</f>
        <v/>
      </c>
      <c r="N514" s="62" t="n">
        <v>0.3</v>
      </c>
      <c r="O514" s="62">
        <f>Table_1[[#This Row],[DPA]]/Table_1[[#This Row],[LPA]]</f>
        <v/>
      </c>
      <c r="P514" s="62">
        <f>IF(Table_1[[#This Row],[PAYOUT]]&lt;=40%,"CRESCIMENTO",IF(Table_1[[#This Row],[PAYOUT]]&lt;=60%,"INDEFINIDO","DIVIDENDOS"))</f>
        <v/>
      </c>
      <c r="Q514" s="62">
        <f>VLOOKUP(Table_1[[#This Row],[AÇÕES]],'Dados Status Invest'!A:R,18,0)/100</f>
        <v/>
      </c>
      <c r="R514" s="62">
        <f>VLOOKUP(Table_1[[#This Row],[AÇÕES]],'Dados Status Invest'!A:Y,25,0)/100</f>
        <v/>
      </c>
      <c r="S514" s="62">
        <f>(1-Table_1[[#This Row],[PAYOUT]])*Table_1[[#This Row],[ROE]]</f>
        <v/>
      </c>
      <c r="T514" s="98">
        <f>AVERAGE(Table_1[[#This Row],[CAGR LUCRO 5A]],Table_1[[#This Row],[CRESCIMENTO DAMODARAN]])</f>
        <v/>
      </c>
      <c r="U514" s="64">
        <f>(Table_1[[#This Row],[PREÇO JUSTO BAZIN]]-Table_1[[#This Row],[PREÇO]])/Table_1[[#This Row],[PREÇO JUSTO BAZIN]]</f>
        <v/>
      </c>
      <c r="V514" s="129">
        <f>Table_1[[#This Row],[DPA]]/6%</f>
        <v/>
      </c>
      <c r="W514" s="129">
        <f>Table_1[[#This Row],[PREÇO JUSTO BAZIN]]/(1+Table_1[[#This Row],[MARGEM DE DESCONTO]])</f>
        <v/>
      </c>
      <c r="X514" s="64">
        <f>(Table_1[[#This Row],[PREÇO JUSTO GRAHAM]]-Table_1[[#This Row],[PREÇO]])/Table_1[[#This Row],[PREÇO JUSTO GRAHAM]]</f>
        <v/>
      </c>
      <c r="Y514" s="129">
        <f>(22.5*Table_1[[#This Row],[LPA]]*Table_1[[#This Row],[VPA]])^0.5</f>
        <v/>
      </c>
      <c r="Z514" s="129">
        <f>Table_1[[#This Row],[PREÇO JUSTO GRAHAM]]/(1+Table_1[[#This Row],[MARGEM DE DESCONTO]])</f>
        <v/>
      </c>
      <c r="AA514" s="64">
        <f>(Table_1[[#This Row],[PREÇO JUSTO GORDON]]-Table_1[[#This Row],[PREÇO]])/Table_1[[#This Row],[PREÇO JUSTO GORDON]]</f>
        <v/>
      </c>
      <c r="AB514" s="130">
        <f>Table_1[[#This Row],[DPA]]*(1+Table_1[[#This Row],[MÉDIA DE CRESCIMENTO]])</f>
        <v/>
      </c>
      <c r="AC514" s="130">
        <f>Table_1[[#This Row],[D1]]/(Table_1[[#This Row],[RISCO]]-Table_1[[#This Row],[MÉDIA DE CRESCIMENTO]])</f>
        <v/>
      </c>
      <c r="AD514" s="130">
        <f>Table_1[[#This Row],[PREÇO JUSTO GORDON]]/(1+Table_1[[#This Row],[MARGEM DE DESCONTO]])</f>
        <v/>
      </c>
      <c r="AE514" s="78">
        <f>Table_1[[#This Row],[P/L]]/Table_1[[#This Row],[MÉDIA DE CRESCIMENTO]]</f>
        <v/>
      </c>
    </row>
    <row r="515" ht="15.75" customHeight="1">
      <c r="B515" s="77">
        <f>'Dados Status Invest'!A501</f>
        <v/>
      </c>
      <c r="C515" s="60">
        <f>VLOOKUP(Table_1[[#This Row],[AÇÕES]],'Classificação B3'!A:B,2,0)</f>
        <v/>
      </c>
      <c r="D515" s="60">
        <f>VLOOKUP(Table_1[[#This Row],[AÇÕES]],'Classificação B3'!A:D,4,0)</f>
        <v/>
      </c>
      <c r="E515" s="60">
        <f>VLOOKUP(Table_1[[#This Row],[AÇÕES]],'Classificação B3'!A:F,6,0)</f>
        <v/>
      </c>
      <c r="F515" s="60">
        <f>VLOOKUP(Table_1[[#This Row],[AÇÕES]],'Classificação B3'!A:G,7,0)</f>
        <v/>
      </c>
      <c r="G515" s="61">
        <f>VLOOKUP(Table_1[[#This Row],[AÇÕES]],'Dados Status Invest'!A:B,2,0)</f>
        <v/>
      </c>
      <c r="H515" s="62">
        <f>VLOOKUP(Table_1[[#This Row],[AÇÕES]],'Dados Status Invest'!A:C,3,0)/100</f>
        <v/>
      </c>
      <c r="I515" s="62">
        <f>VLOOKUP(Table_1[[#This Row],[AÇÕES]],'Dados Status Invest'!A:D,4,0)/100</f>
        <v/>
      </c>
      <c r="J515" s="63">
        <f>VLOOKUP(Table_1[[#This Row],[AÇÕES]],'Dados Status Invest'!A:AB,28,0)</f>
        <v/>
      </c>
      <c r="K515" s="63">
        <f>VLOOKUP(Table_1[[#This Row],[AÇÕES]],'Dados Status Invest'!A:AA,27,0)</f>
        <v/>
      </c>
      <c r="L515" s="63">
        <f>Table_1[[#This Row],[PREÇO]]*Table_1[[#This Row],[DY]]</f>
        <v/>
      </c>
      <c r="M515" s="62">
        <f>$E$13</f>
        <v/>
      </c>
      <c r="N515" s="62" t="n">
        <v>0.3</v>
      </c>
      <c r="O515" s="62">
        <f>Table_1[[#This Row],[DPA]]/Table_1[[#This Row],[LPA]]</f>
        <v/>
      </c>
      <c r="P515" s="62">
        <f>IF(Table_1[[#This Row],[PAYOUT]]&lt;=40%,"CRESCIMENTO",IF(Table_1[[#This Row],[PAYOUT]]&lt;=60%,"INDEFINIDO","DIVIDENDOS"))</f>
        <v/>
      </c>
      <c r="Q515" s="62">
        <f>VLOOKUP(Table_1[[#This Row],[AÇÕES]],'Dados Status Invest'!A:R,18,0)/100</f>
        <v/>
      </c>
      <c r="R515" s="62">
        <f>VLOOKUP(Table_1[[#This Row],[AÇÕES]],'Dados Status Invest'!A:Y,25,0)/100</f>
        <v/>
      </c>
      <c r="S515" s="62">
        <f>(1-Table_1[[#This Row],[PAYOUT]])*Table_1[[#This Row],[ROE]]</f>
        <v/>
      </c>
      <c r="T515" s="98">
        <f>AVERAGE(Table_1[[#This Row],[CAGR LUCRO 5A]],Table_1[[#This Row],[CRESCIMENTO DAMODARAN]])</f>
        <v/>
      </c>
      <c r="U515" s="64">
        <f>(Table_1[[#This Row],[PREÇO JUSTO BAZIN]]-Table_1[[#This Row],[PREÇO]])/Table_1[[#This Row],[PREÇO JUSTO BAZIN]]</f>
        <v/>
      </c>
      <c r="V515" s="129">
        <f>Table_1[[#This Row],[DPA]]/6%</f>
        <v/>
      </c>
      <c r="W515" s="129">
        <f>Table_1[[#This Row],[PREÇO JUSTO BAZIN]]/(1+Table_1[[#This Row],[MARGEM DE DESCONTO]])</f>
        <v/>
      </c>
      <c r="X515" s="64">
        <f>(Table_1[[#This Row],[PREÇO JUSTO GRAHAM]]-Table_1[[#This Row],[PREÇO]])/Table_1[[#This Row],[PREÇO JUSTO GRAHAM]]</f>
        <v/>
      </c>
      <c r="Y515" s="129">
        <f>(22.5*Table_1[[#This Row],[LPA]]*Table_1[[#This Row],[VPA]])^0.5</f>
        <v/>
      </c>
      <c r="Z515" s="129">
        <f>Table_1[[#This Row],[PREÇO JUSTO GRAHAM]]/(1+Table_1[[#This Row],[MARGEM DE DESCONTO]])</f>
        <v/>
      </c>
      <c r="AA515" s="64">
        <f>(Table_1[[#This Row],[PREÇO JUSTO GORDON]]-Table_1[[#This Row],[PREÇO]])/Table_1[[#This Row],[PREÇO JUSTO GORDON]]</f>
        <v/>
      </c>
      <c r="AB515" s="130">
        <f>Table_1[[#This Row],[DPA]]*(1+Table_1[[#This Row],[MÉDIA DE CRESCIMENTO]])</f>
        <v/>
      </c>
      <c r="AC515" s="130">
        <f>Table_1[[#This Row],[D1]]/(Table_1[[#This Row],[RISCO]]-Table_1[[#This Row],[MÉDIA DE CRESCIMENTO]])</f>
        <v/>
      </c>
      <c r="AD515" s="130">
        <f>Table_1[[#This Row],[PREÇO JUSTO GORDON]]/(1+Table_1[[#This Row],[MARGEM DE DESCONTO]])</f>
        <v/>
      </c>
      <c r="AE515" s="78">
        <f>Table_1[[#This Row],[P/L]]/Table_1[[#This Row],[MÉDIA DE CRESCIMENTO]]</f>
        <v/>
      </c>
    </row>
    <row r="516" ht="15.75" customHeight="1">
      <c r="B516" s="77">
        <f>'Dados Status Invest'!A502</f>
        <v/>
      </c>
      <c r="C516" s="60">
        <f>VLOOKUP(Table_1[[#This Row],[AÇÕES]],'Classificação B3'!A:B,2,0)</f>
        <v/>
      </c>
      <c r="D516" s="60">
        <f>VLOOKUP(Table_1[[#This Row],[AÇÕES]],'Classificação B3'!A:D,4,0)</f>
        <v/>
      </c>
      <c r="E516" s="60">
        <f>VLOOKUP(Table_1[[#This Row],[AÇÕES]],'Classificação B3'!A:F,6,0)</f>
        <v/>
      </c>
      <c r="F516" s="60">
        <f>VLOOKUP(Table_1[[#This Row],[AÇÕES]],'Classificação B3'!A:G,7,0)</f>
        <v/>
      </c>
      <c r="G516" s="61">
        <f>VLOOKUP(Table_1[[#This Row],[AÇÕES]],'Dados Status Invest'!A:B,2,0)</f>
        <v/>
      </c>
      <c r="H516" s="62">
        <f>VLOOKUP(Table_1[[#This Row],[AÇÕES]],'Dados Status Invest'!A:C,3,0)/100</f>
        <v/>
      </c>
      <c r="I516" s="62">
        <f>VLOOKUP(Table_1[[#This Row],[AÇÕES]],'Dados Status Invest'!A:D,4,0)/100</f>
        <v/>
      </c>
      <c r="J516" s="63">
        <f>VLOOKUP(Table_1[[#This Row],[AÇÕES]],'Dados Status Invest'!A:AB,28,0)</f>
        <v/>
      </c>
      <c r="K516" s="63">
        <f>VLOOKUP(Table_1[[#This Row],[AÇÕES]],'Dados Status Invest'!A:AA,27,0)</f>
        <v/>
      </c>
      <c r="L516" s="63">
        <f>Table_1[[#This Row],[PREÇO]]*Table_1[[#This Row],[DY]]</f>
        <v/>
      </c>
      <c r="M516" s="62">
        <f>$E$13</f>
        <v/>
      </c>
      <c r="N516" s="62" t="n">
        <v>0.3</v>
      </c>
      <c r="O516" s="62">
        <f>Table_1[[#This Row],[DPA]]/Table_1[[#This Row],[LPA]]</f>
        <v/>
      </c>
      <c r="P516" s="62">
        <f>IF(Table_1[[#This Row],[PAYOUT]]&lt;=40%,"CRESCIMENTO",IF(Table_1[[#This Row],[PAYOUT]]&lt;=60%,"INDEFINIDO","DIVIDENDOS"))</f>
        <v/>
      </c>
      <c r="Q516" s="62">
        <f>VLOOKUP(Table_1[[#This Row],[AÇÕES]],'Dados Status Invest'!A:R,18,0)/100</f>
        <v/>
      </c>
      <c r="R516" s="62">
        <f>VLOOKUP(Table_1[[#This Row],[AÇÕES]],'Dados Status Invest'!A:Y,25,0)/100</f>
        <v/>
      </c>
      <c r="S516" s="62">
        <f>(1-Table_1[[#This Row],[PAYOUT]])*Table_1[[#This Row],[ROE]]</f>
        <v/>
      </c>
      <c r="T516" s="98">
        <f>AVERAGE(Table_1[[#This Row],[CAGR LUCRO 5A]],Table_1[[#This Row],[CRESCIMENTO DAMODARAN]])</f>
        <v/>
      </c>
      <c r="U516" s="64">
        <f>(Table_1[[#This Row],[PREÇO JUSTO BAZIN]]-Table_1[[#This Row],[PREÇO]])/Table_1[[#This Row],[PREÇO JUSTO BAZIN]]</f>
        <v/>
      </c>
      <c r="V516" s="129">
        <f>Table_1[[#This Row],[DPA]]/6%</f>
        <v/>
      </c>
      <c r="W516" s="129">
        <f>Table_1[[#This Row],[PREÇO JUSTO BAZIN]]/(1+Table_1[[#This Row],[MARGEM DE DESCONTO]])</f>
        <v/>
      </c>
      <c r="X516" s="64">
        <f>(Table_1[[#This Row],[PREÇO JUSTO GRAHAM]]-Table_1[[#This Row],[PREÇO]])/Table_1[[#This Row],[PREÇO JUSTO GRAHAM]]</f>
        <v/>
      </c>
      <c r="Y516" s="129">
        <f>(22.5*Table_1[[#This Row],[LPA]]*Table_1[[#This Row],[VPA]])^0.5</f>
        <v/>
      </c>
      <c r="Z516" s="129">
        <f>Table_1[[#This Row],[PREÇO JUSTO GRAHAM]]/(1+Table_1[[#This Row],[MARGEM DE DESCONTO]])</f>
        <v/>
      </c>
      <c r="AA516" s="64">
        <f>(Table_1[[#This Row],[PREÇO JUSTO GORDON]]-Table_1[[#This Row],[PREÇO]])/Table_1[[#This Row],[PREÇO JUSTO GORDON]]</f>
        <v/>
      </c>
      <c r="AB516" s="130">
        <f>Table_1[[#This Row],[DPA]]*(1+Table_1[[#This Row],[MÉDIA DE CRESCIMENTO]])</f>
        <v/>
      </c>
      <c r="AC516" s="130">
        <f>Table_1[[#This Row],[D1]]/(Table_1[[#This Row],[RISCO]]-Table_1[[#This Row],[MÉDIA DE CRESCIMENTO]])</f>
        <v/>
      </c>
      <c r="AD516" s="130">
        <f>Table_1[[#This Row],[PREÇO JUSTO GORDON]]/(1+Table_1[[#This Row],[MARGEM DE DESCONTO]])</f>
        <v/>
      </c>
      <c r="AE516" s="78">
        <f>Table_1[[#This Row],[P/L]]/Table_1[[#This Row],[MÉDIA DE CRESCIMENTO]]</f>
        <v/>
      </c>
    </row>
    <row r="517" ht="15.75" customHeight="1">
      <c r="B517" s="77">
        <f>'Dados Status Invest'!A503</f>
        <v/>
      </c>
      <c r="C517" s="60">
        <f>VLOOKUP(Table_1[[#This Row],[AÇÕES]],'Classificação B3'!A:B,2,0)</f>
        <v/>
      </c>
      <c r="D517" s="60">
        <f>VLOOKUP(Table_1[[#This Row],[AÇÕES]],'Classificação B3'!A:D,4,0)</f>
        <v/>
      </c>
      <c r="E517" s="60">
        <f>VLOOKUP(Table_1[[#This Row],[AÇÕES]],'Classificação B3'!A:F,6,0)</f>
        <v/>
      </c>
      <c r="F517" s="60">
        <f>VLOOKUP(Table_1[[#This Row],[AÇÕES]],'Classificação B3'!A:G,7,0)</f>
        <v/>
      </c>
      <c r="G517" s="61">
        <f>VLOOKUP(Table_1[[#This Row],[AÇÕES]],'Dados Status Invest'!A:B,2,0)</f>
        <v/>
      </c>
      <c r="H517" s="62">
        <f>VLOOKUP(Table_1[[#This Row],[AÇÕES]],'Dados Status Invest'!A:C,3,0)/100</f>
        <v/>
      </c>
      <c r="I517" s="62">
        <f>VLOOKUP(Table_1[[#This Row],[AÇÕES]],'Dados Status Invest'!A:D,4,0)/100</f>
        <v/>
      </c>
      <c r="J517" s="63">
        <f>VLOOKUP(Table_1[[#This Row],[AÇÕES]],'Dados Status Invest'!A:AB,28,0)</f>
        <v/>
      </c>
      <c r="K517" s="63">
        <f>VLOOKUP(Table_1[[#This Row],[AÇÕES]],'Dados Status Invest'!A:AA,27,0)</f>
        <v/>
      </c>
      <c r="L517" s="63">
        <f>Table_1[[#This Row],[PREÇO]]*Table_1[[#This Row],[DY]]</f>
        <v/>
      </c>
      <c r="M517" s="62">
        <f>$E$13</f>
        <v/>
      </c>
      <c r="N517" s="62" t="n">
        <v>0.3</v>
      </c>
      <c r="O517" s="62">
        <f>Table_1[[#This Row],[DPA]]/Table_1[[#This Row],[LPA]]</f>
        <v/>
      </c>
      <c r="P517" s="62">
        <f>IF(Table_1[[#This Row],[PAYOUT]]&lt;=40%,"CRESCIMENTO",IF(Table_1[[#This Row],[PAYOUT]]&lt;=60%,"INDEFINIDO","DIVIDENDOS"))</f>
        <v/>
      </c>
      <c r="Q517" s="62">
        <f>VLOOKUP(Table_1[[#This Row],[AÇÕES]],'Dados Status Invest'!A:R,18,0)/100</f>
        <v/>
      </c>
      <c r="R517" s="62">
        <f>VLOOKUP(Table_1[[#This Row],[AÇÕES]],'Dados Status Invest'!A:Y,25,0)/100</f>
        <v/>
      </c>
      <c r="S517" s="62">
        <f>(1-Table_1[[#This Row],[PAYOUT]])*Table_1[[#This Row],[ROE]]</f>
        <v/>
      </c>
      <c r="T517" s="98">
        <f>AVERAGE(Table_1[[#This Row],[CAGR LUCRO 5A]],Table_1[[#This Row],[CRESCIMENTO DAMODARAN]])</f>
        <v/>
      </c>
      <c r="U517" s="64">
        <f>(Table_1[[#This Row],[PREÇO JUSTO BAZIN]]-Table_1[[#This Row],[PREÇO]])/Table_1[[#This Row],[PREÇO JUSTO BAZIN]]</f>
        <v/>
      </c>
      <c r="V517" s="129">
        <f>Table_1[[#This Row],[DPA]]/6%</f>
        <v/>
      </c>
      <c r="W517" s="129">
        <f>Table_1[[#This Row],[PREÇO JUSTO BAZIN]]/(1+Table_1[[#This Row],[MARGEM DE DESCONTO]])</f>
        <v/>
      </c>
      <c r="X517" s="64">
        <f>(Table_1[[#This Row],[PREÇO JUSTO GRAHAM]]-Table_1[[#This Row],[PREÇO]])/Table_1[[#This Row],[PREÇO JUSTO GRAHAM]]</f>
        <v/>
      </c>
      <c r="Y517" s="129">
        <f>(22.5*Table_1[[#This Row],[LPA]]*Table_1[[#This Row],[VPA]])^0.5</f>
        <v/>
      </c>
      <c r="Z517" s="129">
        <f>Table_1[[#This Row],[PREÇO JUSTO GRAHAM]]/(1+Table_1[[#This Row],[MARGEM DE DESCONTO]])</f>
        <v/>
      </c>
      <c r="AA517" s="64">
        <f>(Table_1[[#This Row],[PREÇO JUSTO GORDON]]-Table_1[[#This Row],[PREÇO]])/Table_1[[#This Row],[PREÇO JUSTO GORDON]]</f>
        <v/>
      </c>
      <c r="AB517" s="130">
        <f>Table_1[[#This Row],[DPA]]*(1+Table_1[[#This Row],[MÉDIA DE CRESCIMENTO]])</f>
        <v/>
      </c>
      <c r="AC517" s="130">
        <f>Table_1[[#This Row],[D1]]/(Table_1[[#This Row],[RISCO]]-Table_1[[#This Row],[MÉDIA DE CRESCIMENTO]])</f>
        <v/>
      </c>
      <c r="AD517" s="130">
        <f>Table_1[[#This Row],[PREÇO JUSTO GORDON]]/(1+Table_1[[#This Row],[MARGEM DE DESCONTO]])</f>
        <v/>
      </c>
      <c r="AE517" s="78">
        <f>Table_1[[#This Row],[P/L]]/Table_1[[#This Row],[MÉDIA DE CRESCIMENTO]]</f>
        <v/>
      </c>
    </row>
    <row r="518" ht="15.75" customHeight="1">
      <c r="B518" s="77">
        <f>'Dados Status Invest'!A504</f>
        <v/>
      </c>
      <c r="C518" s="60">
        <f>VLOOKUP(Table_1[[#This Row],[AÇÕES]],'Classificação B3'!A:B,2,0)</f>
        <v/>
      </c>
      <c r="D518" s="60">
        <f>VLOOKUP(Table_1[[#This Row],[AÇÕES]],'Classificação B3'!A:D,4,0)</f>
        <v/>
      </c>
      <c r="E518" s="60">
        <f>VLOOKUP(Table_1[[#This Row],[AÇÕES]],'Classificação B3'!A:F,6,0)</f>
        <v/>
      </c>
      <c r="F518" s="60">
        <f>VLOOKUP(Table_1[[#This Row],[AÇÕES]],'Classificação B3'!A:G,7,0)</f>
        <v/>
      </c>
      <c r="G518" s="61">
        <f>VLOOKUP(Table_1[[#This Row],[AÇÕES]],'Dados Status Invest'!A:B,2,0)</f>
        <v/>
      </c>
      <c r="H518" s="62">
        <f>VLOOKUP(Table_1[[#This Row],[AÇÕES]],'Dados Status Invest'!A:C,3,0)/100</f>
        <v/>
      </c>
      <c r="I518" s="62">
        <f>VLOOKUP(Table_1[[#This Row],[AÇÕES]],'Dados Status Invest'!A:D,4,0)/100</f>
        <v/>
      </c>
      <c r="J518" s="63">
        <f>VLOOKUP(Table_1[[#This Row],[AÇÕES]],'Dados Status Invest'!A:AB,28,0)</f>
        <v/>
      </c>
      <c r="K518" s="63">
        <f>VLOOKUP(Table_1[[#This Row],[AÇÕES]],'Dados Status Invest'!A:AA,27,0)</f>
        <v/>
      </c>
      <c r="L518" s="63">
        <f>Table_1[[#This Row],[PREÇO]]*Table_1[[#This Row],[DY]]</f>
        <v/>
      </c>
      <c r="M518" s="62">
        <f>$E$13</f>
        <v/>
      </c>
      <c r="N518" s="62" t="n">
        <v>0.3</v>
      </c>
      <c r="O518" s="62">
        <f>Table_1[[#This Row],[DPA]]/Table_1[[#This Row],[LPA]]</f>
        <v/>
      </c>
      <c r="P518" s="62">
        <f>IF(Table_1[[#This Row],[PAYOUT]]&lt;=40%,"CRESCIMENTO",IF(Table_1[[#This Row],[PAYOUT]]&lt;=60%,"INDEFINIDO","DIVIDENDOS"))</f>
        <v/>
      </c>
      <c r="Q518" s="62">
        <f>VLOOKUP(Table_1[[#This Row],[AÇÕES]],'Dados Status Invest'!A:R,18,0)/100</f>
        <v/>
      </c>
      <c r="R518" s="62">
        <f>VLOOKUP(Table_1[[#This Row],[AÇÕES]],'Dados Status Invest'!A:Y,25,0)/100</f>
        <v/>
      </c>
      <c r="S518" s="62">
        <f>(1-Table_1[[#This Row],[PAYOUT]])*Table_1[[#This Row],[ROE]]</f>
        <v/>
      </c>
      <c r="T518" s="98">
        <f>AVERAGE(Table_1[[#This Row],[CAGR LUCRO 5A]],Table_1[[#This Row],[CRESCIMENTO DAMODARAN]])</f>
        <v/>
      </c>
      <c r="U518" s="64">
        <f>(Table_1[[#This Row],[PREÇO JUSTO BAZIN]]-Table_1[[#This Row],[PREÇO]])/Table_1[[#This Row],[PREÇO JUSTO BAZIN]]</f>
        <v/>
      </c>
      <c r="V518" s="129">
        <f>Table_1[[#This Row],[DPA]]/6%</f>
        <v/>
      </c>
      <c r="W518" s="129">
        <f>Table_1[[#This Row],[PREÇO JUSTO BAZIN]]/(1+Table_1[[#This Row],[MARGEM DE DESCONTO]])</f>
        <v/>
      </c>
      <c r="X518" s="64">
        <f>(Table_1[[#This Row],[PREÇO JUSTO GRAHAM]]-Table_1[[#This Row],[PREÇO]])/Table_1[[#This Row],[PREÇO JUSTO GRAHAM]]</f>
        <v/>
      </c>
      <c r="Y518" s="129">
        <f>(22.5*Table_1[[#This Row],[LPA]]*Table_1[[#This Row],[VPA]])^0.5</f>
        <v/>
      </c>
      <c r="Z518" s="129">
        <f>Table_1[[#This Row],[PREÇO JUSTO GRAHAM]]/(1+Table_1[[#This Row],[MARGEM DE DESCONTO]])</f>
        <v/>
      </c>
      <c r="AA518" s="64">
        <f>(Table_1[[#This Row],[PREÇO JUSTO GORDON]]-Table_1[[#This Row],[PREÇO]])/Table_1[[#This Row],[PREÇO JUSTO GORDON]]</f>
        <v/>
      </c>
      <c r="AB518" s="130">
        <f>Table_1[[#This Row],[DPA]]*(1+Table_1[[#This Row],[MÉDIA DE CRESCIMENTO]])</f>
        <v/>
      </c>
      <c r="AC518" s="130">
        <f>Table_1[[#This Row],[D1]]/(Table_1[[#This Row],[RISCO]]-Table_1[[#This Row],[MÉDIA DE CRESCIMENTO]])</f>
        <v/>
      </c>
      <c r="AD518" s="130">
        <f>Table_1[[#This Row],[PREÇO JUSTO GORDON]]/(1+Table_1[[#This Row],[MARGEM DE DESCONTO]])</f>
        <v/>
      </c>
      <c r="AE518" s="78">
        <f>Table_1[[#This Row],[P/L]]/Table_1[[#This Row],[MÉDIA DE CRESCIMENTO]]</f>
        <v/>
      </c>
    </row>
    <row r="519" ht="15.75" customHeight="1">
      <c r="B519" s="77">
        <f>'Dados Status Invest'!A505</f>
        <v/>
      </c>
      <c r="C519" s="60">
        <f>VLOOKUP(Table_1[[#This Row],[AÇÕES]],'Classificação B3'!A:B,2,0)</f>
        <v/>
      </c>
      <c r="D519" s="60">
        <f>VLOOKUP(Table_1[[#This Row],[AÇÕES]],'Classificação B3'!A:D,4,0)</f>
        <v/>
      </c>
      <c r="E519" s="60">
        <f>VLOOKUP(Table_1[[#This Row],[AÇÕES]],'Classificação B3'!A:F,6,0)</f>
        <v/>
      </c>
      <c r="F519" s="60">
        <f>VLOOKUP(Table_1[[#This Row],[AÇÕES]],'Classificação B3'!A:G,7,0)</f>
        <v/>
      </c>
      <c r="G519" s="61">
        <f>VLOOKUP(Table_1[[#This Row],[AÇÕES]],'Dados Status Invest'!A:B,2,0)</f>
        <v/>
      </c>
      <c r="H519" s="62">
        <f>VLOOKUP(Table_1[[#This Row],[AÇÕES]],'Dados Status Invest'!A:C,3,0)/100</f>
        <v/>
      </c>
      <c r="I519" s="62">
        <f>VLOOKUP(Table_1[[#This Row],[AÇÕES]],'Dados Status Invest'!A:D,4,0)/100</f>
        <v/>
      </c>
      <c r="J519" s="63">
        <f>VLOOKUP(Table_1[[#This Row],[AÇÕES]],'Dados Status Invest'!A:AB,28,0)</f>
        <v/>
      </c>
      <c r="K519" s="63">
        <f>VLOOKUP(Table_1[[#This Row],[AÇÕES]],'Dados Status Invest'!A:AA,27,0)</f>
        <v/>
      </c>
      <c r="L519" s="63">
        <f>Table_1[[#This Row],[PREÇO]]*Table_1[[#This Row],[DY]]</f>
        <v/>
      </c>
      <c r="M519" s="62">
        <f>$E$13</f>
        <v/>
      </c>
      <c r="N519" s="62" t="n">
        <v>0.3</v>
      </c>
      <c r="O519" s="62">
        <f>Table_1[[#This Row],[DPA]]/Table_1[[#This Row],[LPA]]</f>
        <v/>
      </c>
      <c r="P519" s="62">
        <f>IF(Table_1[[#This Row],[PAYOUT]]&lt;=40%,"CRESCIMENTO",IF(Table_1[[#This Row],[PAYOUT]]&lt;=60%,"INDEFINIDO","DIVIDENDOS"))</f>
        <v/>
      </c>
      <c r="Q519" s="62">
        <f>VLOOKUP(Table_1[[#This Row],[AÇÕES]],'Dados Status Invest'!A:R,18,0)/100</f>
        <v/>
      </c>
      <c r="R519" s="62">
        <f>VLOOKUP(Table_1[[#This Row],[AÇÕES]],'Dados Status Invest'!A:Y,25,0)/100</f>
        <v/>
      </c>
      <c r="S519" s="62">
        <f>(1-Table_1[[#This Row],[PAYOUT]])*Table_1[[#This Row],[ROE]]</f>
        <v/>
      </c>
      <c r="T519" s="98">
        <f>AVERAGE(Table_1[[#This Row],[CAGR LUCRO 5A]],Table_1[[#This Row],[CRESCIMENTO DAMODARAN]])</f>
        <v/>
      </c>
      <c r="U519" s="64">
        <f>(Table_1[[#This Row],[PREÇO JUSTO BAZIN]]-Table_1[[#This Row],[PREÇO]])/Table_1[[#This Row],[PREÇO JUSTO BAZIN]]</f>
        <v/>
      </c>
      <c r="V519" s="129">
        <f>Table_1[[#This Row],[DPA]]/6%</f>
        <v/>
      </c>
      <c r="W519" s="129">
        <f>Table_1[[#This Row],[PREÇO JUSTO BAZIN]]/(1+Table_1[[#This Row],[MARGEM DE DESCONTO]])</f>
        <v/>
      </c>
      <c r="X519" s="64">
        <f>(Table_1[[#This Row],[PREÇO JUSTO GRAHAM]]-Table_1[[#This Row],[PREÇO]])/Table_1[[#This Row],[PREÇO JUSTO GRAHAM]]</f>
        <v/>
      </c>
      <c r="Y519" s="129">
        <f>(22.5*Table_1[[#This Row],[LPA]]*Table_1[[#This Row],[VPA]])^0.5</f>
        <v/>
      </c>
      <c r="Z519" s="129">
        <f>Table_1[[#This Row],[PREÇO JUSTO GRAHAM]]/(1+Table_1[[#This Row],[MARGEM DE DESCONTO]])</f>
        <v/>
      </c>
      <c r="AA519" s="64">
        <f>(Table_1[[#This Row],[PREÇO JUSTO GORDON]]-Table_1[[#This Row],[PREÇO]])/Table_1[[#This Row],[PREÇO JUSTO GORDON]]</f>
        <v/>
      </c>
      <c r="AB519" s="130">
        <f>Table_1[[#This Row],[DPA]]*(1+Table_1[[#This Row],[MÉDIA DE CRESCIMENTO]])</f>
        <v/>
      </c>
      <c r="AC519" s="130">
        <f>Table_1[[#This Row],[D1]]/(Table_1[[#This Row],[RISCO]]-Table_1[[#This Row],[MÉDIA DE CRESCIMENTO]])</f>
        <v/>
      </c>
      <c r="AD519" s="130">
        <f>Table_1[[#This Row],[PREÇO JUSTO GORDON]]/(1+Table_1[[#This Row],[MARGEM DE DESCONTO]])</f>
        <v/>
      </c>
      <c r="AE519" s="78">
        <f>Table_1[[#This Row],[P/L]]/Table_1[[#This Row],[MÉDIA DE CRESCIMENTO]]</f>
        <v/>
      </c>
    </row>
    <row r="520" ht="15.75" customHeight="1">
      <c r="B520" s="77">
        <f>'Dados Status Invest'!A506</f>
        <v/>
      </c>
      <c r="C520" s="60">
        <f>VLOOKUP(Table_1[[#This Row],[AÇÕES]],'Classificação B3'!A:B,2,0)</f>
        <v/>
      </c>
      <c r="D520" s="60">
        <f>VLOOKUP(Table_1[[#This Row],[AÇÕES]],'Classificação B3'!A:D,4,0)</f>
        <v/>
      </c>
      <c r="E520" s="60">
        <f>VLOOKUP(Table_1[[#This Row],[AÇÕES]],'Classificação B3'!A:F,6,0)</f>
        <v/>
      </c>
      <c r="F520" s="60">
        <f>VLOOKUP(Table_1[[#This Row],[AÇÕES]],'Classificação B3'!A:G,7,0)</f>
        <v/>
      </c>
      <c r="G520" s="61">
        <f>VLOOKUP(Table_1[[#This Row],[AÇÕES]],'Dados Status Invest'!A:B,2,0)</f>
        <v/>
      </c>
      <c r="H520" s="62">
        <f>VLOOKUP(Table_1[[#This Row],[AÇÕES]],'Dados Status Invest'!A:C,3,0)/100</f>
        <v/>
      </c>
      <c r="I520" s="62">
        <f>VLOOKUP(Table_1[[#This Row],[AÇÕES]],'Dados Status Invest'!A:D,4,0)/100</f>
        <v/>
      </c>
      <c r="J520" s="63">
        <f>VLOOKUP(Table_1[[#This Row],[AÇÕES]],'Dados Status Invest'!A:AB,28,0)</f>
        <v/>
      </c>
      <c r="K520" s="63">
        <f>VLOOKUP(Table_1[[#This Row],[AÇÕES]],'Dados Status Invest'!A:AA,27,0)</f>
        <v/>
      </c>
      <c r="L520" s="63">
        <f>Table_1[[#This Row],[PREÇO]]*Table_1[[#This Row],[DY]]</f>
        <v/>
      </c>
      <c r="M520" s="62">
        <f>$E$13</f>
        <v/>
      </c>
      <c r="N520" s="62" t="n">
        <v>0.3</v>
      </c>
      <c r="O520" s="62">
        <f>Table_1[[#This Row],[DPA]]/Table_1[[#This Row],[LPA]]</f>
        <v/>
      </c>
      <c r="P520" s="62">
        <f>IF(Table_1[[#This Row],[PAYOUT]]&lt;=40%,"CRESCIMENTO",IF(Table_1[[#This Row],[PAYOUT]]&lt;=60%,"INDEFINIDO","DIVIDENDOS"))</f>
        <v/>
      </c>
      <c r="Q520" s="62">
        <f>VLOOKUP(Table_1[[#This Row],[AÇÕES]],'Dados Status Invest'!A:R,18,0)/100</f>
        <v/>
      </c>
      <c r="R520" s="62">
        <f>VLOOKUP(Table_1[[#This Row],[AÇÕES]],'Dados Status Invest'!A:Y,25,0)/100</f>
        <v/>
      </c>
      <c r="S520" s="62">
        <f>(1-Table_1[[#This Row],[PAYOUT]])*Table_1[[#This Row],[ROE]]</f>
        <v/>
      </c>
      <c r="T520" s="98">
        <f>AVERAGE(Table_1[[#This Row],[CAGR LUCRO 5A]],Table_1[[#This Row],[CRESCIMENTO DAMODARAN]])</f>
        <v/>
      </c>
      <c r="U520" s="64">
        <f>(Table_1[[#This Row],[PREÇO JUSTO BAZIN]]-Table_1[[#This Row],[PREÇO]])/Table_1[[#This Row],[PREÇO JUSTO BAZIN]]</f>
        <v/>
      </c>
      <c r="V520" s="129">
        <f>Table_1[[#This Row],[DPA]]/6%</f>
        <v/>
      </c>
      <c r="W520" s="129">
        <f>Table_1[[#This Row],[PREÇO JUSTO BAZIN]]/(1+Table_1[[#This Row],[MARGEM DE DESCONTO]])</f>
        <v/>
      </c>
      <c r="X520" s="64">
        <f>(Table_1[[#This Row],[PREÇO JUSTO GRAHAM]]-Table_1[[#This Row],[PREÇO]])/Table_1[[#This Row],[PREÇO JUSTO GRAHAM]]</f>
        <v/>
      </c>
      <c r="Y520" s="129">
        <f>(22.5*Table_1[[#This Row],[LPA]]*Table_1[[#This Row],[VPA]])^0.5</f>
        <v/>
      </c>
      <c r="Z520" s="129">
        <f>Table_1[[#This Row],[PREÇO JUSTO GRAHAM]]/(1+Table_1[[#This Row],[MARGEM DE DESCONTO]])</f>
        <v/>
      </c>
      <c r="AA520" s="64">
        <f>(Table_1[[#This Row],[PREÇO JUSTO GORDON]]-Table_1[[#This Row],[PREÇO]])/Table_1[[#This Row],[PREÇO JUSTO GORDON]]</f>
        <v/>
      </c>
      <c r="AB520" s="130">
        <f>Table_1[[#This Row],[DPA]]*(1+Table_1[[#This Row],[MÉDIA DE CRESCIMENTO]])</f>
        <v/>
      </c>
      <c r="AC520" s="130">
        <f>Table_1[[#This Row],[D1]]/(Table_1[[#This Row],[RISCO]]-Table_1[[#This Row],[MÉDIA DE CRESCIMENTO]])</f>
        <v/>
      </c>
      <c r="AD520" s="130">
        <f>Table_1[[#This Row],[PREÇO JUSTO GORDON]]/(1+Table_1[[#This Row],[MARGEM DE DESCONTO]])</f>
        <v/>
      </c>
      <c r="AE520" s="78">
        <f>Table_1[[#This Row],[P/L]]/Table_1[[#This Row],[MÉDIA DE CRESCIMENTO]]</f>
        <v/>
      </c>
    </row>
    <row r="521" ht="15.75" customHeight="1">
      <c r="B521" s="77">
        <f>'Dados Status Invest'!A507</f>
        <v/>
      </c>
      <c r="C521" s="60">
        <f>VLOOKUP(Table_1[[#This Row],[AÇÕES]],'Classificação B3'!A:B,2,0)</f>
        <v/>
      </c>
      <c r="D521" s="60">
        <f>VLOOKUP(Table_1[[#This Row],[AÇÕES]],'Classificação B3'!A:D,4,0)</f>
        <v/>
      </c>
      <c r="E521" s="60">
        <f>VLOOKUP(Table_1[[#This Row],[AÇÕES]],'Classificação B3'!A:F,6,0)</f>
        <v/>
      </c>
      <c r="F521" s="60">
        <f>VLOOKUP(Table_1[[#This Row],[AÇÕES]],'Classificação B3'!A:G,7,0)</f>
        <v/>
      </c>
      <c r="G521" s="61">
        <f>VLOOKUP(Table_1[[#This Row],[AÇÕES]],'Dados Status Invest'!A:B,2,0)</f>
        <v/>
      </c>
      <c r="H521" s="62">
        <f>VLOOKUP(Table_1[[#This Row],[AÇÕES]],'Dados Status Invest'!A:C,3,0)/100</f>
        <v/>
      </c>
      <c r="I521" s="62">
        <f>VLOOKUP(Table_1[[#This Row],[AÇÕES]],'Dados Status Invest'!A:D,4,0)/100</f>
        <v/>
      </c>
      <c r="J521" s="63">
        <f>VLOOKUP(Table_1[[#This Row],[AÇÕES]],'Dados Status Invest'!A:AB,28,0)</f>
        <v/>
      </c>
      <c r="K521" s="63">
        <f>VLOOKUP(Table_1[[#This Row],[AÇÕES]],'Dados Status Invest'!A:AA,27,0)</f>
        <v/>
      </c>
      <c r="L521" s="63">
        <f>Table_1[[#This Row],[PREÇO]]*Table_1[[#This Row],[DY]]</f>
        <v/>
      </c>
      <c r="M521" s="62">
        <f>$E$13</f>
        <v/>
      </c>
      <c r="N521" s="62" t="n">
        <v>0.3</v>
      </c>
      <c r="O521" s="62">
        <f>Table_1[[#This Row],[DPA]]/Table_1[[#This Row],[LPA]]</f>
        <v/>
      </c>
      <c r="P521" s="62">
        <f>IF(Table_1[[#This Row],[PAYOUT]]&lt;=40%,"CRESCIMENTO",IF(Table_1[[#This Row],[PAYOUT]]&lt;=60%,"INDEFINIDO","DIVIDENDOS"))</f>
        <v/>
      </c>
      <c r="Q521" s="62">
        <f>VLOOKUP(Table_1[[#This Row],[AÇÕES]],'Dados Status Invest'!A:R,18,0)/100</f>
        <v/>
      </c>
      <c r="R521" s="62">
        <f>VLOOKUP(Table_1[[#This Row],[AÇÕES]],'Dados Status Invest'!A:Y,25,0)/100</f>
        <v/>
      </c>
      <c r="S521" s="62">
        <f>(1-Table_1[[#This Row],[PAYOUT]])*Table_1[[#This Row],[ROE]]</f>
        <v/>
      </c>
      <c r="T521" s="98">
        <f>AVERAGE(Table_1[[#This Row],[CAGR LUCRO 5A]],Table_1[[#This Row],[CRESCIMENTO DAMODARAN]])</f>
        <v/>
      </c>
      <c r="U521" s="64">
        <f>(Table_1[[#This Row],[PREÇO JUSTO BAZIN]]-Table_1[[#This Row],[PREÇO]])/Table_1[[#This Row],[PREÇO JUSTO BAZIN]]</f>
        <v/>
      </c>
      <c r="V521" s="129">
        <f>Table_1[[#This Row],[DPA]]/6%</f>
        <v/>
      </c>
      <c r="W521" s="129">
        <f>Table_1[[#This Row],[PREÇO JUSTO BAZIN]]/(1+Table_1[[#This Row],[MARGEM DE DESCONTO]])</f>
        <v/>
      </c>
      <c r="X521" s="64">
        <f>(Table_1[[#This Row],[PREÇO JUSTO GRAHAM]]-Table_1[[#This Row],[PREÇO]])/Table_1[[#This Row],[PREÇO JUSTO GRAHAM]]</f>
        <v/>
      </c>
      <c r="Y521" s="129">
        <f>(22.5*Table_1[[#This Row],[LPA]]*Table_1[[#This Row],[VPA]])^0.5</f>
        <v/>
      </c>
      <c r="Z521" s="129">
        <f>Table_1[[#This Row],[PREÇO JUSTO GRAHAM]]/(1+Table_1[[#This Row],[MARGEM DE DESCONTO]])</f>
        <v/>
      </c>
      <c r="AA521" s="64">
        <f>(Table_1[[#This Row],[PREÇO JUSTO GORDON]]-Table_1[[#This Row],[PREÇO]])/Table_1[[#This Row],[PREÇO JUSTO GORDON]]</f>
        <v/>
      </c>
      <c r="AB521" s="130">
        <f>Table_1[[#This Row],[DPA]]*(1+Table_1[[#This Row],[MÉDIA DE CRESCIMENTO]])</f>
        <v/>
      </c>
      <c r="AC521" s="130">
        <f>Table_1[[#This Row],[D1]]/(Table_1[[#This Row],[RISCO]]-Table_1[[#This Row],[MÉDIA DE CRESCIMENTO]])</f>
        <v/>
      </c>
      <c r="AD521" s="130">
        <f>Table_1[[#This Row],[PREÇO JUSTO GORDON]]/(1+Table_1[[#This Row],[MARGEM DE DESCONTO]])</f>
        <v/>
      </c>
      <c r="AE521" s="78">
        <f>Table_1[[#This Row],[P/L]]/Table_1[[#This Row],[MÉDIA DE CRESCIMENTO]]</f>
        <v/>
      </c>
    </row>
    <row r="522" ht="15.75" customHeight="1">
      <c r="B522" s="77">
        <f>'Dados Status Invest'!A508</f>
        <v/>
      </c>
      <c r="C522" s="60">
        <f>VLOOKUP(Table_1[[#This Row],[AÇÕES]],'Classificação B3'!A:B,2,0)</f>
        <v/>
      </c>
      <c r="D522" s="60">
        <f>VLOOKUP(Table_1[[#This Row],[AÇÕES]],'Classificação B3'!A:D,4,0)</f>
        <v/>
      </c>
      <c r="E522" s="60">
        <f>VLOOKUP(Table_1[[#This Row],[AÇÕES]],'Classificação B3'!A:F,6,0)</f>
        <v/>
      </c>
      <c r="F522" s="60">
        <f>VLOOKUP(Table_1[[#This Row],[AÇÕES]],'Classificação B3'!A:G,7,0)</f>
        <v/>
      </c>
      <c r="G522" s="61">
        <f>VLOOKUP(Table_1[[#This Row],[AÇÕES]],'Dados Status Invest'!A:B,2,0)</f>
        <v/>
      </c>
      <c r="H522" s="62">
        <f>VLOOKUP(Table_1[[#This Row],[AÇÕES]],'Dados Status Invest'!A:C,3,0)/100</f>
        <v/>
      </c>
      <c r="I522" s="62">
        <f>VLOOKUP(Table_1[[#This Row],[AÇÕES]],'Dados Status Invest'!A:D,4,0)/100</f>
        <v/>
      </c>
      <c r="J522" s="63">
        <f>VLOOKUP(Table_1[[#This Row],[AÇÕES]],'Dados Status Invest'!A:AB,28,0)</f>
        <v/>
      </c>
      <c r="K522" s="63">
        <f>VLOOKUP(Table_1[[#This Row],[AÇÕES]],'Dados Status Invest'!A:AA,27,0)</f>
        <v/>
      </c>
      <c r="L522" s="63">
        <f>Table_1[[#This Row],[PREÇO]]*Table_1[[#This Row],[DY]]</f>
        <v/>
      </c>
      <c r="M522" s="62">
        <f>$E$13</f>
        <v/>
      </c>
      <c r="N522" s="62" t="n">
        <v>0.3</v>
      </c>
      <c r="O522" s="62">
        <f>Table_1[[#This Row],[DPA]]/Table_1[[#This Row],[LPA]]</f>
        <v/>
      </c>
      <c r="P522" s="62">
        <f>IF(Table_1[[#This Row],[PAYOUT]]&lt;=40%,"CRESCIMENTO",IF(Table_1[[#This Row],[PAYOUT]]&lt;=60%,"INDEFINIDO","DIVIDENDOS"))</f>
        <v/>
      </c>
      <c r="Q522" s="62">
        <f>VLOOKUP(Table_1[[#This Row],[AÇÕES]],'Dados Status Invest'!A:R,18,0)/100</f>
        <v/>
      </c>
      <c r="R522" s="62">
        <f>VLOOKUP(Table_1[[#This Row],[AÇÕES]],'Dados Status Invest'!A:Y,25,0)/100</f>
        <v/>
      </c>
      <c r="S522" s="62">
        <f>(1-Table_1[[#This Row],[PAYOUT]])*Table_1[[#This Row],[ROE]]</f>
        <v/>
      </c>
      <c r="T522" s="98">
        <f>AVERAGE(Table_1[[#This Row],[CAGR LUCRO 5A]],Table_1[[#This Row],[CRESCIMENTO DAMODARAN]])</f>
        <v/>
      </c>
      <c r="U522" s="64">
        <f>(Table_1[[#This Row],[PREÇO JUSTO BAZIN]]-Table_1[[#This Row],[PREÇO]])/Table_1[[#This Row],[PREÇO JUSTO BAZIN]]</f>
        <v/>
      </c>
      <c r="V522" s="129">
        <f>Table_1[[#This Row],[DPA]]/6%</f>
        <v/>
      </c>
      <c r="W522" s="129">
        <f>Table_1[[#This Row],[PREÇO JUSTO BAZIN]]/(1+Table_1[[#This Row],[MARGEM DE DESCONTO]])</f>
        <v/>
      </c>
      <c r="X522" s="64">
        <f>(Table_1[[#This Row],[PREÇO JUSTO GRAHAM]]-Table_1[[#This Row],[PREÇO]])/Table_1[[#This Row],[PREÇO JUSTO GRAHAM]]</f>
        <v/>
      </c>
      <c r="Y522" s="129">
        <f>(22.5*Table_1[[#This Row],[LPA]]*Table_1[[#This Row],[VPA]])^0.5</f>
        <v/>
      </c>
      <c r="Z522" s="129">
        <f>Table_1[[#This Row],[PREÇO JUSTO GRAHAM]]/(1+Table_1[[#This Row],[MARGEM DE DESCONTO]])</f>
        <v/>
      </c>
      <c r="AA522" s="64">
        <f>(Table_1[[#This Row],[PREÇO JUSTO GORDON]]-Table_1[[#This Row],[PREÇO]])/Table_1[[#This Row],[PREÇO JUSTO GORDON]]</f>
        <v/>
      </c>
      <c r="AB522" s="130">
        <f>Table_1[[#This Row],[DPA]]*(1+Table_1[[#This Row],[MÉDIA DE CRESCIMENTO]])</f>
        <v/>
      </c>
      <c r="AC522" s="130">
        <f>Table_1[[#This Row],[D1]]/(Table_1[[#This Row],[RISCO]]-Table_1[[#This Row],[MÉDIA DE CRESCIMENTO]])</f>
        <v/>
      </c>
      <c r="AD522" s="130">
        <f>Table_1[[#This Row],[PREÇO JUSTO GORDON]]/(1+Table_1[[#This Row],[MARGEM DE DESCONTO]])</f>
        <v/>
      </c>
      <c r="AE522" s="78">
        <f>Table_1[[#This Row],[P/L]]/Table_1[[#This Row],[MÉDIA DE CRESCIMENTO]]</f>
        <v/>
      </c>
    </row>
    <row r="523" ht="15.75" customHeight="1">
      <c r="B523" s="77">
        <f>'Dados Status Invest'!A509</f>
        <v/>
      </c>
      <c r="C523" s="60">
        <f>VLOOKUP(Table_1[[#This Row],[AÇÕES]],'Classificação B3'!A:B,2,0)</f>
        <v/>
      </c>
      <c r="D523" s="60">
        <f>VLOOKUP(Table_1[[#This Row],[AÇÕES]],'Classificação B3'!A:D,4,0)</f>
        <v/>
      </c>
      <c r="E523" s="60">
        <f>VLOOKUP(Table_1[[#This Row],[AÇÕES]],'Classificação B3'!A:F,6,0)</f>
        <v/>
      </c>
      <c r="F523" s="60">
        <f>VLOOKUP(Table_1[[#This Row],[AÇÕES]],'Classificação B3'!A:G,7,0)</f>
        <v/>
      </c>
      <c r="G523" s="61">
        <f>VLOOKUP(Table_1[[#This Row],[AÇÕES]],'Dados Status Invest'!A:B,2,0)</f>
        <v/>
      </c>
      <c r="H523" s="62">
        <f>VLOOKUP(Table_1[[#This Row],[AÇÕES]],'Dados Status Invest'!A:C,3,0)/100</f>
        <v/>
      </c>
      <c r="I523" s="62">
        <f>VLOOKUP(Table_1[[#This Row],[AÇÕES]],'Dados Status Invest'!A:D,4,0)/100</f>
        <v/>
      </c>
      <c r="J523" s="63">
        <f>VLOOKUP(Table_1[[#This Row],[AÇÕES]],'Dados Status Invest'!A:AB,28,0)</f>
        <v/>
      </c>
      <c r="K523" s="63">
        <f>VLOOKUP(Table_1[[#This Row],[AÇÕES]],'Dados Status Invest'!A:AA,27,0)</f>
        <v/>
      </c>
      <c r="L523" s="63">
        <f>Table_1[[#This Row],[PREÇO]]*Table_1[[#This Row],[DY]]</f>
        <v/>
      </c>
      <c r="M523" s="62">
        <f>$E$13</f>
        <v/>
      </c>
      <c r="N523" s="62" t="n">
        <v>0.3</v>
      </c>
      <c r="O523" s="62">
        <f>Table_1[[#This Row],[DPA]]/Table_1[[#This Row],[LPA]]</f>
        <v/>
      </c>
      <c r="P523" s="62">
        <f>IF(Table_1[[#This Row],[PAYOUT]]&lt;=40%,"CRESCIMENTO",IF(Table_1[[#This Row],[PAYOUT]]&lt;=60%,"INDEFINIDO","DIVIDENDOS"))</f>
        <v/>
      </c>
      <c r="Q523" s="62">
        <f>VLOOKUP(Table_1[[#This Row],[AÇÕES]],'Dados Status Invest'!A:R,18,0)/100</f>
        <v/>
      </c>
      <c r="R523" s="62">
        <f>VLOOKUP(Table_1[[#This Row],[AÇÕES]],'Dados Status Invest'!A:Y,25,0)/100</f>
        <v/>
      </c>
      <c r="S523" s="62">
        <f>(1-Table_1[[#This Row],[PAYOUT]])*Table_1[[#This Row],[ROE]]</f>
        <v/>
      </c>
      <c r="T523" s="98">
        <f>AVERAGE(Table_1[[#This Row],[CAGR LUCRO 5A]],Table_1[[#This Row],[CRESCIMENTO DAMODARAN]])</f>
        <v/>
      </c>
      <c r="U523" s="64">
        <f>(Table_1[[#This Row],[PREÇO JUSTO BAZIN]]-Table_1[[#This Row],[PREÇO]])/Table_1[[#This Row],[PREÇO JUSTO BAZIN]]</f>
        <v/>
      </c>
      <c r="V523" s="129">
        <f>Table_1[[#This Row],[DPA]]/6%</f>
        <v/>
      </c>
      <c r="W523" s="129">
        <f>Table_1[[#This Row],[PREÇO JUSTO BAZIN]]/(1+Table_1[[#This Row],[MARGEM DE DESCONTO]])</f>
        <v/>
      </c>
      <c r="X523" s="64">
        <f>(Table_1[[#This Row],[PREÇO JUSTO GRAHAM]]-Table_1[[#This Row],[PREÇO]])/Table_1[[#This Row],[PREÇO JUSTO GRAHAM]]</f>
        <v/>
      </c>
      <c r="Y523" s="129">
        <f>(22.5*Table_1[[#This Row],[LPA]]*Table_1[[#This Row],[VPA]])^0.5</f>
        <v/>
      </c>
      <c r="Z523" s="129">
        <f>Table_1[[#This Row],[PREÇO JUSTO GRAHAM]]/(1+Table_1[[#This Row],[MARGEM DE DESCONTO]])</f>
        <v/>
      </c>
      <c r="AA523" s="64">
        <f>(Table_1[[#This Row],[PREÇO JUSTO GORDON]]-Table_1[[#This Row],[PREÇO]])/Table_1[[#This Row],[PREÇO JUSTO GORDON]]</f>
        <v/>
      </c>
      <c r="AB523" s="130">
        <f>Table_1[[#This Row],[DPA]]*(1+Table_1[[#This Row],[MÉDIA DE CRESCIMENTO]])</f>
        <v/>
      </c>
      <c r="AC523" s="130">
        <f>Table_1[[#This Row],[D1]]/(Table_1[[#This Row],[RISCO]]-Table_1[[#This Row],[MÉDIA DE CRESCIMENTO]])</f>
        <v/>
      </c>
      <c r="AD523" s="130">
        <f>Table_1[[#This Row],[PREÇO JUSTO GORDON]]/(1+Table_1[[#This Row],[MARGEM DE DESCONTO]])</f>
        <v/>
      </c>
      <c r="AE523" s="78">
        <f>Table_1[[#This Row],[P/L]]/Table_1[[#This Row],[MÉDIA DE CRESCIMENTO]]</f>
        <v/>
      </c>
    </row>
    <row r="524" ht="15.75" customHeight="1">
      <c r="B524" s="77">
        <f>'Dados Status Invest'!A510</f>
        <v/>
      </c>
      <c r="C524" s="60">
        <f>VLOOKUP(Table_1[[#This Row],[AÇÕES]],'Classificação B3'!A:B,2,0)</f>
        <v/>
      </c>
      <c r="D524" s="60">
        <f>VLOOKUP(Table_1[[#This Row],[AÇÕES]],'Classificação B3'!A:D,4,0)</f>
        <v/>
      </c>
      <c r="E524" s="60">
        <f>VLOOKUP(Table_1[[#This Row],[AÇÕES]],'Classificação B3'!A:F,6,0)</f>
        <v/>
      </c>
      <c r="F524" s="60">
        <f>VLOOKUP(Table_1[[#This Row],[AÇÕES]],'Classificação B3'!A:G,7,0)</f>
        <v/>
      </c>
      <c r="G524" s="61">
        <f>VLOOKUP(Table_1[[#This Row],[AÇÕES]],'Dados Status Invest'!A:B,2,0)</f>
        <v/>
      </c>
      <c r="H524" s="62">
        <f>VLOOKUP(Table_1[[#This Row],[AÇÕES]],'Dados Status Invest'!A:C,3,0)/100</f>
        <v/>
      </c>
      <c r="I524" s="62">
        <f>VLOOKUP(Table_1[[#This Row],[AÇÕES]],'Dados Status Invest'!A:D,4,0)/100</f>
        <v/>
      </c>
      <c r="J524" s="63">
        <f>VLOOKUP(Table_1[[#This Row],[AÇÕES]],'Dados Status Invest'!A:AB,28,0)</f>
        <v/>
      </c>
      <c r="K524" s="63">
        <f>VLOOKUP(Table_1[[#This Row],[AÇÕES]],'Dados Status Invest'!A:AA,27,0)</f>
        <v/>
      </c>
      <c r="L524" s="63">
        <f>Table_1[[#This Row],[PREÇO]]*Table_1[[#This Row],[DY]]</f>
        <v/>
      </c>
      <c r="M524" s="62">
        <f>$E$13</f>
        <v/>
      </c>
      <c r="N524" s="62" t="n">
        <v>0.3</v>
      </c>
      <c r="O524" s="62">
        <f>Table_1[[#This Row],[DPA]]/Table_1[[#This Row],[LPA]]</f>
        <v/>
      </c>
      <c r="P524" s="62">
        <f>IF(Table_1[[#This Row],[PAYOUT]]&lt;=40%,"CRESCIMENTO",IF(Table_1[[#This Row],[PAYOUT]]&lt;=60%,"INDEFINIDO","DIVIDENDOS"))</f>
        <v/>
      </c>
      <c r="Q524" s="62">
        <f>VLOOKUP(Table_1[[#This Row],[AÇÕES]],'Dados Status Invest'!A:R,18,0)/100</f>
        <v/>
      </c>
      <c r="R524" s="62">
        <f>VLOOKUP(Table_1[[#This Row],[AÇÕES]],'Dados Status Invest'!A:Y,25,0)/100</f>
        <v/>
      </c>
      <c r="S524" s="62">
        <f>(1-Table_1[[#This Row],[PAYOUT]])*Table_1[[#This Row],[ROE]]</f>
        <v/>
      </c>
      <c r="T524" s="98">
        <f>AVERAGE(Table_1[[#This Row],[CAGR LUCRO 5A]],Table_1[[#This Row],[CRESCIMENTO DAMODARAN]])</f>
        <v/>
      </c>
      <c r="U524" s="64">
        <f>(Table_1[[#This Row],[PREÇO JUSTO BAZIN]]-Table_1[[#This Row],[PREÇO]])/Table_1[[#This Row],[PREÇO JUSTO BAZIN]]</f>
        <v/>
      </c>
      <c r="V524" s="129">
        <f>Table_1[[#This Row],[DPA]]/6%</f>
        <v/>
      </c>
      <c r="W524" s="129">
        <f>Table_1[[#This Row],[PREÇO JUSTO BAZIN]]/(1+Table_1[[#This Row],[MARGEM DE DESCONTO]])</f>
        <v/>
      </c>
      <c r="X524" s="64">
        <f>(Table_1[[#This Row],[PREÇO JUSTO GRAHAM]]-Table_1[[#This Row],[PREÇO]])/Table_1[[#This Row],[PREÇO JUSTO GRAHAM]]</f>
        <v/>
      </c>
      <c r="Y524" s="129">
        <f>(22.5*Table_1[[#This Row],[LPA]]*Table_1[[#This Row],[VPA]])^0.5</f>
        <v/>
      </c>
      <c r="Z524" s="129">
        <f>Table_1[[#This Row],[PREÇO JUSTO GRAHAM]]/(1+Table_1[[#This Row],[MARGEM DE DESCONTO]])</f>
        <v/>
      </c>
      <c r="AA524" s="64">
        <f>(Table_1[[#This Row],[PREÇO JUSTO GORDON]]-Table_1[[#This Row],[PREÇO]])/Table_1[[#This Row],[PREÇO JUSTO GORDON]]</f>
        <v/>
      </c>
      <c r="AB524" s="130">
        <f>Table_1[[#This Row],[DPA]]*(1+Table_1[[#This Row],[MÉDIA DE CRESCIMENTO]])</f>
        <v/>
      </c>
      <c r="AC524" s="130">
        <f>Table_1[[#This Row],[D1]]/(Table_1[[#This Row],[RISCO]]-Table_1[[#This Row],[MÉDIA DE CRESCIMENTO]])</f>
        <v/>
      </c>
      <c r="AD524" s="130">
        <f>Table_1[[#This Row],[PREÇO JUSTO GORDON]]/(1+Table_1[[#This Row],[MARGEM DE DESCONTO]])</f>
        <v/>
      </c>
      <c r="AE524" s="78">
        <f>Table_1[[#This Row],[P/L]]/Table_1[[#This Row],[MÉDIA DE CRESCIMENTO]]</f>
        <v/>
      </c>
    </row>
    <row r="525" ht="15.75" customHeight="1">
      <c r="B525" s="77">
        <f>'Dados Status Invest'!A511</f>
        <v/>
      </c>
      <c r="C525" s="60">
        <f>VLOOKUP(Table_1[[#This Row],[AÇÕES]],'Classificação B3'!A:B,2,0)</f>
        <v/>
      </c>
      <c r="D525" s="60">
        <f>VLOOKUP(Table_1[[#This Row],[AÇÕES]],'Classificação B3'!A:D,4,0)</f>
        <v/>
      </c>
      <c r="E525" s="60">
        <f>VLOOKUP(Table_1[[#This Row],[AÇÕES]],'Classificação B3'!A:F,6,0)</f>
        <v/>
      </c>
      <c r="F525" s="60">
        <f>VLOOKUP(Table_1[[#This Row],[AÇÕES]],'Classificação B3'!A:G,7,0)</f>
        <v/>
      </c>
      <c r="G525" s="61">
        <f>VLOOKUP(Table_1[[#This Row],[AÇÕES]],'Dados Status Invest'!A:B,2,0)</f>
        <v/>
      </c>
      <c r="H525" s="62">
        <f>VLOOKUP(Table_1[[#This Row],[AÇÕES]],'Dados Status Invest'!A:C,3,0)/100</f>
        <v/>
      </c>
      <c r="I525" s="62">
        <f>VLOOKUP(Table_1[[#This Row],[AÇÕES]],'Dados Status Invest'!A:D,4,0)/100</f>
        <v/>
      </c>
      <c r="J525" s="63">
        <f>VLOOKUP(Table_1[[#This Row],[AÇÕES]],'Dados Status Invest'!A:AB,28,0)</f>
        <v/>
      </c>
      <c r="K525" s="63">
        <f>VLOOKUP(Table_1[[#This Row],[AÇÕES]],'Dados Status Invest'!A:AA,27,0)</f>
        <v/>
      </c>
      <c r="L525" s="63">
        <f>Table_1[[#This Row],[PREÇO]]*Table_1[[#This Row],[DY]]</f>
        <v/>
      </c>
      <c r="M525" s="62">
        <f>$E$13</f>
        <v/>
      </c>
      <c r="N525" s="62" t="n">
        <v>0.3</v>
      </c>
      <c r="O525" s="62">
        <f>Table_1[[#This Row],[DPA]]/Table_1[[#This Row],[LPA]]</f>
        <v/>
      </c>
      <c r="P525" s="62">
        <f>IF(Table_1[[#This Row],[PAYOUT]]&lt;=40%,"CRESCIMENTO",IF(Table_1[[#This Row],[PAYOUT]]&lt;=60%,"INDEFINIDO","DIVIDENDOS"))</f>
        <v/>
      </c>
      <c r="Q525" s="62">
        <f>VLOOKUP(Table_1[[#This Row],[AÇÕES]],'Dados Status Invest'!A:R,18,0)/100</f>
        <v/>
      </c>
      <c r="R525" s="62">
        <f>VLOOKUP(Table_1[[#This Row],[AÇÕES]],'Dados Status Invest'!A:Y,25,0)/100</f>
        <v/>
      </c>
      <c r="S525" s="62">
        <f>(1-Table_1[[#This Row],[PAYOUT]])*Table_1[[#This Row],[ROE]]</f>
        <v/>
      </c>
      <c r="T525" s="98">
        <f>AVERAGE(Table_1[[#This Row],[CAGR LUCRO 5A]],Table_1[[#This Row],[CRESCIMENTO DAMODARAN]])</f>
        <v/>
      </c>
      <c r="U525" s="64">
        <f>(Table_1[[#This Row],[PREÇO JUSTO BAZIN]]-Table_1[[#This Row],[PREÇO]])/Table_1[[#This Row],[PREÇO JUSTO BAZIN]]</f>
        <v/>
      </c>
      <c r="V525" s="129">
        <f>Table_1[[#This Row],[DPA]]/6%</f>
        <v/>
      </c>
      <c r="W525" s="129">
        <f>Table_1[[#This Row],[PREÇO JUSTO BAZIN]]/(1+Table_1[[#This Row],[MARGEM DE DESCONTO]])</f>
        <v/>
      </c>
      <c r="X525" s="64">
        <f>(Table_1[[#This Row],[PREÇO JUSTO GRAHAM]]-Table_1[[#This Row],[PREÇO]])/Table_1[[#This Row],[PREÇO JUSTO GRAHAM]]</f>
        <v/>
      </c>
      <c r="Y525" s="129">
        <f>(22.5*Table_1[[#This Row],[LPA]]*Table_1[[#This Row],[VPA]])^0.5</f>
        <v/>
      </c>
      <c r="Z525" s="129">
        <f>Table_1[[#This Row],[PREÇO JUSTO GRAHAM]]/(1+Table_1[[#This Row],[MARGEM DE DESCONTO]])</f>
        <v/>
      </c>
      <c r="AA525" s="64">
        <f>(Table_1[[#This Row],[PREÇO JUSTO GORDON]]-Table_1[[#This Row],[PREÇO]])/Table_1[[#This Row],[PREÇO JUSTO GORDON]]</f>
        <v/>
      </c>
      <c r="AB525" s="130">
        <f>Table_1[[#This Row],[DPA]]*(1+Table_1[[#This Row],[MÉDIA DE CRESCIMENTO]])</f>
        <v/>
      </c>
      <c r="AC525" s="130">
        <f>Table_1[[#This Row],[D1]]/(Table_1[[#This Row],[RISCO]]-Table_1[[#This Row],[MÉDIA DE CRESCIMENTO]])</f>
        <v/>
      </c>
      <c r="AD525" s="130">
        <f>Table_1[[#This Row],[PREÇO JUSTO GORDON]]/(1+Table_1[[#This Row],[MARGEM DE DESCONTO]])</f>
        <v/>
      </c>
      <c r="AE525" s="78">
        <f>Table_1[[#This Row],[P/L]]/Table_1[[#This Row],[MÉDIA DE CRESCIMENTO]]</f>
        <v/>
      </c>
    </row>
    <row r="526" ht="15.75" customHeight="1">
      <c r="B526" s="77">
        <f>'Dados Status Invest'!A512</f>
        <v/>
      </c>
      <c r="C526" s="60">
        <f>VLOOKUP(Table_1[[#This Row],[AÇÕES]],'Classificação B3'!A:B,2,0)</f>
        <v/>
      </c>
      <c r="D526" s="60">
        <f>VLOOKUP(Table_1[[#This Row],[AÇÕES]],'Classificação B3'!A:D,4,0)</f>
        <v/>
      </c>
      <c r="E526" s="60">
        <f>VLOOKUP(Table_1[[#This Row],[AÇÕES]],'Classificação B3'!A:F,6,0)</f>
        <v/>
      </c>
      <c r="F526" s="60">
        <f>VLOOKUP(Table_1[[#This Row],[AÇÕES]],'Classificação B3'!A:G,7,0)</f>
        <v/>
      </c>
      <c r="G526" s="61">
        <f>VLOOKUP(Table_1[[#This Row],[AÇÕES]],'Dados Status Invest'!A:B,2,0)</f>
        <v/>
      </c>
      <c r="H526" s="62">
        <f>VLOOKUP(Table_1[[#This Row],[AÇÕES]],'Dados Status Invest'!A:C,3,0)/100</f>
        <v/>
      </c>
      <c r="I526" s="62">
        <f>VLOOKUP(Table_1[[#This Row],[AÇÕES]],'Dados Status Invest'!A:D,4,0)/100</f>
        <v/>
      </c>
      <c r="J526" s="63">
        <f>VLOOKUP(Table_1[[#This Row],[AÇÕES]],'Dados Status Invest'!A:AB,28,0)</f>
        <v/>
      </c>
      <c r="K526" s="63">
        <f>VLOOKUP(Table_1[[#This Row],[AÇÕES]],'Dados Status Invest'!A:AA,27,0)</f>
        <v/>
      </c>
      <c r="L526" s="63">
        <f>Table_1[[#This Row],[PREÇO]]*Table_1[[#This Row],[DY]]</f>
        <v/>
      </c>
      <c r="M526" s="62">
        <f>$E$13</f>
        <v/>
      </c>
      <c r="N526" s="62" t="n">
        <v>0.3</v>
      </c>
      <c r="O526" s="62">
        <f>Table_1[[#This Row],[DPA]]/Table_1[[#This Row],[LPA]]</f>
        <v/>
      </c>
      <c r="P526" s="62">
        <f>IF(Table_1[[#This Row],[PAYOUT]]&lt;=40%,"CRESCIMENTO",IF(Table_1[[#This Row],[PAYOUT]]&lt;=60%,"INDEFINIDO","DIVIDENDOS"))</f>
        <v/>
      </c>
      <c r="Q526" s="62">
        <f>VLOOKUP(Table_1[[#This Row],[AÇÕES]],'Dados Status Invest'!A:R,18,0)/100</f>
        <v/>
      </c>
      <c r="R526" s="62">
        <f>VLOOKUP(Table_1[[#This Row],[AÇÕES]],'Dados Status Invest'!A:Y,25,0)/100</f>
        <v/>
      </c>
      <c r="S526" s="62">
        <f>(1-Table_1[[#This Row],[PAYOUT]])*Table_1[[#This Row],[ROE]]</f>
        <v/>
      </c>
      <c r="T526" s="98">
        <f>AVERAGE(Table_1[[#This Row],[CAGR LUCRO 5A]],Table_1[[#This Row],[CRESCIMENTO DAMODARAN]])</f>
        <v/>
      </c>
      <c r="U526" s="64">
        <f>(Table_1[[#This Row],[PREÇO JUSTO BAZIN]]-Table_1[[#This Row],[PREÇO]])/Table_1[[#This Row],[PREÇO JUSTO BAZIN]]</f>
        <v/>
      </c>
      <c r="V526" s="129">
        <f>Table_1[[#This Row],[DPA]]/6%</f>
        <v/>
      </c>
      <c r="W526" s="129">
        <f>Table_1[[#This Row],[PREÇO JUSTO BAZIN]]/(1+Table_1[[#This Row],[MARGEM DE DESCONTO]])</f>
        <v/>
      </c>
      <c r="X526" s="64">
        <f>(Table_1[[#This Row],[PREÇO JUSTO GRAHAM]]-Table_1[[#This Row],[PREÇO]])/Table_1[[#This Row],[PREÇO JUSTO GRAHAM]]</f>
        <v/>
      </c>
      <c r="Y526" s="129">
        <f>(22.5*Table_1[[#This Row],[LPA]]*Table_1[[#This Row],[VPA]])^0.5</f>
        <v/>
      </c>
      <c r="Z526" s="129">
        <f>Table_1[[#This Row],[PREÇO JUSTO GRAHAM]]/(1+Table_1[[#This Row],[MARGEM DE DESCONTO]])</f>
        <v/>
      </c>
      <c r="AA526" s="64">
        <f>(Table_1[[#This Row],[PREÇO JUSTO GORDON]]-Table_1[[#This Row],[PREÇO]])/Table_1[[#This Row],[PREÇO JUSTO GORDON]]</f>
        <v/>
      </c>
      <c r="AB526" s="130">
        <f>Table_1[[#This Row],[DPA]]*(1+Table_1[[#This Row],[MÉDIA DE CRESCIMENTO]])</f>
        <v/>
      </c>
      <c r="AC526" s="130">
        <f>Table_1[[#This Row],[D1]]/(Table_1[[#This Row],[RISCO]]-Table_1[[#This Row],[MÉDIA DE CRESCIMENTO]])</f>
        <v/>
      </c>
      <c r="AD526" s="130">
        <f>Table_1[[#This Row],[PREÇO JUSTO GORDON]]/(1+Table_1[[#This Row],[MARGEM DE DESCONTO]])</f>
        <v/>
      </c>
      <c r="AE526" s="78">
        <f>Table_1[[#This Row],[P/L]]/Table_1[[#This Row],[MÉDIA DE CRESCIMENTO]]</f>
        <v/>
      </c>
    </row>
    <row r="527" ht="15.75" customHeight="1">
      <c r="B527" s="77">
        <f>'Dados Status Invest'!A513</f>
        <v/>
      </c>
      <c r="C527" s="60">
        <f>VLOOKUP(Table_1[[#This Row],[AÇÕES]],'Classificação B3'!A:B,2,0)</f>
        <v/>
      </c>
      <c r="D527" s="60">
        <f>VLOOKUP(Table_1[[#This Row],[AÇÕES]],'Classificação B3'!A:D,4,0)</f>
        <v/>
      </c>
      <c r="E527" s="60">
        <f>VLOOKUP(Table_1[[#This Row],[AÇÕES]],'Classificação B3'!A:F,6,0)</f>
        <v/>
      </c>
      <c r="F527" s="60">
        <f>VLOOKUP(Table_1[[#This Row],[AÇÕES]],'Classificação B3'!A:G,7,0)</f>
        <v/>
      </c>
      <c r="G527" s="61">
        <f>VLOOKUP(Table_1[[#This Row],[AÇÕES]],'Dados Status Invest'!A:B,2,0)</f>
        <v/>
      </c>
      <c r="H527" s="62">
        <f>VLOOKUP(Table_1[[#This Row],[AÇÕES]],'Dados Status Invest'!A:C,3,0)/100</f>
        <v/>
      </c>
      <c r="I527" s="62">
        <f>VLOOKUP(Table_1[[#This Row],[AÇÕES]],'Dados Status Invest'!A:D,4,0)/100</f>
        <v/>
      </c>
      <c r="J527" s="63">
        <f>VLOOKUP(Table_1[[#This Row],[AÇÕES]],'Dados Status Invest'!A:AB,28,0)</f>
        <v/>
      </c>
      <c r="K527" s="63">
        <f>VLOOKUP(Table_1[[#This Row],[AÇÕES]],'Dados Status Invest'!A:AA,27,0)</f>
        <v/>
      </c>
      <c r="L527" s="63">
        <f>Table_1[[#This Row],[PREÇO]]*Table_1[[#This Row],[DY]]</f>
        <v/>
      </c>
      <c r="M527" s="62">
        <f>$E$13</f>
        <v/>
      </c>
      <c r="N527" s="62" t="n">
        <v>0.3</v>
      </c>
      <c r="O527" s="62">
        <f>Table_1[[#This Row],[DPA]]/Table_1[[#This Row],[LPA]]</f>
        <v/>
      </c>
      <c r="P527" s="62">
        <f>IF(Table_1[[#This Row],[PAYOUT]]&lt;=40%,"CRESCIMENTO",IF(Table_1[[#This Row],[PAYOUT]]&lt;=60%,"INDEFINIDO","DIVIDENDOS"))</f>
        <v/>
      </c>
      <c r="Q527" s="62">
        <f>VLOOKUP(Table_1[[#This Row],[AÇÕES]],'Dados Status Invest'!A:R,18,0)/100</f>
        <v/>
      </c>
      <c r="R527" s="62">
        <f>VLOOKUP(Table_1[[#This Row],[AÇÕES]],'Dados Status Invest'!A:Y,25,0)/100</f>
        <v/>
      </c>
      <c r="S527" s="62">
        <f>(1-Table_1[[#This Row],[PAYOUT]])*Table_1[[#This Row],[ROE]]</f>
        <v/>
      </c>
      <c r="T527" s="98">
        <f>AVERAGE(Table_1[[#This Row],[CAGR LUCRO 5A]],Table_1[[#This Row],[CRESCIMENTO DAMODARAN]])</f>
        <v/>
      </c>
      <c r="U527" s="64">
        <f>(Table_1[[#This Row],[PREÇO JUSTO BAZIN]]-Table_1[[#This Row],[PREÇO]])/Table_1[[#This Row],[PREÇO JUSTO BAZIN]]</f>
        <v/>
      </c>
      <c r="V527" s="129">
        <f>Table_1[[#This Row],[DPA]]/6%</f>
        <v/>
      </c>
      <c r="W527" s="129">
        <f>Table_1[[#This Row],[PREÇO JUSTO BAZIN]]/(1+Table_1[[#This Row],[MARGEM DE DESCONTO]])</f>
        <v/>
      </c>
      <c r="X527" s="64">
        <f>(Table_1[[#This Row],[PREÇO JUSTO GRAHAM]]-Table_1[[#This Row],[PREÇO]])/Table_1[[#This Row],[PREÇO JUSTO GRAHAM]]</f>
        <v/>
      </c>
      <c r="Y527" s="129">
        <f>(22.5*Table_1[[#This Row],[LPA]]*Table_1[[#This Row],[VPA]])^0.5</f>
        <v/>
      </c>
      <c r="Z527" s="129">
        <f>Table_1[[#This Row],[PREÇO JUSTO GRAHAM]]/(1+Table_1[[#This Row],[MARGEM DE DESCONTO]])</f>
        <v/>
      </c>
      <c r="AA527" s="64">
        <f>(Table_1[[#This Row],[PREÇO JUSTO GORDON]]-Table_1[[#This Row],[PREÇO]])/Table_1[[#This Row],[PREÇO JUSTO GORDON]]</f>
        <v/>
      </c>
      <c r="AB527" s="130">
        <f>Table_1[[#This Row],[DPA]]*(1+Table_1[[#This Row],[MÉDIA DE CRESCIMENTO]])</f>
        <v/>
      </c>
      <c r="AC527" s="130">
        <f>Table_1[[#This Row],[D1]]/(Table_1[[#This Row],[RISCO]]-Table_1[[#This Row],[MÉDIA DE CRESCIMENTO]])</f>
        <v/>
      </c>
      <c r="AD527" s="130">
        <f>Table_1[[#This Row],[PREÇO JUSTO GORDON]]/(1+Table_1[[#This Row],[MARGEM DE DESCONTO]])</f>
        <v/>
      </c>
      <c r="AE527" s="78">
        <f>Table_1[[#This Row],[P/L]]/Table_1[[#This Row],[MÉDIA DE CRESCIMENTO]]</f>
        <v/>
      </c>
    </row>
    <row r="528" ht="15.75" customHeight="1">
      <c r="B528" s="77">
        <f>'Dados Status Invest'!A514</f>
        <v/>
      </c>
      <c r="C528" s="60">
        <f>VLOOKUP(Table_1[[#This Row],[AÇÕES]],'Classificação B3'!A:B,2,0)</f>
        <v/>
      </c>
      <c r="D528" s="60">
        <f>VLOOKUP(Table_1[[#This Row],[AÇÕES]],'Classificação B3'!A:D,4,0)</f>
        <v/>
      </c>
      <c r="E528" s="60">
        <f>VLOOKUP(Table_1[[#This Row],[AÇÕES]],'Classificação B3'!A:F,6,0)</f>
        <v/>
      </c>
      <c r="F528" s="60">
        <f>VLOOKUP(Table_1[[#This Row],[AÇÕES]],'Classificação B3'!A:G,7,0)</f>
        <v/>
      </c>
      <c r="G528" s="61">
        <f>VLOOKUP(Table_1[[#This Row],[AÇÕES]],'Dados Status Invest'!A:B,2,0)</f>
        <v/>
      </c>
      <c r="H528" s="62">
        <f>VLOOKUP(Table_1[[#This Row],[AÇÕES]],'Dados Status Invest'!A:C,3,0)/100</f>
        <v/>
      </c>
      <c r="I528" s="62">
        <f>VLOOKUP(Table_1[[#This Row],[AÇÕES]],'Dados Status Invest'!A:D,4,0)/100</f>
        <v/>
      </c>
      <c r="J528" s="63">
        <f>VLOOKUP(Table_1[[#This Row],[AÇÕES]],'Dados Status Invest'!A:AB,28,0)</f>
        <v/>
      </c>
      <c r="K528" s="63">
        <f>VLOOKUP(Table_1[[#This Row],[AÇÕES]],'Dados Status Invest'!A:AA,27,0)</f>
        <v/>
      </c>
      <c r="L528" s="63">
        <f>Table_1[[#This Row],[PREÇO]]*Table_1[[#This Row],[DY]]</f>
        <v/>
      </c>
      <c r="M528" s="62">
        <f>$E$13</f>
        <v/>
      </c>
      <c r="N528" s="62" t="n">
        <v>0.3</v>
      </c>
      <c r="O528" s="62">
        <f>Table_1[[#This Row],[DPA]]/Table_1[[#This Row],[LPA]]</f>
        <v/>
      </c>
      <c r="P528" s="62">
        <f>IF(Table_1[[#This Row],[PAYOUT]]&lt;=40%,"CRESCIMENTO",IF(Table_1[[#This Row],[PAYOUT]]&lt;=60%,"INDEFINIDO","DIVIDENDOS"))</f>
        <v/>
      </c>
      <c r="Q528" s="62">
        <f>VLOOKUP(Table_1[[#This Row],[AÇÕES]],'Dados Status Invest'!A:R,18,0)/100</f>
        <v/>
      </c>
      <c r="R528" s="62">
        <f>VLOOKUP(Table_1[[#This Row],[AÇÕES]],'Dados Status Invest'!A:Y,25,0)/100</f>
        <v/>
      </c>
      <c r="S528" s="62">
        <f>(1-Table_1[[#This Row],[PAYOUT]])*Table_1[[#This Row],[ROE]]</f>
        <v/>
      </c>
      <c r="T528" s="98">
        <f>AVERAGE(Table_1[[#This Row],[CAGR LUCRO 5A]],Table_1[[#This Row],[CRESCIMENTO DAMODARAN]])</f>
        <v/>
      </c>
      <c r="U528" s="64">
        <f>(Table_1[[#This Row],[PREÇO JUSTO BAZIN]]-Table_1[[#This Row],[PREÇO]])/Table_1[[#This Row],[PREÇO JUSTO BAZIN]]</f>
        <v/>
      </c>
      <c r="V528" s="129">
        <f>Table_1[[#This Row],[DPA]]/6%</f>
        <v/>
      </c>
      <c r="W528" s="129">
        <f>Table_1[[#This Row],[PREÇO JUSTO BAZIN]]/(1+Table_1[[#This Row],[MARGEM DE DESCONTO]])</f>
        <v/>
      </c>
      <c r="X528" s="64">
        <f>(Table_1[[#This Row],[PREÇO JUSTO GRAHAM]]-Table_1[[#This Row],[PREÇO]])/Table_1[[#This Row],[PREÇO JUSTO GRAHAM]]</f>
        <v/>
      </c>
      <c r="Y528" s="129">
        <f>(22.5*Table_1[[#This Row],[LPA]]*Table_1[[#This Row],[VPA]])^0.5</f>
        <v/>
      </c>
      <c r="Z528" s="129">
        <f>Table_1[[#This Row],[PREÇO JUSTO GRAHAM]]/(1+Table_1[[#This Row],[MARGEM DE DESCONTO]])</f>
        <v/>
      </c>
      <c r="AA528" s="64">
        <f>(Table_1[[#This Row],[PREÇO JUSTO GORDON]]-Table_1[[#This Row],[PREÇO]])/Table_1[[#This Row],[PREÇO JUSTO GORDON]]</f>
        <v/>
      </c>
      <c r="AB528" s="130">
        <f>Table_1[[#This Row],[DPA]]*(1+Table_1[[#This Row],[MÉDIA DE CRESCIMENTO]])</f>
        <v/>
      </c>
      <c r="AC528" s="130">
        <f>Table_1[[#This Row],[D1]]/(Table_1[[#This Row],[RISCO]]-Table_1[[#This Row],[MÉDIA DE CRESCIMENTO]])</f>
        <v/>
      </c>
      <c r="AD528" s="130">
        <f>Table_1[[#This Row],[PREÇO JUSTO GORDON]]/(1+Table_1[[#This Row],[MARGEM DE DESCONTO]])</f>
        <v/>
      </c>
      <c r="AE528" s="78">
        <f>Table_1[[#This Row],[P/L]]/Table_1[[#This Row],[MÉDIA DE CRESCIMENTO]]</f>
        <v/>
      </c>
    </row>
    <row r="529" ht="15.75" customHeight="1">
      <c r="B529" s="77">
        <f>'Dados Status Invest'!A515</f>
        <v/>
      </c>
      <c r="C529" s="60">
        <f>VLOOKUP(Table_1[[#This Row],[AÇÕES]],'Classificação B3'!A:B,2,0)</f>
        <v/>
      </c>
      <c r="D529" s="60">
        <f>VLOOKUP(Table_1[[#This Row],[AÇÕES]],'Classificação B3'!A:D,4,0)</f>
        <v/>
      </c>
      <c r="E529" s="60">
        <f>VLOOKUP(Table_1[[#This Row],[AÇÕES]],'Classificação B3'!A:F,6,0)</f>
        <v/>
      </c>
      <c r="F529" s="60">
        <f>VLOOKUP(Table_1[[#This Row],[AÇÕES]],'Classificação B3'!A:G,7,0)</f>
        <v/>
      </c>
      <c r="G529" s="61">
        <f>VLOOKUP(Table_1[[#This Row],[AÇÕES]],'Dados Status Invest'!A:B,2,0)</f>
        <v/>
      </c>
      <c r="H529" s="62">
        <f>VLOOKUP(Table_1[[#This Row],[AÇÕES]],'Dados Status Invest'!A:C,3,0)/100</f>
        <v/>
      </c>
      <c r="I529" s="62">
        <f>VLOOKUP(Table_1[[#This Row],[AÇÕES]],'Dados Status Invest'!A:D,4,0)/100</f>
        <v/>
      </c>
      <c r="J529" s="63">
        <f>VLOOKUP(Table_1[[#This Row],[AÇÕES]],'Dados Status Invest'!A:AB,28,0)</f>
        <v/>
      </c>
      <c r="K529" s="63">
        <f>VLOOKUP(Table_1[[#This Row],[AÇÕES]],'Dados Status Invest'!A:AA,27,0)</f>
        <v/>
      </c>
      <c r="L529" s="63">
        <f>Table_1[[#This Row],[PREÇO]]*Table_1[[#This Row],[DY]]</f>
        <v/>
      </c>
      <c r="M529" s="62">
        <f>$E$13</f>
        <v/>
      </c>
      <c r="N529" s="62" t="n">
        <v>0.3</v>
      </c>
      <c r="O529" s="62">
        <f>Table_1[[#This Row],[DPA]]/Table_1[[#This Row],[LPA]]</f>
        <v/>
      </c>
      <c r="P529" s="62">
        <f>IF(Table_1[[#This Row],[PAYOUT]]&lt;=40%,"CRESCIMENTO",IF(Table_1[[#This Row],[PAYOUT]]&lt;=60%,"INDEFINIDO","DIVIDENDOS"))</f>
        <v/>
      </c>
      <c r="Q529" s="62">
        <f>VLOOKUP(Table_1[[#This Row],[AÇÕES]],'Dados Status Invest'!A:R,18,0)/100</f>
        <v/>
      </c>
      <c r="R529" s="62">
        <f>VLOOKUP(Table_1[[#This Row],[AÇÕES]],'Dados Status Invest'!A:Y,25,0)/100</f>
        <v/>
      </c>
      <c r="S529" s="62">
        <f>(1-Table_1[[#This Row],[PAYOUT]])*Table_1[[#This Row],[ROE]]</f>
        <v/>
      </c>
      <c r="T529" s="98">
        <f>AVERAGE(Table_1[[#This Row],[CAGR LUCRO 5A]],Table_1[[#This Row],[CRESCIMENTO DAMODARAN]])</f>
        <v/>
      </c>
      <c r="U529" s="64">
        <f>(Table_1[[#This Row],[PREÇO JUSTO BAZIN]]-Table_1[[#This Row],[PREÇO]])/Table_1[[#This Row],[PREÇO JUSTO BAZIN]]</f>
        <v/>
      </c>
      <c r="V529" s="129">
        <f>Table_1[[#This Row],[DPA]]/6%</f>
        <v/>
      </c>
      <c r="W529" s="129">
        <f>Table_1[[#This Row],[PREÇO JUSTO BAZIN]]/(1+Table_1[[#This Row],[MARGEM DE DESCONTO]])</f>
        <v/>
      </c>
      <c r="X529" s="64">
        <f>(Table_1[[#This Row],[PREÇO JUSTO GRAHAM]]-Table_1[[#This Row],[PREÇO]])/Table_1[[#This Row],[PREÇO JUSTO GRAHAM]]</f>
        <v/>
      </c>
      <c r="Y529" s="129">
        <f>(22.5*Table_1[[#This Row],[LPA]]*Table_1[[#This Row],[VPA]])^0.5</f>
        <v/>
      </c>
      <c r="Z529" s="129">
        <f>Table_1[[#This Row],[PREÇO JUSTO GRAHAM]]/(1+Table_1[[#This Row],[MARGEM DE DESCONTO]])</f>
        <v/>
      </c>
      <c r="AA529" s="64">
        <f>(Table_1[[#This Row],[PREÇO JUSTO GORDON]]-Table_1[[#This Row],[PREÇO]])/Table_1[[#This Row],[PREÇO JUSTO GORDON]]</f>
        <v/>
      </c>
      <c r="AB529" s="130">
        <f>Table_1[[#This Row],[DPA]]*(1+Table_1[[#This Row],[MÉDIA DE CRESCIMENTO]])</f>
        <v/>
      </c>
      <c r="AC529" s="130">
        <f>Table_1[[#This Row],[D1]]/(Table_1[[#This Row],[RISCO]]-Table_1[[#This Row],[MÉDIA DE CRESCIMENTO]])</f>
        <v/>
      </c>
      <c r="AD529" s="130">
        <f>Table_1[[#This Row],[PREÇO JUSTO GORDON]]/(1+Table_1[[#This Row],[MARGEM DE DESCONTO]])</f>
        <v/>
      </c>
      <c r="AE529" s="78">
        <f>Table_1[[#This Row],[P/L]]/Table_1[[#This Row],[MÉDIA DE CRESCIMENTO]]</f>
        <v/>
      </c>
    </row>
    <row r="530" ht="15.75" customHeight="1">
      <c r="B530" s="77">
        <f>'Dados Status Invest'!A516</f>
        <v/>
      </c>
      <c r="C530" s="60">
        <f>VLOOKUP(Table_1[[#This Row],[AÇÕES]],'Classificação B3'!A:B,2,0)</f>
        <v/>
      </c>
      <c r="D530" s="60">
        <f>VLOOKUP(Table_1[[#This Row],[AÇÕES]],'Classificação B3'!A:D,4,0)</f>
        <v/>
      </c>
      <c r="E530" s="60">
        <f>VLOOKUP(Table_1[[#This Row],[AÇÕES]],'Classificação B3'!A:F,6,0)</f>
        <v/>
      </c>
      <c r="F530" s="60">
        <f>VLOOKUP(Table_1[[#This Row],[AÇÕES]],'Classificação B3'!A:G,7,0)</f>
        <v/>
      </c>
      <c r="G530" s="61">
        <f>VLOOKUP(Table_1[[#This Row],[AÇÕES]],'Dados Status Invest'!A:B,2,0)</f>
        <v/>
      </c>
      <c r="H530" s="62">
        <f>VLOOKUP(Table_1[[#This Row],[AÇÕES]],'Dados Status Invest'!A:C,3,0)/100</f>
        <v/>
      </c>
      <c r="I530" s="62">
        <f>VLOOKUP(Table_1[[#This Row],[AÇÕES]],'Dados Status Invest'!A:D,4,0)/100</f>
        <v/>
      </c>
      <c r="J530" s="63">
        <f>VLOOKUP(Table_1[[#This Row],[AÇÕES]],'Dados Status Invest'!A:AB,28,0)</f>
        <v/>
      </c>
      <c r="K530" s="63">
        <f>VLOOKUP(Table_1[[#This Row],[AÇÕES]],'Dados Status Invest'!A:AA,27,0)</f>
        <v/>
      </c>
      <c r="L530" s="63">
        <f>Table_1[[#This Row],[PREÇO]]*Table_1[[#This Row],[DY]]</f>
        <v/>
      </c>
      <c r="M530" s="62">
        <f>$E$13</f>
        <v/>
      </c>
      <c r="N530" s="62" t="n">
        <v>0.3</v>
      </c>
      <c r="O530" s="62">
        <f>Table_1[[#This Row],[DPA]]/Table_1[[#This Row],[LPA]]</f>
        <v/>
      </c>
      <c r="P530" s="62">
        <f>IF(Table_1[[#This Row],[PAYOUT]]&lt;=40%,"CRESCIMENTO",IF(Table_1[[#This Row],[PAYOUT]]&lt;=60%,"INDEFINIDO","DIVIDENDOS"))</f>
        <v/>
      </c>
      <c r="Q530" s="62">
        <f>VLOOKUP(Table_1[[#This Row],[AÇÕES]],'Dados Status Invest'!A:R,18,0)/100</f>
        <v/>
      </c>
      <c r="R530" s="62">
        <f>VLOOKUP(Table_1[[#This Row],[AÇÕES]],'Dados Status Invest'!A:Y,25,0)/100</f>
        <v/>
      </c>
      <c r="S530" s="62">
        <f>(1-Table_1[[#This Row],[PAYOUT]])*Table_1[[#This Row],[ROE]]</f>
        <v/>
      </c>
      <c r="T530" s="98">
        <f>AVERAGE(Table_1[[#This Row],[CAGR LUCRO 5A]],Table_1[[#This Row],[CRESCIMENTO DAMODARAN]])</f>
        <v/>
      </c>
      <c r="U530" s="64">
        <f>(Table_1[[#This Row],[PREÇO JUSTO BAZIN]]-Table_1[[#This Row],[PREÇO]])/Table_1[[#This Row],[PREÇO JUSTO BAZIN]]</f>
        <v/>
      </c>
      <c r="V530" s="129">
        <f>Table_1[[#This Row],[DPA]]/6%</f>
        <v/>
      </c>
      <c r="W530" s="129">
        <f>Table_1[[#This Row],[PREÇO JUSTO BAZIN]]/(1+Table_1[[#This Row],[MARGEM DE DESCONTO]])</f>
        <v/>
      </c>
      <c r="X530" s="64">
        <f>(Table_1[[#This Row],[PREÇO JUSTO GRAHAM]]-Table_1[[#This Row],[PREÇO]])/Table_1[[#This Row],[PREÇO JUSTO GRAHAM]]</f>
        <v/>
      </c>
      <c r="Y530" s="129">
        <f>(22.5*Table_1[[#This Row],[LPA]]*Table_1[[#This Row],[VPA]])^0.5</f>
        <v/>
      </c>
      <c r="Z530" s="129">
        <f>Table_1[[#This Row],[PREÇO JUSTO GRAHAM]]/(1+Table_1[[#This Row],[MARGEM DE DESCONTO]])</f>
        <v/>
      </c>
      <c r="AA530" s="64">
        <f>(Table_1[[#This Row],[PREÇO JUSTO GORDON]]-Table_1[[#This Row],[PREÇO]])/Table_1[[#This Row],[PREÇO JUSTO GORDON]]</f>
        <v/>
      </c>
      <c r="AB530" s="130">
        <f>Table_1[[#This Row],[DPA]]*(1+Table_1[[#This Row],[MÉDIA DE CRESCIMENTO]])</f>
        <v/>
      </c>
      <c r="AC530" s="130">
        <f>Table_1[[#This Row],[D1]]/(Table_1[[#This Row],[RISCO]]-Table_1[[#This Row],[MÉDIA DE CRESCIMENTO]])</f>
        <v/>
      </c>
      <c r="AD530" s="130">
        <f>Table_1[[#This Row],[PREÇO JUSTO GORDON]]/(1+Table_1[[#This Row],[MARGEM DE DESCONTO]])</f>
        <v/>
      </c>
      <c r="AE530" s="78">
        <f>Table_1[[#This Row],[P/L]]/Table_1[[#This Row],[MÉDIA DE CRESCIMENTO]]</f>
        <v/>
      </c>
    </row>
    <row r="531" ht="15.75" customHeight="1">
      <c r="B531" s="77">
        <f>'Dados Status Invest'!A517</f>
        <v/>
      </c>
      <c r="C531" s="60">
        <f>VLOOKUP(Table_1[[#This Row],[AÇÕES]],'Classificação B3'!A:B,2,0)</f>
        <v/>
      </c>
      <c r="D531" s="60">
        <f>VLOOKUP(Table_1[[#This Row],[AÇÕES]],'Classificação B3'!A:D,4,0)</f>
        <v/>
      </c>
      <c r="E531" s="60">
        <f>VLOOKUP(Table_1[[#This Row],[AÇÕES]],'Classificação B3'!A:F,6,0)</f>
        <v/>
      </c>
      <c r="F531" s="60">
        <f>VLOOKUP(Table_1[[#This Row],[AÇÕES]],'Classificação B3'!A:G,7,0)</f>
        <v/>
      </c>
      <c r="G531" s="61">
        <f>VLOOKUP(Table_1[[#This Row],[AÇÕES]],'Dados Status Invest'!A:B,2,0)</f>
        <v/>
      </c>
      <c r="H531" s="62">
        <f>VLOOKUP(Table_1[[#This Row],[AÇÕES]],'Dados Status Invest'!A:C,3,0)/100</f>
        <v/>
      </c>
      <c r="I531" s="62">
        <f>VLOOKUP(Table_1[[#This Row],[AÇÕES]],'Dados Status Invest'!A:D,4,0)/100</f>
        <v/>
      </c>
      <c r="J531" s="63">
        <f>VLOOKUP(Table_1[[#This Row],[AÇÕES]],'Dados Status Invest'!A:AB,28,0)</f>
        <v/>
      </c>
      <c r="K531" s="63">
        <f>VLOOKUP(Table_1[[#This Row],[AÇÕES]],'Dados Status Invest'!A:AA,27,0)</f>
        <v/>
      </c>
      <c r="L531" s="63">
        <f>Table_1[[#This Row],[PREÇO]]*Table_1[[#This Row],[DY]]</f>
        <v/>
      </c>
      <c r="M531" s="62">
        <f>$E$13</f>
        <v/>
      </c>
      <c r="N531" s="62" t="n">
        <v>0.3</v>
      </c>
      <c r="O531" s="62">
        <f>Table_1[[#This Row],[DPA]]/Table_1[[#This Row],[LPA]]</f>
        <v/>
      </c>
      <c r="P531" s="62">
        <f>IF(Table_1[[#This Row],[PAYOUT]]&lt;=40%,"CRESCIMENTO",IF(Table_1[[#This Row],[PAYOUT]]&lt;=60%,"INDEFINIDO","DIVIDENDOS"))</f>
        <v/>
      </c>
      <c r="Q531" s="62">
        <f>VLOOKUP(Table_1[[#This Row],[AÇÕES]],'Dados Status Invest'!A:R,18,0)/100</f>
        <v/>
      </c>
      <c r="R531" s="62">
        <f>VLOOKUP(Table_1[[#This Row],[AÇÕES]],'Dados Status Invest'!A:Y,25,0)/100</f>
        <v/>
      </c>
      <c r="S531" s="62">
        <f>(1-Table_1[[#This Row],[PAYOUT]])*Table_1[[#This Row],[ROE]]</f>
        <v/>
      </c>
      <c r="T531" s="98">
        <f>AVERAGE(Table_1[[#This Row],[CAGR LUCRO 5A]],Table_1[[#This Row],[CRESCIMENTO DAMODARAN]])</f>
        <v/>
      </c>
      <c r="U531" s="64">
        <f>(Table_1[[#This Row],[PREÇO JUSTO BAZIN]]-Table_1[[#This Row],[PREÇO]])/Table_1[[#This Row],[PREÇO JUSTO BAZIN]]</f>
        <v/>
      </c>
      <c r="V531" s="129">
        <f>Table_1[[#This Row],[DPA]]/6%</f>
        <v/>
      </c>
      <c r="W531" s="129">
        <f>Table_1[[#This Row],[PREÇO JUSTO BAZIN]]/(1+Table_1[[#This Row],[MARGEM DE DESCONTO]])</f>
        <v/>
      </c>
      <c r="X531" s="64">
        <f>(Table_1[[#This Row],[PREÇO JUSTO GRAHAM]]-Table_1[[#This Row],[PREÇO]])/Table_1[[#This Row],[PREÇO JUSTO GRAHAM]]</f>
        <v/>
      </c>
      <c r="Y531" s="129">
        <f>(22.5*Table_1[[#This Row],[LPA]]*Table_1[[#This Row],[VPA]])^0.5</f>
        <v/>
      </c>
      <c r="Z531" s="129">
        <f>Table_1[[#This Row],[PREÇO JUSTO GRAHAM]]/(1+Table_1[[#This Row],[MARGEM DE DESCONTO]])</f>
        <v/>
      </c>
      <c r="AA531" s="64">
        <f>(Table_1[[#This Row],[PREÇO JUSTO GORDON]]-Table_1[[#This Row],[PREÇO]])/Table_1[[#This Row],[PREÇO JUSTO GORDON]]</f>
        <v/>
      </c>
      <c r="AB531" s="130">
        <f>Table_1[[#This Row],[DPA]]*(1+Table_1[[#This Row],[MÉDIA DE CRESCIMENTO]])</f>
        <v/>
      </c>
      <c r="AC531" s="130">
        <f>Table_1[[#This Row],[D1]]/(Table_1[[#This Row],[RISCO]]-Table_1[[#This Row],[MÉDIA DE CRESCIMENTO]])</f>
        <v/>
      </c>
      <c r="AD531" s="130">
        <f>Table_1[[#This Row],[PREÇO JUSTO GORDON]]/(1+Table_1[[#This Row],[MARGEM DE DESCONTO]])</f>
        <v/>
      </c>
      <c r="AE531" s="78">
        <f>Table_1[[#This Row],[P/L]]/Table_1[[#This Row],[MÉDIA DE CRESCIMENTO]]</f>
        <v/>
      </c>
    </row>
    <row r="532" ht="15.75" customHeight="1">
      <c r="B532" s="77">
        <f>'Dados Status Invest'!A518</f>
        <v/>
      </c>
      <c r="C532" s="60">
        <f>VLOOKUP(Table_1[[#This Row],[AÇÕES]],'Classificação B3'!A:B,2,0)</f>
        <v/>
      </c>
      <c r="D532" s="60">
        <f>VLOOKUP(Table_1[[#This Row],[AÇÕES]],'Classificação B3'!A:D,4,0)</f>
        <v/>
      </c>
      <c r="E532" s="60">
        <f>VLOOKUP(Table_1[[#This Row],[AÇÕES]],'Classificação B3'!A:F,6,0)</f>
        <v/>
      </c>
      <c r="F532" s="60">
        <f>VLOOKUP(Table_1[[#This Row],[AÇÕES]],'Classificação B3'!A:G,7,0)</f>
        <v/>
      </c>
      <c r="G532" s="61">
        <f>VLOOKUP(Table_1[[#This Row],[AÇÕES]],'Dados Status Invest'!A:B,2,0)</f>
        <v/>
      </c>
      <c r="H532" s="62">
        <f>VLOOKUP(Table_1[[#This Row],[AÇÕES]],'Dados Status Invest'!A:C,3,0)/100</f>
        <v/>
      </c>
      <c r="I532" s="62">
        <f>VLOOKUP(Table_1[[#This Row],[AÇÕES]],'Dados Status Invest'!A:D,4,0)/100</f>
        <v/>
      </c>
      <c r="J532" s="63">
        <f>VLOOKUP(Table_1[[#This Row],[AÇÕES]],'Dados Status Invest'!A:AB,28,0)</f>
        <v/>
      </c>
      <c r="K532" s="63">
        <f>VLOOKUP(Table_1[[#This Row],[AÇÕES]],'Dados Status Invest'!A:AA,27,0)</f>
        <v/>
      </c>
      <c r="L532" s="63">
        <f>Table_1[[#This Row],[PREÇO]]*Table_1[[#This Row],[DY]]</f>
        <v/>
      </c>
      <c r="M532" s="62">
        <f>$E$13</f>
        <v/>
      </c>
      <c r="N532" s="62" t="n">
        <v>0.3</v>
      </c>
      <c r="O532" s="62">
        <f>Table_1[[#This Row],[DPA]]/Table_1[[#This Row],[LPA]]</f>
        <v/>
      </c>
      <c r="P532" s="62">
        <f>IF(Table_1[[#This Row],[PAYOUT]]&lt;=40%,"CRESCIMENTO",IF(Table_1[[#This Row],[PAYOUT]]&lt;=60%,"INDEFINIDO","DIVIDENDOS"))</f>
        <v/>
      </c>
      <c r="Q532" s="62">
        <f>VLOOKUP(Table_1[[#This Row],[AÇÕES]],'Dados Status Invest'!A:R,18,0)/100</f>
        <v/>
      </c>
      <c r="R532" s="62">
        <f>VLOOKUP(Table_1[[#This Row],[AÇÕES]],'Dados Status Invest'!A:Y,25,0)/100</f>
        <v/>
      </c>
      <c r="S532" s="62">
        <f>(1-Table_1[[#This Row],[PAYOUT]])*Table_1[[#This Row],[ROE]]</f>
        <v/>
      </c>
      <c r="T532" s="98">
        <f>AVERAGE(Table_1[[#This Row],[CAGR LUCRO 5A]],Table_1[[#This Row],[CRESCIMENTO DAMODARAN]])</f>
        <v/>
      </c>
      <c r="U532" s="64">
        <f>(Table_1[[#This Row],[PREÇO JUSTO BAZIN]]-Table_1[[#This Row],[PREÇO]])/Table_1[[#This Row],[PREÇO JUSTO BAZIN]]</f>
        <v/>
      </c>
      <c r="V532" s="129">
        <f>Table_1[[#This Row],[DPA]]/6%</f>
        <v/>
      </c>
      <c r="W532" s="129">
        <f>Table_1[[#This Row],[PREÇO JUSTO BAZIN]]/(1+Table_1[[#This Row],[MARGEM DE DESCONTO]])</f>
        <v/>
      </c>
      <c r="X532" s="64">
        <f>(Table_1[[#This Row],[PREÇO JUSTO GRAHAM]]-Table_1[[#This Row],[PREÇO]])/Table_1[[#This Row],[PREÇO JUSTO GRAHAM]]</f>
        <v/>
      </c>
      <c r="Y532" s="129">
        <f>(22.5*Table_1[[#This Row],[LPA]]*Table_1[[#This Row],[VPA]])^0.5</f>
        <v/>
      </c>
      <c r="Z532" s="129">
        <f>Table_1[[#This Row],[PREÇO JUSTO GRAHAM]]/(1+Table_1[[#This Row],[MARGEM DE DESCONTO]])</f>
        <v/>
      </c>
      <c r="AA532" s="64">
        <f>(Table_1[[#This Row],[PREÇO JUSTO GORDON]]-Table_1[[#This Row],[PREÇO]])/Table_1[[#This Row],[PREÇO JUSTO GORDON]]</f>
        <v/>
      </c>
      <c r="AB532" s="130">
        <f>Table_1[[#This Row],[DPA]]*(1+Table_1[[#This Row],[MÉDIA DE CRESCIMENTO]])</f>
        <v/>
      </c>
      <c r="AC532" s="130">
        <f>Table_1[[#This Row],[D1]]/(Table_1[[#This Row],[RISCO]]-Table_1[[#This Row],[MÉDIA DE CRESCIMENTO]])</f>
        <v/>
      </c>
      <c r="AD532" s="130">
        <f>Table_1[[#This Row],[PREÇO JUSTO GORDON]]/(1+Table_1[[#This Row],[MARGEM DE DESCONTO]])</f>
        <v/>
      </c>
      <c r="AE532" s="78">
        <f>Table_1[[#This Row],[P/L]]/Table_1[[#This Row],[MÉDIA DE CRESCIMENTO]]</f>
        <v/>
      </c>
    </row>
    <row r="533" ht="15.75" customHeight="1">
      <c r="B533" s="77">
        <f>'Dados Status Invest'!A519</f>
        <v/>
      </c>
      <c r="C533" s="60">
        <f>VLOOKUP(Table_1[[#This Row],[AÇÕES]],'Classificação B3'!A:B,2,0)</f>
        <v/>
      </c>
      <c r="D533" s="60">
        <f>VLOOKUP(Table_1[[#This Row],[AÇÕES]],'Classificação B3'!A:D,4,0)</f>
        <v/>
      </c>
      <c r="E533" s="60">
        <f>VLOOKUP(Table_1[[#This Row],[AÇÕES]],'Classificação B3'!A:F,6,0)</f>
        <v/>
      </c>
      <c r="F533" s="60">
        <f>VLOOKUP(Table_1[[#This Row],[AÇÕES]],'Classificação B3'!A:G,7,0)</f>
        <v/>
      </c>
      <c r="G533" s="61">
        <f>VLOOKUP(Table_1[[#This Row],[AÇÕES]],'Dados Status Invest'!A:B,2,0)</f>
        <v/>
      </c>
      <c r="H533" s="62">
        <f>VLOOKUP(Table_1[[#This Row],[AÇÕES]],'Dados Status Invest'!A:C,3,0)/100</f>
        <v/>
      </c>
      <c r="I533" s="62">
        <f>VLOOKUP(Table_1[[#This Row],[AÇÕES]],'Dados Status Invest'!A:D,4,0)/100</f>
        <v/>
      </c>
      <c r="J533" s="63">
        <f>VLOOKUP(Table_1[[#This Row],[AÇÕES]],'Dados Status Invest'!A:AB,28,0)</f>
        <v/>
      </c>
      <c r="K533" s="63">
        <f>VLOOKUP(Table_1[[#This Row],[AÇÕES]],'Dados Status Invest'!A:AA,27,0)</f>
        <v/>
      </c>
      <c r="L533" s="63">
        <f>Table_1[[#This Row],[PREÇO]]*Table_1[[#This Row],[DY]]</f>
        <v/>
      </c>
      <c r="M533" s="62">
        <f>$E$13</f>
        <v/>
      </c>
      <c r="N533" s="62" t="n">
        <v>0.3</v>
      </c>
      <c r="O533" s="62">
        <f>Table_1[[#This Row],[DPA]]/Table_1[[#This Row],[LPA]]</f>
        <v/>
      </c>
      <c r="P533" s="62">
        <f>IF(Table_1[[#This Row],[PAYOUT]]&lt;=40%,"CRESCIMENTO",IF(Table_1[[#This Row],[PAYOUT]]&lt;=60%,"INDEFINIDO","DIVIDENDOS"))</f>
        <v/>
      </c>
      <c r="Q533" s="62">
        <f>VLOOKUP(Table_1[[#This Row],[AÇÕES]],'Dados Status Invest'!A:R,18,0)/100</f>
        <v/>
      </c>
      <c r="R533" s="62">
        <f>VLOOKUP(Table_1[[#This Row],[AÇÕES]],'Dados Status Invest'!A:Y,25,0)/100</f>
        <v/>
      </c>
      <c r="S533" s="62">
        <f>(1-Table_1[[#This Row],[PAYOUT]])*Table_1[[#This Row],[ROE]]</f>
        <v/>
      </c>
      <c r="T533" s="98">
        <f>AVERAGE(Table_1[[#This Row],[CAGR LUCRO 5A]],Table_1[[#This Row],[CRESCIMENTO DAMODARAN]])</f>
        <v/>
      </c>
      <c r="U533" s="64">
        <f>(Table_1[[#This Row],[PREÇO JUSTO BAZIN]]-Table_1[[#This Row],[PREÇO]])/Table_1[[#This Row],[PREÇO JUSTO BAZIN]]</f>
        <v/>
      </c>
      <c r="V533" s="129">
        <f>Table_1[[#This Row],[DPA]]/6%</f>
        <v/>
      </c>
      <c r="W533" s="129">
        <f>Table_1[[#This Row],[PREÇO JUSTO BAZIN]]/(1+Table_1[[#This Row],[MARGEM DE DESCONTO]])</f>
        <v/>
      </c>
      <c r="X533" s="64">
        <f>(Table_1[[#This Row],[PREÇO JUSTO GRAHAM]]-Table_1[[#This Row],[PREÇO]])/Table_1[[#This Row],[PREÇO JUSTO GRAHAM]]</f>
        <v/>
      </c>
      <c r="Y533" s="129">
        <f>(22.5*Table_1[[#This Row],[LPA]]*Table_1[[#This Row],[VPA]])^0.5</f>
        <v/>
      </c>
      <c r="Z533" s="129">
        <f>Table_1[[#This Row],[PREÇO JUSTO GRAHAM]]/(1+Table_1[[#This Row],[MARGEM DE DESCONTO]])</f>
        <v/>
      </c>
      <c r="AA533" s="64">
        <f>(Table_1[[#This Row],[PREÇO JUSTO GORDON]]-Table_1[[#This Row],[PREÇO]])/Table_1[[#This Row],[PREÇO JUSTO GORDON]]</f>
        <v/>
      </c>
      <c r="AB533" s="130">
        <f>Table_1[[#This Row],[DPA]]*(1+Table_1[[#This Row],[MÉDIA DE CRESCIMENTO]])</f>
        <v/>
      </c>
      <c r="AC533" s="130">
        <f>Table_1[[#This Row],[D1]]/(Table_1[[#This Row],[RISCO]]-Table_1[[#This Row],[MÉDIA DE CRESCIMENTO]])</f>
        <v/>
      </c>
      <c r="AD533" s="130">
        <f>Table_1[[#This Row],[PREÇO JUSTO GORDON]]/(1+Table_1[[#This Row],[MARGEM DE DESCONTO]])</f>
        <v/>
      </c>
      <c r="AE533" s="78">
        <f>Table_1[[#This Row],[P/L]]/Table_1[[#This Row],[MÉDIA DE CRESCIMENTO]]</f>
        <v/>
      </c>
    </row>
    <row r="534" ht="15.75" customHeight="1">
      <c r="B534" s="77">
        <f>'Dados Status Invest'!A520</f>
        <v/>
      </c>
      <c r="C534" s="60">
        <f>VLOOKUP(Table_1[[#This Row],[AÇÕES]],'Classificação B3'!A:B,2,0)</f>
        <v/>
      </c>
      <c r="D534" s="60">
        <f>VLOOKUP(Table_1[[#This Row],[AÇÕES]],'Classificação B3'!A:D,4,0)</f>
        <v/>
      </c>
      <c r="E534" s="60">
        <f>VLOOKUP(Table_1[[#This Row],[AÇÕES]],'Classificação B3'!A:F,6,0)</f>
        <v/>
      </c>
      <c r="F534" s="60">
        <f>VLOOKUP(Table_1[[#This Row],[AÇÕES]],'Classificação B3'!A:G,7,0)</f>
        <v/>
      </c>
      <c r="G534" s="61">
        <f>VLOOKUP(Table_1[[#This Row],[AÇÕES]],'Dados Status Invest'!A:B,2,0)</f>
        <v/>
      </c>
      <c r="H534" s="62">
        <f>VLOOKUP(Table_1[[#This Row],[AÇÕES]],'Dados Status Invest'!A:C,3,0)/100</f>
        <v/>
      </c>
      <c r="I534" s="62">
        <f>VLOOKUP(Table_1[[#This Row],[AÇÕES]],'Dados Status Invest'!A:D,4,0)/100</f>
        <v/>
      </c>
      <c r="J534" s="63">
        <f>VLOOKUP(Table_1[[#This Row],[AÇÕES]],'Dados Status Invest'!A:AB,28,0)</f>
        <v/>
      </c>
      <c r="K534" s="63">
        <f>VLOOKUP(Table_1[[#This Row],[AÇÕES]],'Dados Status Invest'!A:AA,27,0)</f>
        <v/>
      </c>
      <c r="L534" s="63">
        <f>Table_1[[#This Row],[PREÇO]]*Table_1[[#This Row],[DY]]</f>
        <v/>
      </c>
      <c r="M534" s="62">
        <f>$E$13</f>
        <v/>
      </c>
      <c r="N534" s="62" t="n">
        <v>0.3</v>
      </c>
      <c r="O534" s="62">
        <f>Table_1[[#This Row],[DPA]]/Table_1[[#This Row],[LPA]]</f>
        <v/>
      </c>
      <c r="P534" s="62">
        <f>IF(Table_1[[#This Row],[PAYOUT]]&lt;=40%,"CRESCIMENTO",IF(Table_1[[#This Row],[PAYOUT]]&lt;=60%,"INDEFINIDO","DIVIDENDOS"))</f>
        <v/>
      </c>
      <c r="Q534" s="62">
        <f>VLOOKUP(Table_1[[#This Row],[AÇÕES]],'Dados Status Invest'!A:R,18,0)/100</f>
        <v/>
      </c>
      <c r="R534" s="62">
        <f>VLOOKUP(Table_1[[#This Row],[AÇÕES]],'Dados Status Invest'!A:Y,25,0)/100</f>
        <v/>
      </c>
      <c r="S534" s="62">
        <f>(1-Table_1[[#This Row],[PAYOUT]])*Table_1[[#This Row],[ROE]]</f>
        <v/>
      </c>
      <c r="T534" s="98">
        <f>AVERAGE(Table_1[[#This Row],[CAGR LUCRO 5A]],Table_1[[#This Row],[CRESCIMENTO DAMODARAN]])</f>
        <v/>
      </c>
      <c r="U534" s="64">
        <f>(Table_1[[#This Row],[PREÇO JUSTO BAZIN]]-Table_1[[#This Row],[PREÇO]])/Table_1[[#This Row],[PREÇO JUSTO BAZIN]]</f>
        <v/>
      </c>
      <c r="V534" s="129">
        <f>Table_1[[#This Row],[DPA]]/6%</f>
        <v/>
      </c>
      <c r="W534" s="129">
        <f>Table_1[[#This Row],[PREÇO JUSTO BAZIN]]/(1+Table_1[[#This Row],[MARGEM DE DESCONTO]])</f>
        <v/>
      </c>
      <c r="X534" s="64">
        <f>(Table_1[[#This Row],[PREÇO JUSTO GRAHAM]]-Table_1[[#This Row],[PREÇO]])/Table_1[[#This Row],[PREÇO JUSTO GRAHAM]]</f>
        <v/>
      </c>
      <c r="Y534" s="129">
        <f>(22.5*Table_1[[#This Row],[LPA]]*Table_1[[#This Row],[VPA]])^0.5</f>
        <v/>
      </c>
      <c r="Z534" s="129">
        <f>Table_1[[#This Row],[PREÇO JUSTO GRAHAM]]/(1+Table_1[[#This Row],[MARGEM DE DESCONTO]])</f>
        <v/>
      </c>
      <c r="AA534" s="64">
        <f>(Table_1[[#This Row],[PREÇO JUSTO GORDON]]-Table_1[[#This Row],[PREÇO]])/Table_1[[#This Row],[PREÇO JUSTO GORDON]]</f>
        <v/>
      </c>
      <c r="AB534" s="130">
        <f>Table_1[[#This Row],[DPA]]*(1+Table_1[[#This Row],[MÉDIA DE CRESCIMENTO]])</f>
        <v/>
      </c>
      <c r="AC534" s="130">
        <f>Table_1[[#This Row],[D1]]/(Table_1[[#This Row],[RISCO]]-Table_1[[#This Row],[MÉDIA DE CRESCIMENTO]])</f>
        <v/>
      </c>
      <c r="AD534" s="130">
        <f>Table_1[[#This Row],[PREÇO JUSTO GORDON]]/(1+Table_1[[#This Row],[MARGEM DE DESCONTO]])</f>
        <v/>
      </c>
      <c r="AE534" s="78">
        <f>Table_1[[#This Row],[P/L]]/Table_1[[#This Row],[MÉDIA DE CRESCIMENTO]]</f>
        <v/>
      </c>
    </row>
    <row r="535" ht="15.75" customHeight="1">
      <c r="B535" s="77">
        <f>'Dados Status Invest'!A521</f>
        <v/>
      </c>
      <c r="C535" s="60">
        <f>VLOOKUP(Table_1[[#This Row],[AÇÕES]],'Classificação B3'!A:B,2,0)</f>
        <v/>
      </c>
      <c r="D535" s="60">
        <f>VLOOKUP(Table_1[[#This Row],[AÇÕES]],'Classificação B3'!A:D,4,0)</f>
        <v/>
      </c>
      <c r="E535" s="60">
        <f>VLOOKUP(Table_1[[#This Row],[AÇÕES]],'Classificação B3'!A:F,6,0)</f>
        <v/>
      </c>
      <c r="F535" s="60">
        <f>VLOOKUP(Table_1[[#This Row],[AÇÕES]],'Classificação B3'!A:G,7,0)</f>
        <v/>
      </c>
      <c r="G535" s="61">
        <f>VLOOKUP(Table_1[[#This Row],[AÇÕES]],'Dados Status Invest'!A:B,2,0)</f>
        <v/>
      </c>
      <c r="H535" s="62">
        <f>VLOOKUP(Table_1[[#This Row],[AÇÕES]],'Dados Status Invest'!A:C,3,0)/100</f>
        <v/>
      </c>
      <c r="I535" s="62">
        <f>VLOOKUP(Table_1[[#This Row],[AÇÕES]],'Dados Status Invest'!A:D,4,0)/100</f>
        <v/>
      </c>
      <c r="J535" s="63">
        <f>VLOOKUP(Table_1[[#This Row],[AÇÕES]],'Dados Status Invest'!A:AB,28,0)</f>
        <v/>
      </c>
      <c r="K535" s="63">
        <f>VLOOKUP(Table_1[[#This Row],[AÇÕES]],'Dados Status Invest'!A:AA,27,0)</f>
        <v/>
      </c>
      <c r="L535" s="63">
        <f>Table_1[[#This Row],[PREÇO]]*Table_1[[#This Row],[DY]]</f>
        <v/>
      </c>
      <c r="M535" s="62">
        <f>$E$13</f>
        <v/>
      </c>
      <c r="N535" s="62" t="n">
        <v>0.3</v>
      </c>
      <c r="O535" s="62">
        <f>Table_1[[#This Row],[DPA]]/Table_1[[#This Row],[LPA]]</f>
        <v/>
      </c>
      <c r="P535" s="62">
        <f>IF(Table_1[[#This Row],[PAYOUT]]&lt;=40%,"CRESCIMENTO",IF(Table_1[[#This Row],[PAYOUT]]&lt;=60%,"INDEFINIDO","DIVIDENDOS"))</f>
        <v/>
      </c>
      <c r="Q535" s="62">
        <f>VLOOKUP(Table_1[[#This Row],[AÇÕES]],'Dados Status Invest'!A:R,18,0)/100</f>
        <v/>
      </c>
      <c r="R535" s="62">
        <f>VLOOKUP(Table_1[[#This Row],[AÇÕES]],'Dados Status Invest'!A:Y,25,0)/100</f>
        <v/>
      </c>
      <c r="S535" s="62">
        <f>(1-Table_1[[#This Row],[PAYOUT]])*Table_1[[#This Row],[ROE]]</f>
        <v/>
      </c>
      <c r="T535" s="98">
        <f>AVERAGE(Table_1[[#This Row],[CAGR LUCRO 5A]],Table_1[[#This Row],[CRESCIMENTO DAMODARAN]])</f>
        <v/>
      </c>
      <c r="U535" s="64">
        <f>(Table_1[[#This Row],[PREÇO JUSTO BAZIN]]-Table_1[[#This Row],[PREÇO]])/Table_1[[#This Row],[PREÇO JUSTO BAZIN]]</f>
        <v/>
      </c>
      <c r="V535" s="129">
        <f>Table_1[[#This Row],[DPA]]/6%</f>
        <v/>
      </c>
      <c r="W535" s="129">
        <f>Table_1[[#This Row],[PREÇO JUSTO BAZIN]]/(1+Table_1[[#This Row],[MARGEM DE DESCONTO]])</f>
        <v/>
      </c>
      <c r="X535" s="64">
        <f>(Table_1[[#This Row],[PREÇO JUSTO GRAHAM]]-Table_1[[#This Row],[PREÇO]])/Table_1[[#This Row],[PREÇO JUSTO GRAHAM]]</f>
        <v/>
      </c>
      <c r="Y535" s="129">
        <f>(22.5*Table_1[[#This Row],[LPA]]*Table_1[[#This Row],[VPA]])^0.5</f>
        <v/>
      </c>
      <c r="Z535" s="129">
        <f>Table_1[[#This Row],[PREÇO JUSTO GRAHAM]]/(1+Table_1[[#This Row],[MARGEM DE DESCONTO]])</f>
        <v/>
      </c>
      <c r="AA535" s="64">
        <f>(Table_1[[#This Row],[PREÇO JUSTO GORDON]]-Table_1[[#This Row],[PREÇO]])/Table_1[[#This Row],[PREÇO JUSTO GORDON]]</f>
        <v/>
      </c>
      <c r="AB535" s="130">
        <f>Table_1[[#This Row],[DPA]]*(1+Table_1[[#This Row],[MÉDIA DE CRESCIMENTO]])</f>
        <v/>
      </c>
      <c r="AC535" s="130">
        <f>Table_1[[#This Row],[D1]]/(Table_1[[#This Row],[RISCO]]-Table_1[[#This Row],[MÉDIA DE CRESCIMENTO]])</f>
        <v/>
      </c>
      <c r="AD535" s="130">
        <f>Table_1[[#This Row],[PREÇO JUSTO GORDON]]/(1+Table_1[[#This Row],[MARGEM DE DESCONTO]])</f>
        <v/>
      </c>
      <c r="AE535" s="78">
        <f>Table_1[[#This Row],[P/L]]/Table_1[[#This Row],[MÉDIA DE CRESCIMENTO]]</f>
        <v/>
      </c>
    </row>
    <row r="536" ht="15.75" customHeight="1">
      <c r="B536" s="77">
        <f>'Dados Status Invest'!A522</f>
        <v/>
      </c>
      <c r="C536" s="60">
        <f>VLOOKUP(Table_1[[#This Row],[AÇÕES]],'Classificação B3'!A:B,2,0)</f>
        <v/>
      </c>
      <c r="D536" s="60">
        <f>VLOOKUP(Table_1[[#This Row],[AÇÕES]],'Classificação B3'!A:D,4,0)</f>
        <v/>
      </c>
      <c r="E536" s="60">
        <f>VLOOKUP(Table_1[[#This Row],[AÇÕES]],'Classificação B3'!A:F,6,0)</f>
        <v/>
      </c>
      <c r="F536" s="60">
        <f>VLOOKUP(Table_1[[#This Row],[AÇÕES]],'Classificação B3'!A:G,7,0)</f>
        <v/>
      </c>
      <c r="G536" s="61">
        <f>VLOOKUP(Table_1[[#This Row],[AÇÕES]],'Dados Status Invest'!A:B,2,0)</f>
        <v/>
      </c>
      <c r="H536" s="62">
        <f>VLOOKUP(Table_1[[#This Row],[AÇÕES]],'Dados Status Invest'!A:C,3,0)/100</f>
        <v/>
      </c>
      <c r="I536" s="62">
        <f>VLOOKUP(Table_1[[#This Row],[AÇÕES]],'Dados Status Invest'!A:D,4,0)/100</f>
        <v/>
      </c>
      <c r="J536" s="63">
        <f>VLOOKUP(Table_1[[#This Row],[AÇÕES]],'Dados Status Invest'!A:AB,28,0)</f>
        <v/>
      </c>
      <c r="K536" s="63">
        <f>VLOOKUP(Table_1[[#This Row],[AÇÕES]],'Dados Status Invest'!A:AA,27,0)</f>
        <v/>
      </c>
      <c r="L536" s="63">
        <f>Table_1[[#This Row],[PREÇO]]*Table_1[[#This Row],[DY]]</f>
        <v/>
      </c>
      <c r="M536" s="62">
        <f>$E$13</f>
        <v/>
      </c>
      <c r="N536" s="62" t="n">
        <v>0.3</v>
      </c>
      <c r="O536" s="62">
        <f>Table_1[[#This Row],[DPA]]/Table_1[[#This Row],[LPA]]</f>
        <v/>
      </c>
      <c r="P536" s="62">
        <f>IF(Table_1[[#This Row],[PAYOUT]]&lt;=40%,"CRESCIMENTO",IF(Table_1[[#This Row],[PAYOUT]]&lt;=60%,"INDEFINIDO","DIVIDENDOS"))</f>
        <v/>
      </c>
      <c r="Q536" s="62">
        <f>VLOOKUP(Table_1[[#This Row],[AÇÕES]],'Dados Status Invest'!A:R,18,0)/100</f>
        <v/>
      </c>
      <c r="R536" s="62">
        <f>VLOOKUP(Table_1[[#This Row],[AÇÕES]],'Dados Status Invest'!A:Y,25,0)/100</f>
        <v/>
      </c>
      <c r="S536" s="62">
        <f>(1-Table_1[[#This Row],[PAYOUT]])*Table_1[[#This Row],[ROE]]</f>
        <v/>
      </c>
      <c r="T536" s="98">
        <f>AVERAGE(Table_1[[#This Row],[CAGR LUCRO 5A]],Table_1[[#This Row],[CRESCIMENTO DAMODARAN]])</f>
        <v/>
      </c>
      <c r="U536" s="64">
        <f>(Table_1[[#This Row],[PREÇO JUSTO BAZIN]]-Table_1[[#This Row],[PREÇO]])/Table_1[[#This Row],[PREÇO JUSTO BAZIN]]</f>
        <v/>
      </c>
      <c r="V536" s="129">
        <f>Table_1[[#This Row],[DPA]]/6%</f>
        <v/>
      </c>
      <c r="W536" s="129">
        <f>Table_1[[#This Row],[PREÇO JUSTO BAZIN]]/(1+Table_1[[#This Row],[MARGEM DE DESCONTO]])</f>
        <v/>
      </c>
      <c r="X536" s="64">
        <f>(Table_1[[#This Row],[PREÇO JUSTO GRAHAM]]-Table_1[[#This Row],[PREÇO]])/Table_1[[#This Row],[PREÇO JUSTO GRAHAM]]</f>
        <v/>
      </c>
      <c r="Y536" s="129">
        <f>(22.5*Table_1[[#This Row],[LPA]]*Table_1[[#This Row],[VPA]])^0.5</f>
        <v/>
      </c>
      <c r="Z536" s="129">
        <f>Table_1[[#This Row],[PREÇO JUSTO GRAHAM]]/(1+Table_1[[#This Row],[MARGEM DE DESCONTO]])</f>
        <v/>
      </c>
      <c r="AA536" s="64">
        <f>(Table_1[[#This Row],[PREÇO JUSTO GORDON]]-Table_1[[#This Row],[PREÇO]])/Table_1[[#This Row],[PREÇO JUSTO GORDON]]</f>
        <v/>
      </c>
      <c r="AB536" s="130">
        <f>Table_1[[#This Row],[DPA]]*(1+Table_1[[#This Row],[MÉDIA DE CRESCIMENTO]])</f>
        <v/>
      </c>
      <c r="AC536" s="130">
        <f>Table_1[[#This Row],[D1]]/(Table_1[[#This Row],[RISCO]]-Table_1[[#This Row],[MÉDIA DE CRESCIMENTO]])</f>
        <v/>
      </c>
      <c r="AD536" s="130">
        <f>Table_1[[#This Row],[PREÇO JUSTO GORDON]]/(1+Table_1[[#This Row],[MARGEM DE DESCONTO]])</f>
        <v/>
      </c>
      <c r="AE536" s="78">
        <f>Table_1[[#This Row],[P/L]]/Table_1[[#This Row],[MÉDIA DE CRESCIMENTO]]</f>
        <v/>
      </c>
    </row>
    <row r="537" ht="15.75" customHeight="1">
      <c r="B537" s="77">
        <f>'Dados Status Invest'!A523</f>
        <v/>
      </c>
      <c r="C537" s="60">
        <f>VLOOKUP(Table_1[[#This Row],[AÇÕES]],'Classificação B3'!A:B,2,0)</f>
        <v/>
      </c>
      <c r="D537" s="60">
        <f>VLOOKUP(Table_1[[#This Row],[AÇÕES]],'Classificação B3'!A:D,4,0)</f>
        <v/>
      </c>
      <c r="E537" s="60">
        <f>VLOOKUP(Table_1[[#This Row],[AÇÕES]],'Classificação B3'!A:F,6,0)</f>
        <v/>
      </c>
      <c r="F537" s="60">
        <f>VLOOKUP(Table_1[[#This Row],[AÇÕES]],'Classificação B3'!A:G,7,0)</f>
        <v/>
      </c>
      <c r="G537" s="61">
        <f>VLOOKUP(Table_1[[#This Row],[AÇÕES]],'Dados Status Invest'!A:B,2,0)</f>
        <v/>
      </c>
      <c r="H537" s="62">
        <f>VLOOKUP(Table_1[[#This Row],[AÇÕES]],'Dados Status Invest'!A:C,3,0)/100</f>
        <v/>
      </c>
      <c r="I537" s="62">
        <f>VLOOKUP(Table_1[[#This Row],[AÇÕES]],'Dados Status Invest'!A:D,4,0)/100</f>
        <v/>
      </c>
      <c r="J537" s="63">
        <f>VLOOKUP(Table_1[[#This Row],[AÇÕES]],'Dados Status Invest'!A:AB,28,0)</f>
        <v/>
      </c>
      <c r="K537" s="63">
        <f>VLOOKUP(Table_1[[#This Row],[AÇÕES]],'Dados Status Invest'!A:AA,27,0)</f>
        <v/>
      </c>
      <c r="L537" s="63">
        <f>Table_1[[#This Row],[PREÇO]]*Table_1[[#This Row],[DY]]</f>
        <v/>
      </c>
      <c r="M537" s="62">
        <f>$E$13</f>
        <v/>
      </c>
      <c r="N537" s="62" t="n">
        <v>0.3</v>
      </c>
      <c r="O537" s="62">
        <f>Table_1[[#This Row],[DPA]]/Table_1[[#This Row],[LPA]]</f>
        <v/>
      </c>
      <c r="P537" s="62">
        <f>IF(Table_1[[#This Row],[PAYOUT]]&lt;=40%,"CRESCIMENTO",IF(Table_1[[#This Row],[PAYOUT]]&lt;=60%,"INDEFINIDO","DIVIDENDOS"))</f>
        <v/>
      </c>
      <c r="Q537" s="62">
        <f>VLOOKUP(Table_1[[#This Row],[AÇÕES]],'Dados Status Invest'!A:R,18,0)/100</f>
        <v/>
      </c>
      <c r="R537" s="62">
        <f>VLOOKUP(Table_1[[#This Row],[AÇÕES]],'Dados Status Invest'!A:Y,25,0)/100</f>
        <v/>
      </c>
      <c r="S537" s="62">
        <f>(1-Table_1[[#This Row],[PAYOUT]])*Table_1[[#This Row],[ROE]]</f>
        <v/>
      </c>
      <c r="T537" s="98">
        <f>AVERAGE(Table_1[[#This Row],[CAGR LUCRO 5A]],Table_1[[#This Row],[CRESCIMENTO DAMODARAN]])</f>
        <v/>
      </c>
      <c r="U537" s="64">
        <f>(Table_1[[#This Row],[PREÇO JUSTO BAZIN]]-Table_1[[#This Row],[PREÇO]])/Table_1[[#This Row],[PREÇO JUSTO BAZIN]]</f>
        <v/>
      </c>
      <c r="V537" s="129">
        <f>Table_1[[#This Row],[DPA]]/6%</f>
        <v/>
      </c>
      <c r="W537" s="129">
        <f>Table_1[[#This Row],[PREÇO JUSTO BAZIN]]/(1+Table_1[[#This Row],[MARGEM DE DESCONTO]])</f>
        <v/>
      </c>
      <c r="X537" s="64">
        <f>(Table_1[[#This Row],[PREÇO JUSTO GRAHAM]]-Table_1[[#This Row],[PREÇO]])/Table_1[[#This Row],[PREÇO JUSTO GRAHAM]]</f>
        <v/>
      </c>
      <c r="Y537" s="129">
        <f>(22.5*Table_1[[#This Row],[LPA]]*Table_1[[#This Row],[VPA]])^0.5</f>
        <v/>
      </c>
      <c r="Z537" s="129">
        <f>Table_1[[#This Row],[PREÇO JUSTO GRAHAM]]/(1+Table_1[[#This Row],[MARGEM DE DESCONTO]])</f>
        <v/>
      </c>
      <c r="AA537" s="64">
        <f>(Table_1[[#This Row],[PREÇO JUSTO GORDON]]-Table_1[[#This Row],[PREÇO]])/Table_1[[#This Row],[PREÇO JUSTO GORDON]]</f>
        <v/>
      </c>
      <c r="AB537" s="130">
        <f>Table_1[[#This Row],[DPA]]*(1+Table_1[[#This Row],[MÉDIA DE CRESCIMENTO]])</f>
        <v/>
      </c>
      <c r="AC537" s="130">
        <f>Table_1[[#This Row],[D1]]/(Table_1[[#This Row],[RISCO]]-Table_1[[#This Row],[MÉDIA DE CRESCIMENTO]])</f>
        <v/>
      </c>
      <c r="AD537" s="130">
        <f>Table_1[[#This Row],[PREÇO JUSTO GORDON]]/(1+Table_1[[#This Row],[MARGEM DE DESCONTO]])</f>
        <v/>
      </c>
      <c r="AE537" s="78">
        <f>Table_1[[#This Row],[P/L]]/Table_1[[#This Row],[MÉDIA DE CRESCIMENTO]]</f>
        <v/>
      </c>
    </row>
    <row r="538" ht="15.75" customHeight="1">
      <c r="B538" s="77">
        <f>'Dados Status Invest'!A524</f>
        <v/>
      </c>
      <c r="C538" s="60">
        <f>VLOOKUP(Table_1[[#This Row],[AÇÕES]],'Classificação B3'!A:B,2,0)</f>
        <v/>
      </c>
      <c r="D538" s="60">
        <f>VLOOKUP(Table_1[[#This Row],[AÇÕES]],'Classificação B3'!A:D,4,0)</f>
        <v/>
      </c>
      <c r="E538" s="60">
        <f>VLOOKUP(Table_1[[#This Row],[AÇÕES]],'Classificação B3'!A:F,6,0)</f>
        <v/>
      </c>
      <c r="F538" s="60">
        <f>VLOOKUP(Table_1[[#This Row],[AÇÕES]],'Classificação B3'!A:G,7,0)</f>
        <v/>
      </c>
      <c r="G538" s="61">
        <f>VLOOKUP(Table_1[[#This Row],[AÇÕES]],'Dados Status Invest'!A:B,2,0)</f>
        <v/>
      </c>
      <c r="H538" s="62">
        <f>VLOOKUP(Table_1[[#This Row],[AÇÕES]],'Dados Status Invest'!A:C,3,0)/100</f>
        <v/>
      </c>
      <c r="I538" s="62">
        <f>VLOOKUP(Table_1[[#This Row],[AÇÕES]],'Dados Status Invest'!A:D,4,0)/100</f>
        <v/>
      </c>
      <c r="J538" s="63">
        <f>VLOOKUP(Table_1[[#This Row],[AÇÕES]],'Dados Status Invest'!A:AB,28,0)</f>
        <v/>
      </c>
      <c r="K538" s="63">
        <f>VLOOKUP(Table_1[[#This Row],[AÇÕES]],'Dados Status Invest'!A:AA,27,0)</f>
        <v/>
      </c>
      <c r="L538" s="63">
        <f>Table_1[[#This Row],[PREÇO]]*Table_1[[#This Row],[DY]]</f>
        <v/>
      </c>
      <c r="M538" s="62">
        <f>$E$13</f>
        <v/>
      </c>
      <c r="N538" s="62" t="n">
        <v>0.3</v>
      </c>
      <c r="O538" s="62">
        <f>Table_1[[#This Row],[DPA]]/Table_1[[#This Row],[LPA]]</f>
        <v/>
      </c>
      <c r="P538" s="62">
        <f>IF(Table_1[[#This Row],[PAYOUT]]&lt;=40%,"CRESCIMENTO",IF(Table_1[[#This Row],[PAYOUT]]&lt;=60%,"INDEFINIDO","DIVIDENDOS"))</f>
        <v/>
      </c>
      <c r="Q538" s="62">
        <f>VLOOKUP(Table_1[[#This Row],[AÇÕES]],'Dados Status Invest'!A:R,18,0)/100</f>
        <v/>
      </c>
      <c r="R538" s="62">
        <f>VLOOKUP(Table_1[[#This Row],[AÇÕES]],'Dados Status Invest'!A:Y,25,0)/100</f>
        <v/>
      </c>
      <c r="S538" s="62">
        <f>(1-Table_1[[#This Row],[PAYOUT]])*Table_1[[#This Row],[ROE]]</f>
        <v/>
      </c>
      <c r="T538" s="98">
        <f>AVERAGE(Table_1[[#This Row],[CAGR LUCRO 5A]],Table_1[[#This Row],[CRESCIMENTO DAMODARAN]])</f>
        <v/>
      </c>
      <c r="U538" s="64">
        <f>(Table_1[[#This Row],[PREÇO JUSTO BAZIN]]-Table_1[[#This Row],[PREÇO]])/Table_1[[#This Row],[PREÇO JUSTO BAZIN]]</f>
        <v/>
      </c>
      <c r="V538" s="129">
        <f>Table_1[[#This Row],[DPA]]/6%</f>
        <v/>
      </c>
      <c r="W538" s="129">
        <f>Table_1[[#This Row],[PREÇO JUSTO BAZIN]]/(1+Table_1[[#This Row],[MARGEM DE DESCONTO]])</f>
        <v/>
      </c>
      <c r="X538" s="64">
        <f>(Table_1[[#This Row],[PREÇO JUSTO GRAHAM]]-Table_1[[#This Row],[PREÇO]])/Table_1[[#This Row],[PREÇO JUSTO GRAHAM]]</f>
        <v/>
      </c>
      <c r="Y538" s="129">
        <f>(22.5*Table_1[[#This Row],[LPA]]*Table_1[[#This Row],[VPA]])^0.5</f>
        <v/>
      </c>
      <c r="Z538" s="129">
        <f>Table_1[[#This Row],[PREÇO JUSTO GRAHAM]]/(1+Table_1[[#This Row],[MARGEM DE DESCONTO]])</f>
        <v/>
      </c>
      <c r="AA538" s="64">
        <f>(Table_1[[#This Row],[PREÇO JUSTO GORDON]]-Table_1[[#This Row],[PREÇO]])/Table_1[[#This Row],[PREÇO JUSTO GORDON]]</f>
        <v/>
      </c>
      <c r="AB538" s="130">
        <f>Table_1[[#This Row],[DPA]]*(1+Table_1[[#This Row],[MÉDIA DE CRESCIMENTO]])</f>
        <v/>
      </c>
      <c r="AC538" s="130">
        <f>Table_1[[#This Row],[D1]]/(Table_1[[#This Row],[RISCO]]-Table_1[[#This Row],[MÉDIA DE CRESCIMENTO]])</f>
        <v/>
      </c>
      <c r="AD538" s="130">
        <f>Table_1[[#This Row],[PREÇO JUSTO GORDON]]/(1+Table_1[[#This Row],[MARGEM DE DESCONTO]])</f>
        <v/>
      </c>
      <c r="AE538" s="78">
        <f>Table_1[[#This Row],[P/L]]/Table_1[[#This Row],[MÉDIA DE CRESCIMENTO]]</f>
        <v/>
      </c>
    </row>
    <row r="539" ht="15.75" customHeight="1">
      <c r="B539" s="77">
        <f>'Dados Status Invest'!A525</f>
        <v/>
      </c>
      <c r="C539" s="60">
        <f>VLOOKUP(Table_1[[#This Row],[AÇÕES]],'Classificação B3'!A:B,2,0)</f>
        <v/>
      </c>
      <c r="D539" s="60">
        <f>VLOOKUP(Table_1[[#This Row],[AÇÕES]],'Classificação B3'!A:D,4,0)</f>
        <v/>
      </c>
      <c r="E539" s="60">
        <f>VLOOKUP(Table_1[[#This Row],[AÇÕES]],'Classificação B3'!A:F,6,0)</f>
        <v/>
      </c>
      <c r="F539" s="60">
        <f>VLOOKUP(Table_1[[#This Row],[AÇÕES]],'Classificação B3'!A:G,7,0)</f>
        <v/>
      </c>
      <c r="G539" s="61">
        <f>VLOOKUP(Table_1[[#This Row],[AÇÕES]],'Dados Status Invest'!A:B,2,0)</f>
        <v/>
      </c>
      <c r="H539" s="62">
        <f>VLOOKUP(Table_1[[#This Row],[AÇÕES]],'Dados Status Invest'!A:C,3,0)/100</f>
        <v/>
      </c>
      <c r="I539" s="62">
        <f>VLOOKUP(Table_1[[#This Row],[AÇÕES]],'Dados Status Invest'!A:D,4,0)/100</f>
        <v/>
      </c>
      <c r="J539" s="63">
        <f>VLOOKUP(Table_1[[#This Row],[AÇÕES]],'Dados Status Invest'!A:AB,28,0)</f>
        <v/>
      </c>
      <c r="K539" s="63">
        <f>VLOOKUP(Table_1[[#This Row],[AÇÕES]],'Dados Status Invest'!A:AA,27,0)</f>
        <v/>
      </c>
      <c r="L539" s="63">
        <f>Table_1[[#This Row],[PREÇO]]*Table_1[[#This Row],[DY]]</f>
        <v/>
      </c>
      <c r="M539" s="62">
        <f>$E$13</f>
        <v/>
      </c>
      <c r="N539" s="62" t="n">
        <v>0.3</v>
      </c>
      <c r="O539" s="62">
        <f>Table_1[[#This Row],[DPA]]/Table_1[[#This Row],[LPA]]</f>
        <v/>
      </c>
      <c r="P539" s="62">
        <f>IF(Table_1[[#This Row],[PAYOUT]]&lt;=40%,"CRESCIMENTO",IF(Table_1[[#This Row],[PAYOUT]]&lt;=60%,"INDEFINIDO","DIVIDENDOS"))</f>
        <v/>
      </c>
      <c r="Q539" s="62">
        <f>VLOOKUP(Table_1[[#This Row],[AÇÕES]],'Dados Status Invest'!A:R,18,0)/100</f>
        <v/>
      </c>
      <c r="R539" s="62">
        <f>VLOOKUP(Table_1[[#This Row],[AÇÕES]],'Dados Status Invest'!A:Y,25,0)/100</f>
        <v/>
      </c>
      <c r="S539" s="62">
        <f>(1-Table_1[[#This Row],[PAYOUT]])*Table_1[[#This Row],[ROE]]</f>
        <v/>
      </c>
      <c r="T539" s="98">
        <f>AVERAGE(Table_1[[#This Row],[CAGR LUCRO 5A]],Table_1[[#This Row],[CRESCIMENTO DAMODARAN]])</f>
        <v/>
      </c>
      <c r="U539" s="64">
        <f>(Table_1[[#This Row],[PREÇO JUSTO BAZIN]]-Table_1[[#This Row],[PREÇO]])/Table_1[[#This Row],[PREÇO JUSTO BAZIN]]</f>
        <v/>
      </c>
      <c r="V539" s="129">
        <f>Table_1[[#This Row],[DPA]]/6%</f>
        <v/>
      </c>
      <c r="W539" s="129">
        <f>Table_1[[#This Row],[PREÇO JUSTO BAZIN]]/(1+Table_1[[#This Row],[MARGEM DE DESCONTO]])</f>
        <v/>
      </c>
      <c r="X539" s="64">
        <f>(Table_1[[#This Row],[PREÇO JUSTO GRAHAM]]-Table_1[[#This Row],[PREÇO]])/Table_1[[#This Row],[PREÇO JUSTO GRAHAM]]</f>
        <v/>
      </c>
      <c r="Y539" s="129">
        <f>(22.5*Table_1[[#This Row],[LPA]]*Table_1[[#This Row],[VPA]])^0.5</f>
        <v/>
      </c>
      <c r="Z539" s="129">
        <f>Table_1[[#This Row],[PREÇO JUSTO GRAHAM]]/(1+Table_1[[#This Row],[MARGEM DE DESCONTO]])</f>
        <v/>
      </c>
      <c r="AA539" s="64">
        <f>(Table_1[[#This Row],[PREÇO JUSTO GORDON]]-Table_1[[#This Row],[PREÇO]])/Table_1[[#This Row],[PREÇO JUSTO GORDON]]</f>
        <v/>
      </c>
      <c r="AB539" s="130">
        <f>Table_1[[#This Row],[DPA]]*(1+Table_1[[#This Row],[MÉDIA DE CRESCIMENTO]])</f>
        <v/>
      </c>
      <c r="AC539" s="130">
        <f>Table_1[[#This Row],[D1]]/(Table_1[[#This Row],[RISCO]]-Table_1[[#This Row],[MÉDIA DE CRESCIMENTO]])</f>
        <v/>
      </c>
      <c r="AD539" s="130">
        <f>Table_1[[#This Row],[PREÇO JUSTO GORDON]]/(1+Table_1[[#This Row],[MARGEM DE DESCONTO]])</f>
        <v/>
      </c>
      <c r="AE539" s="78">
        <f>Table_1[[#This Row],[P/L]]/Table_1[[#This Row],[MÉDIA DE CRESCIMENTO]]</f>
        <v/>
      </c>
    </row>
    <row r="540" ht="15.75" customHeight="1">
      <c r="B540" s="77">
        <f>'Dados Status Invest'!A526</f>
        <v/>
      </c>
      <c r="C540" s="60">
        <f>VLOOKUP(Table_1[[#This Row],[AÇÕES]],'Classificação B3'!A:B,2,0)</f>
        <v/>
      </c>
      <c r="D540" s="60">
        <f>VLOOKUP(Table_1[[#This Row],[AÇÕES]],'Classificação B3'!A:D,4,0)</f>
        <v/>
      </c>
      <c r="E540" s="60">
        <f>VLOOKUP(Table_1[[#This Row],[AÇÕES]],'Classificação B3'!A:F,6,0)</f>
        <v/>
      </c>
      <c r="F540" s="60">
        <f>VLOOKUP(Table_1[[#This Row],[AÇÕES]],'Classificação B3'!A:G,7,0)</f>
        <v/>
      </c>
      <c r="G540" s="61">
        <f>VLOOKUP(Table_1[[#This Row],[AÇÕES]],'Dados Status Invest'!A:B,2,0)</f>
        <v/>
      </c>
      <c r="H540" s="62">
        <f>VLOOKUP(Table_1[[#This Row],[AÇÕES]],'Dados Status Invest'!A:C,3,0)/100</f>
        <v/>
      </c>
      <c r="I540" s="62">
        <f>VLOOKUP(Table_1[[#This Row],[AÇÕES]],'Dados Status Invest'!A:D,4,0)/100</f>
        <v/>
      </c>
      <c r="J540" s="63">
        <f>VLOOKUP(Table_1[[#This Row],[AÇÕES]],'Dados Status Invest'!A:AB,28,0)</f>
        <v/>
      </c>
      <c r="K540" s="63">
        <f>VLOOKUP(Table_1[[#This Row],[AÇÕES]],'Dados Status Invest'!A:AA,27,0)</f>
        <v/>
      </c>
      <c r="L540" s="63">
        <f>Table_1[[#This Row],[PREÇO]]*Table_1[[#This Row],[DY]]</f>
        <v/>
      </c>
      <c r="M540" s="62">
        <f>$E$13</f>
        <v/>
      </c>
      <c r="N540" s="62" t="n">
        <v>0.3</v>
      </c>
      <c r="O540" s="62">
        <f>Table_1[[#This Row],[DPA]]/Table_1[[#This Row],[LPA]]</f>
        <v/>
      </c>
      <c r="P540" s="62">
        <f>IF(Table_1[[#This Row],[PAYOUT]]&lt;=40%,"CRESCIMENTO",IF(Table_1[[#This Row],[PAYOUT]]&lt;=60%,"INDEFINIDO","DIVIDENDOS"))</f>
        <v/>
      </c>
      <c r="Q540" s="62">
        <f>VLOOKUP(Table_1[[#This Row],[AÇÕES]],'Dados Status Invest'!A:R,18,0)/100</f>
        <v/>
      </c>
      <c r="R540" s="62">
        <f>VLOOKUP(Table_1[[#This Row],[AÇÕES]],'Dados Status Invest'!A:Y,25,0)/100</f>
        <v/>
      </c>
      <c r="S540" s="62">
        <f>(1-Table_1[[#This Row],[PAYOUT]])*Table_1[[#This Row],[ROE]]</f>
        <v/>
      </c>
      <c r="T540" s="98">
        <f>AVERAGE(Table_1[[#This Row],[CAGR LUCRO 5A]],Table_1[[#This Row],[CRESCIMENTO DAMODARAN]])</f>
        <v/>
      </c>
      <c r="U540" s="64">
        <f>(Table_1[[#This Row],[PREÇO JUSTO BAZIN]]-Table_1[[#This Row],[PREÇO]])/Table_1[[#This Row],[PREÇO JUSTO BAZIN]]</f>
        <v/>
      </c>
      <c r="V540" s="129">
        <f>Table_1[[#This Row],[DPA]]/6%</f>
        <v/>
      </c>
      <c r="W540" s="129">
        <f>Table_1[[#This Row],[PREÇO JUSTO BAZIN]]/(1+Table_1[[#This Row],[MARGEM DE DESCONTO]])</f>
        <v/>
      </c>
      <c r="X540" s="64">
        <f>(Table_1[[#This Row],[PREÇO JUSTO GRAHAM]]-Table_1[[#This Row],[PREÇO]])/Table_1[[#This Row],[PREÇO JUSTO GRAHAM]]</f>
        <v/>
      </c>
      <c r="Y540" s="129">
        <f>(22.5*Table_1[[#This Row],[LPA]]*Table_1[[#This Row],[VPA]])^0.5</f>
        <v/>
      </c>
      <c r="Z540" s="129">
        <f>Table_1[[#This Row],[PREÇO JUSTO GRAHAM]]/(1+Table_1[[#This Row],[MARGEM DE DESCONTO]])</f>
        <v/>
      </c>
      <c r="AA540" s="64">
        <f>(Table_1[[#This Row],[PREÇO JUSTO GORDON]]-Table_1[[#This Row],[PREÇO]])/Table_1[[#This Row],[PREÇO JUSTO GORDON]]</f>
        <v/>
      </c>
      <c r="AB540" s="130">
        <f>Table_1[[#This Row],[DPA]]*(1+Table_1[[#This Row],[MÉDIA DE CRESCIMENTO]])</f>
        <v/>
      </c>
      <c r="AC540" s="130">
        <f>Table_1[[#This Row],[D1]]/(Table_1[[#This Row],[RISCO]]-Table_1[[#This Row],[MÉDIA DE CRESCIMENTO]])</f>
        <v/>
      </c>
      <c r="AD540" s="130">
        <f>Table_1[[#This Row],[PREÇO JUSTO GORDON]]/(1+Table_1[[#This Row],[MARGEM DE DESCONTO]])</f>
        <v/>
      </c>
      <c r="AE540" s="78">
        <f>Table_1[[#This Row],[P/L]]/Table_1[[#This Row],[MÉDIA DE CRESCIMENTO]]</f>
        <v/>
      </c>
    </row>
    <row r="541" ht="15.75" customHeight="1">
      <c r="B541" s="77">
        <f>'Dados Status Invest'!A527</f>
        <v/>
      </c>
      <c r="C541" s="60">
        <f>VLOOKUP(Table_1[[#This Row],[AÇÕES]],'Classificação B3'!A:B,2,0)</f>
        <v/>
      </c>
      <c r="D541" s="60">
        <f>VLOOKUP(Table_1[[#This Row],[AÇÕES]],'Classificação B3'!A:D,4,0)</f>
        <v/>
      </c>
      <c r="E541" s="60">
        <f>VLOOKUP(Table_1[[#This Row],[AÇÕES]],'Classificação B3'!A:F,6,0)</f>
        <v/>
      </c>
      <c r="F541" s="60">
        <f>VLOOKUP(Table_1[[#This Row],[AÇÕES]],'Classificação B3'!A:G,7,0)</f>
        <v/>
      </c>
      <c r="G541" s="61">
        <f>VLOOKUP(Table_1[[#This Row],[AÇÕES]],'Dados Status Invest'!A:B,2,0)</f>
        <v/>
      </c>
      <c r="H541" s="62">
        <f>VLOOKUP(Table_1[[#This Row],[AÇÕES]],'Dados Status Invest'!A:C,3,0)/100</f>
        <v/>
      </c>
      <c r="I541" s="62">
        <f>VLOOKUP(Table_1[[#This Row],[AÇÕES]],'Dados Status Invest'!A:D,4,0)/100</f>
        <v/>
      </c>
      <c r="J541" s="63">
        <f>VLOOKUP(Table_1[[#This Row],[AÇÕES]],'Dados Status Invest'!A:AB,28,0)</f>
        <v/>
      </c>
      <c r="K541" s="63">
        <f>VLOOKUP(Table_1[[#This Row],[AÇÕES]],'Dados Status Invest'!A:AA,27,0)</f>
        <v/>
      </c>
      <c r="L541" s="63">
        <f>Table_1[[#This Row],[PREÇO]]*Table_1[[#This Row],[DY]]</f>
        <v/>
      </c>
      <c r="M541" s="62">
        <f>$E$13</f>
        <v/>
      </c>
      <c r="N541" s="62" t="n">
        <v>0.3</v>
      </c>
      <c r="O541" s="62">
        <f>Table_1[[#This Row],[DPA]]/Table_1[[#This Row],[LPA]]</f>
        <v/>
      </c>
      <c r="P541" s="62">
        <f>IF(Table_1[[#This Row],[PAYOUT]]&lt;=40%,"CRESCIMENTO",IF(Table_1[[#This Row],[PAYOUT]]&lt;=60%,"INDEFINIDO","DIVIDENDOS"))</f>
        <v/>
      </c>
      <c r="Q541" s="62">
        <f>VLOOKUP(Table_1[[#This Row],[AÇÕES]],'Dados Status Invest'!A:R,18,0)/100</f>
        <v/>
      </c>
      <c r="R541" s="62">
        <f>VLOOKUP(Table_1[[#This Row],[AÇÕES]],'Dados Status Invest'!A:Y,25,0)/100</f>
        <v/>
      </c>
      <c r="S541" s="62">
        <f>(1-Table_1[[#This Row],[PAYOUT]])*Table_1[[#This Row],[ROE]]</f>
        <v/>
      </c>
      <c r="T541" s="98">
        <f>AVERAGE(Table_1[[#This Row],[CAGR LUCRO 5A]],Table_1[[#This Row],[CRESCIMENTO DAMODARAN]])</f>
        <v/>
      </c>
      <c r="U541" s="64">
        <f>(Table_1[[#This Row],[PREÇO JUSTO BAZIN]]-Table_1[[#This Row],[PREÇO]])/Table_1[[#This Row],[PREÇO JUSTO BAZIN]]</f>
        <v/>
      </c>
      <c r="V541" s="129">
        <f>Table_1[[#This Row],[DPA]]/6%</f>
        <v/>
      </c>
      <c r="W541" s="129">
        <f>Table_1[[#This Row],[PREÇO JUSTO BAZIN]]/(1+Table_1[[#This Row],[MARGEM DE DESCONTO]])</f>
        <v/>
      </c>
      <c r="X541" s="64">
        <f>(Table_1[[#This Row],[PREÇO JUSTO GRAHAM]]-Table_1[[#This Row],[PREÇO]])/Table_1[[#This Row],[PREÇO JUSTO GRAHAM]]</f>
        <v/>
      </c>
      <c r="Y541" s="129">
        <f>(22.5*Table_1[[#This Row],[LPA]]*Table_1[[#This Row],[VPA]])^0.5</f>
        <v/>
      </c>
      <c r="Z541" s="129">
        <f>Table_1[[#This Row],[PREÇO JUSTO GRAHAM]]/(1+Table_1[[#This Row],[MARGEM DE DESCONTO]])</f>
        <v/>
      </c>
      <c r="AA541" s="64">
        <f>(Table_1[[#This Row],[PREÇO JUSTO GORDON]]-Table_1[[#This Row],[PREÇO]])/Table_1[[#This Row],[PREÇO JUSTO GORDON]]</f>
        <v/>
      </c>
      <c r="AB541" s="130">
        <f>Table_1[[#This Row],[DPA]]*(1+Table_1[[#This Row],[MÉDIA DE CRESCIMENTO]])</f>
        <v/>
      </c>
      <c r="AC541" s="130">
        <f>Table_1[[#This Row],[D1]]/(Table_1[[#This Row],[RISCO]]-Table_1[[#This Row],[MÉDIA DE CRESCIMENTO]])</f>
        <v/>
      </c>
      <c r="AD541" s="130">
        <f>Table_1[[#This Row],[PREÇO JUSTO GORDON]]/(1+Table_1[[#This Row],[MARGEM DE DESCONTO]])</f>
        <v/>
      </c>
      <c r="AE541" s="78">
        <f>Table_1[[#This Row],[P/L]]/Table_1[[#This Row],[MÉDIA DE CRESCIMENTO]]</f>
        <v/>
      </c>
    </row>
    <row r="542" ht="15.75" customHeight="1">
      <c r="B542" s="77">
        <f>'Dados Status Invest'!A528</f>
        <v/>
      </c>
      <c r="C542" s="60">
        <f>VLOOKUP(Table_1[[#This Row],[AÇÕES]],'Classificação B3'!A:B,2,0)</f>
        <v/>
      </c>
      <c r="D542" s="60">
        <f>VLOOKUP(Table_1[[#This Row],[AÇÕES]],'Classificação B3'!A:D,4,0)</f>
        <v/>
      </c>
      <c r="E542" s="60">
        <f>VLOOKUP(Table_1[[#This Row],[AÇÕES]],'Classificação B3'!A:F,6,0)</f>
        <v/>
      </c>
      <c r="F542" s="60">
        <f>VLOOKUP(Table_1[[#This Row],[AÇÕES]],'Classificação B3'!A:G,7,0)</f>
        <v/>
      </c>
      <c r="G542" s="61">
        <f>VLOOKUP(Table_1[[#This Row],[AÇÕES]],'Dados Status Invest'!A:B,2,0)</f>
        <v/>
      </c>
      <c r="H542" s="62">
        <f>VLOOKUP(Table_1[[#This Row],[AÇÕES]],'Dados Status Invest'!A:C,3,0)/100</f>
        <v/>
      </c>
      <c r="I542" s="62">
        <f>VLOOKUP(Table_1[[#This Row],[AÇÕES]],'Dados Status Invest'!A:D,4,0)/100</f>
        <v/>
      </c>
      <c r="J542" s="63">
        <f>VLOOKUP(Table_1[[#This Row],[AÇÕES]],'Dados Status Invest'!A:AB,28,0)</f>
        <v/>
      </c>
      <c r="K542" s="63">
        <f>VLOOKUP(Table_1[[#This Row],[AÇÕES]],'Dados Status Invest'!A:AA,27,0)</f>
        <v/>
      </c>
      <c r="L542" s="63">
        <f>Table_1[[#This Row],[PREÇO]]*Table_1[[#This Row],[DY]]</f>
        <v/>
      </c>
      <c r="M542" s="62">
        <f>$E$13</f>
        <v/>
      </c>
      <c r="N542" s="62" t="n">
        <v>0.3</v>
      </c>
      <c r="O542" s="62">
        <f>Table_1[[#This Row],[DPA]]/Table_1[[#This Row],[LPA]]</f>
        <v/>
      </c>
      <c r="P542" s="62">
        <f>IF(Table_1[[#This Row],[PAYOUT]]&lt;=40%,"CRESCIMENTO",IF(Table_1[[#This Row],[PAYOUT]]&lt;=60%,"INDEFINIDO","DIVIDENDOS"))</f>
        <v/>
      </c>
      <c r="Q542" s="62">
        <f>VLOOKUP(Table_1[[#This Row],[AÇÕES]],'Dados Status Invest'!A:R,18,0)/100</f>
        <v/>
      </c>
      <c r="R542" s="62">
        <f>VLOOKUP(Table_1[[#This Row],[AÇÕES]],'Dados Status Invest'!A:Y,25,0)/100</f>
        <v/>
      </c>
      <c r="S542" s="62">
        <f>(1-Table_1[[#This Row],[PAYOUT]])*Table_1[[#This Row],[ROE]]</f>
        <v/>
      </c>
      <c r="T542" s="98">
        <f>AVERAGE(Table_1[[#This Row],[CAGR LUCRO 5A]],Table_1[[#This Row],[CRESCIMENTO DAMODARAN]])</f>
        <v/>
      </c>
      <c r="U542" s="64">
        <f>(Table_1[[#This Row],[PREÇO JUSTO BAZIN]]-Table_1[[#This Row],[PREÇO]])/Table_1[[#This Row],[PREÇO JUSTO BAZIN]]</f>
        <v/>
      </c>
      <c r="V542" s="129">
        <f>Table_1[[#This Row],[DPA]]/6%</f>
        <v/>
      </c>
      <c r="W542" s="129">
        <f>Table_1[[#This Row],[PREÇO JUSTO BAZIN]]/(1+Table_1[[#This Row],[MARGEM DE DESCONTO]])</f>
        <v/>
      </c>
      <c r="X542" s="64">
        <f>(Table_1[[#This Row],[PREÇO JUSTO GRAHAM]]-Table_1[[#This Row],[PREÇO]])/Table_1[[#This Row],[PREÇO JUSTO GRAHAM]]</f>
        <v/>
      </c>
      <c r="Y542" s="129">
        <f>(22.5*Table_1[[#This Row],[LPA]]*Table_1[[#This Row],[VPA]])^0.5</f>
        <v/>
      </c>
      <c r="Z542" s="129">
        <f>Table_1[[#This Row],[PREÇO JUSTO GRAHAM]]/(1+Table_1[[#This Row],[MARGEM DE DESCONTO]])</f>
        <v/>
      </c>
      <c r="AA542" s="64">
        <f>(Table_1[[#This Row],[PREÇO JUSTO GORDON]]-Table_1[[#This Row],[PREÇO]])/Table_1[[#This Row],[PREÇO JUSTO GORDON]]</f>
        <v/>
      </c>
      <c r="AB542" s="130">
        <f>Table_1[[#This Row],[DPA]]*(1+Table_1[[#This Row],[MÉDIA DE CRESCIMENTO]])</f>
        <v/>
      </c>
      <c r="AC542" s="130">
        <f>Table_1[[#This Row],[D1]]/(Table_1[[#This Row],[RISCO]]-Table_1[[#This Row],[MÉDIA DE CRESCIMENTO]])</f>
        <v/>
      </c>
      <c r="AD542" s="130">
        <f>Table_1[[#This Row],[PREÇO JUSTO GORDON]]/(1+Table_1[[#This Row],[MARGEM DE DESCONTO]])</f>
        <v/>
      </c>
      <c r="AE542" s="78">
        <f>Table_1[[#This Row],[P/L]]/Table_1[[#This Row],[MÉDIA DE CRESCIMENTO]]</f>
        <v/>
      </c>
    </row>
    <row r="543" ht="15.75" customHeight="1">
      <c r="B543" s="77">
        <f>'Dados Status Invest'!A529</f>
        <v/>
      </c>
      <c r="C543" s="60">
        <f>VLOOKUP(Table_1[[#This Row],[AÇÕES]],'Classificação B3'!A:B,2,0)</f>
        <v/>
      </c>
      <c r="D543" s="60">
        <f>VLOOKUP(Table_1[[#This Row],[AÇÕES]],'Classificação B3'!A:D,4,0)</f>
        <v/>
      </c>
      <c r="E543" s="60">
        <f>VLOOKUP(Table_1[[#This Row],[AÇÕES]],'Classificação B3'!A:F,6,0)</f>
        <v/>
      </c>
      <c r="F543" s="60">
        <f>VLOOKUP(Table_1[[#This Row],[AÇÕES]],'Classificação B3'!A:G,7,0)</f>
        <v/>
      </c>
      <c r="G543" s="61">
        <f>VLOOKUP(Table_1[[#This Row],[AÇÕES]],'Dados Status Invest'!A:B,2,0)</f>
        <v/>
      </c>
      <c r="H543" s="62">
        <f>VLOOKUP(Table_1[[#This Row],[AÇÕES]],'Dados Status Invest'!A:C,3,0)/100</f>
        <v/>
      </c>
      <c r="I543" s="62">
        <f>VLOOKUP(Table_1[[#This Row],[AÇÕES]],'Dados Status Invest'!A:D,4,0)/100</f>
        <v/>
      </c>
      <c r="J543" s="63">
        <f>VLOOKUP(Table_1[[#This Row],[AÇÕES]],'Dados Status Invest'!A:AB,28,0)</f>
        <v/>
      </c>
      <c r="K543" s="63">
        <f>VLOOKUP(Table_1[[#This Row],[AÇÕES]],'Dados Status Invest'!A:AA,27,0)</f>
        <v/>
      </c>
      <c r="L543" s="63">
        <f>Table_1[[#This Row],[PREÇO]]*Table_1[[#This Row],[DY]]</f>
        <v/>
      </c>
      <c r="M543" s="62">
        <f>$E$13</f>
        <v/>
      </c>
      <c r="N543" s="62" t="n">
        <v>0.3</v>
      </c>
      <c r="O543" s="62">
        <f>Table_1[[#This Row],[DPA]]/Table_1[[#This Row],[LPA]]</f>
        <v/>
      </c>
      <c r="P543" s="62">
        <f>IF(Table_1[[#This Row],[PAYOUT]]&lt;=40%,"CRESCIMENTO",IF(Table_1[[#This Row],[PAYOUT]]&lt;=60%,"INDEFINIDO","DIVIDENDOS"))</f>
        <v/>
      </c>
      <c r="Q543" s="62">
        <f>VLOOKUP(Table_1[[#This Row],[AÇÕES]],'Dados Status Invest'!A:R,18,0)/100</f>
        <v/>
      </c>
      <c r="R543" s="62">
        <f>VLOOKUP(Table_1[[#This Row],[AÇÕES]],'Dados Status Invest'!A:Y,25,0)/100</f>
        <v/>
      </c>
      <c r="S543" s="62">
        <f>(1-Table_1[[#This Row],[PAYOUT]])*Table_1[[#This Row],[ROE]]</f>
        <v/>
      </c>
      <c r="T543" s="98">
        <f>AVERAGE(Table_1[[#This Row],[CAGR LUCRO 5A]],Table_1[[#This Row],[CRESCIMENTO DAMODARAN]])</f>
        <v/>
      </c>
      <c r="U543" s="64">
        <f>(Table_1[[#This Row],[PREÇO JUSTO BAZIN]]-Table_1[[#This Row],[PREÇO]])/Table_1[[#This Row],[PREÇO JUSTO BAZIN]]</f>
        <v/>
      </c>
      <c r="V543" s="129">
        <f>Table_1[[#This Row],[DPA]]/6%</f>
        <v/>
      </c>
      <c r="W543" s="129">
        <f>Table_1[[#This Row],[PREÇO JUSTO BAZIN]]/(1+Table_1[[#This Row],[MARGEM DE DESCONTO]])</f>
        <v/>
      </c>
      <c r="X543" s="64">
        <f>(Table_1[[#This Row],[PREÇO JUSTO GRAHAM]]-Table_1[[#This Row],[PREÇO]])/Table_1[[#This Row],[PREÇO JUSTO GRAHAM]]</f>
        <v/>
      </c>
      <c r="Y543" s="129">
        <f>(22.5*Table_1[[#This Row],[LPA]]*Table_1[[#This Row],[VPA]])^0.5</f>
        <v/>
      </c>
      <c r="Z543" s="129">
        <f>Table_1[[#This Row],[PREÇO JUSTO GRAHAM]]/(1+Table_1[[#This Row],[MARGEM DE DESCONTO]])</f>
        <v/>
      </c>
      <c r="AA543" s="64">
        <f>(Table_1[[#This Row],[PREÇO JUSTO GORDON]]-Table_1[[#This Row],[PREÇO]])/Table_1[[#This Row],[PREÇO JUSTO GORDON]]</f>
        <v/>
      </c>
      <c r="AB543" s="130">
        <f>Table_1[[#This Row],[DPA]]*(1+Table_1[[#This Row],[MÉDIA DE CRESCIMENTO]])</f>
        <v/>
      </c>
      <c r="AC543" s="130">
        <f>Table_1[[#This Row],[D1]]/(Table_1[[#This Row],[RISCO]]-Table_1[[#This Row],[MÉDIA DE CRESCIMENTO]])</f>
        <v/>
      </c>
      <c r="AD543" s="130">
        <f>Table_1[[#This Row],[PREÇO JUSTO GORDON]]/(1+Table_1[[#This Row],[MARGEM DE DESCONTO]])</f>
        <v/>
      </c>
      <c r="AE543" s="78">
        <f>Table_1[[#This Row],[P/L]]/Table_1[[#This Row],[MÉDIA DE CRESCIMENTO]]</f>
        <v/>
      </c>
    </row>
    <row r="544" ht="15.75" customHeight="1">
      <c r="B544" s="77">
        <f>'Dados Status Invest'!A530</f>
        <v/>
      </c>
      <c r="C544" s="60">
        <f>VLOOKUP(Table_1[[#This Row],[AÇÕES]],'Classificação B3'!A:B,2,0)</f>
        <v/>
      </c>
      <c r="D544" s="60">
        <f>VLOOKUP(Table_1[[#This Row],[AÇÕES]],'Classificação B3'!A:D,4,0)</f>
        <v/>
      </c>
      <c r="E544" s="60">
        <f>VLOOKUP(Table_1[[#This Row],[AÇÕES]],'Classificação B3'!A:F,6,0)</f>
        <v/>
      </c>
      <c r="F544" s="60">
        <f>VLOOKUP(Table_1[[#This Row],[AÇÕES]],'Classificação B3'!A:G,7,0)</f>
        <v/>
      </c>
      <c r="G544" s="61">
        <f>VLOOKUP(Table_1[[#This Row],[AÇÕES]],'Dados Status Invest'!A:B,2,0)</f>
        <v/>
      </c>
      <c r="H544" s="62">
        <f>VLOOKUP(Table_1[[#This Row],[AÇÕES]],'Dados Status Invest'!A:C,3,0)/100</f>
        <v/>
      </c>
      <c r="I544" s="62">
        <f>VLOOKUP(Table_1[[#This Row],[AÇÕES]],'Dados Status Invest'!A:D,4,0)/100</f>
        <v/>
      </c>
      <c r="J544" s="63">
        <f>VLOOKUP(Table_1[[#This Row],[AÇÕES]],'Dados Status Invest'!A:AB,28,0)</f>
        <v/>
      </c>
      <c r="K544" s="63">
        <f>VLOOKUP(Table_1[[#This Row],[AÇÕES]],'Dados Status Invest'!A:AA,27,0)</f>
        <v/>
      </c>
      <c r="L544" s="63">
        <f>Table_1[[#This Row],[PREÇO]]*Table_1[[#This Row],[DY]]</f>
        <v/>
      </c>
      <c r="M544" s="62">
        <f>$E$13</f>
        <v/>
      </c>
      <c r="N544" s="62" t="n">
        <v>0.3</v>
      </c>
      <c r="O544" s="62">
        <f>Table_1[[#This Row],[DPA]]/Table_1[[#This Row],[LPA]]</f>
        <v/>
      </c>
      <c r="P544" s="62">
        <f>IF(Table_1[[#This Row],[PAYOUT]]&lt;=40%,"CRESCIMENTO",IF(Table_1[[#This Row],[PAYOUT]]&lt;=60%,"INDEFINIDO","DIVIDENDOS"))</f>
        <v/>
      </c>
      <c r="Q544" s="62">
        <f>VLOOKUP(Table_1[[#This Row],[AÇÕES]],'Dados Status Invest'!A:R,18,0)/100</f>
        <v/>
      </c>
      <c r="R544" s="62">
        <f>VLOOKUP(Table_1[[#This Row],[AÇÕES]],'Dados Status Invest'!A:Y,25,0)/100</f>
        <v/>
      </c>
      <c r="S544" s="62">
        <f>(1-Table_1[[#This Row],[PAYOUT]])*Table_1[[#This Row],[ROE]]</f>
        <v/>
      </c>
      <c r="T544" s="98">
        <f>AVERAGE(Table_1[[#This Row],[CAGR LUCRO 5A]],Table_1[[#This Row],[CRESCIMENTO DAMODARAN]])</f>
        <v/>
      </c>
      <c r="U544" s="64">
        <f>(Table_1[[#This Row],[PREÇO JUSTO BAZIN]]-Table_1[[#This Row],[PREÇO]])/Table_1[[#This Row],[PREÇO JUSTO BAZIN]]</f>
        <v/>
      </c>
      <c r="V544" s="129">
        <f>Table_1[[#This Row],[DPA]]/6%</f>
        <v/>
      </c>
      <c r="W544" s="129">
        <f>Table_1[[#This Row],[PREÇO JUSTO BAZIN]]/(1+Table_1[[#This Row],[MARGEM DE DESCONTO]])</f>
        <v/>
      </c>
      <c r="X544" s="64">
        <f>(Table_1[[#This Row],[PREÇO JUSTO GRAHAM]]-Table_1[[#This Row],[PREÇO]])/Table_1[[#This Row],[PREÇO JUSTO GRAHAM]]</f>
        <v/>
      </c>
      <c r="Y544" s="129">
        <f>(22.5*Table_1[[#This Row],[LPA]]*Table_1[[#This Row],[VPA]])^0.5</f>
        <v/>
      </c>
      <c r="Z544" s="129">
        <f>Table_1[[#This Row],[PREÇO JUSTO GRAHAM]]/(1+Table_1[[#This Row],[MARGEM DE DESCONTO]])</f>
        <v/>
      </c>
      <c r="AA544" s="64">
        <f>(Table_1[[#This Row],[PREÇO JUSTO GORDON]]-Table_1[[#This Row],[PREÇO]])/Table_1[[#This Row],[PREÇO JUSTO GORDON]]</f>
        <v/>
      </c>
      <c r="AB544" s="130">
        <f>Table_1[[#This Row],[DPA]]*(1+Table_1[[#This Row],[MÉDIA DE CRESCIMENTO]])</f>
        <v/>
      </c>
      <c r="AC544" s="130">
        <f>Table_1[[#This Row],[D1]]/(Table_1[[#This Row],[RISCO]]-Table_1[[#This Row],[MÉDIA DE CRESCIMENTO]])</f>
        <v/>
      </c>
      <c r="AD544" s="130">
        <f>Table_1[[#This Row],[PREÇO JUSTO GORDON]]/(1+Table_1[[#This Row],[MARGEM DE DESCONTO]])</f>
        <v/>
      </c>
      <c r="AE544" s="78">
        <f>Table_1[[#This Row],[P/L]]/Table_1[[#This Row],[MÉDIA DE CRESCIMENTO]]</f>
        <v/>
      </c>
    </row>
    <row r="545" ht="15.75" customHeight="1">
      <c r="B545" s="77">
        <f>'Dados Status Invest'!A531</f>
        <v/>
      </c>
      <c r="C545" s="60">
        <f>VLOOKUP(Table_1[[#This Row],[AÇÕES]],'Classificação B3'!A:B,2,0)</f>
        <v/>
      </c>
      <c r="D545" s="60">
        <f>VLOOKUP(Table_1[[#This Row],[AÇÕES]],'Classificação B3'!A:D,4,0)</f>
        <v/>
      </c>
      <c r="E545" s="60">
        <f>VLOOKUP(Table_1[[#This Row],[AÇÕES]],'Classificação B3'!A:F,6,0)</f>
        <v/>
      </c>
      <c r="F545" s="60">
        <f>VLOOKUP(Table_1[[#This Row],[AÇÕES]],'Classificação B3'!A:G,7,0)</f>
        <v/>
      </c>
      <c r="G545" s="61">
        <f>VLOOKUP(Table_1[[#This Row],[AÇÕES]],'Dados Status Invest'!A:B,2,0)</f>
        <v/>
      </c>
      <c r="H545" s="62">
        <f>VLOOKUP(Table_1[[#This Row],[AÇÕES]],'Dados Status Invest'!A:C,3,0)/100</f>
        <v/>
      </c>
      <c r="I545" s="62">
        <f>VLOOKUP(Table_1[[#This Row],[AÇÕES]],'Dados Status Invest'!A:D,4,0)/100</f>
        <v/>
      </c>
      <c r="J545" s="63">
        <f>VLOOKUP(Table_1[[#This Row],[AÇÕES]],'Dados Status Invest'!A:AB,28,0)</f>
        <v/>
      </c>
      <c r="K545" s="63">
        <f>VLOOKUP(Table_1[[#This Row],[AÇÕES]],'Dados Status Invest'!A:AA,27,0)</f>
        <v/>
      </c>
      <c r="L545" s="63">
        <f>Table_1[[#This Row],[PREÇO]]*Table_1[[#This Row],[DY]]</f>
        <v/>
      </c>
      <c r="M545" s="62">
        <f>$E$13</f>
        <v/>
      </c>
      <c r="N545" s="62" t="n">
        <v>0.3</v>
      </c>
      <c r="O545" s="62">
        <f>Table_1[[#This Row],[DPA]]/Table_1[[#This Row],[LPA]]</f>
        <v/>
      </c>
      <c r="P545" s="62">
        <f>IF(Table_1[[#This Row],[PAYOUT]]&lt;=40%,"CRESCIMENTO",IF(Table_1[[#This Row],[PAYOUT]]&lt;=60%,"INDEFINIDO","DIVIDENDOS"))</f>
        <v/>
      </c>
      <c r="Q545" s="62">
        <f>VLOOKUP(Table_1[[#This Row],[AÇÕES]],'Dados Status Invest'!A:R,18,0)/100</f>
        <v/>
      </c>
      <c r="R545" s="62">
        <f>VLOOKUP(Table_1[[#This Row],[AÇÕES]],'Dados Status Invest'!A:Y,25,0)/100</f>
        <v/>
      </c>
      <c r="S545" s="62">
        <f>(1-Table_1[[#This Row],[PAYOUT]])*Table_1[[#This Row],[ROE]]</f>
        <v/>
      </c>
      <c r="T545" s="98">
        <f>AVERAGE(Table_1[[#This Row],[CAGR LUCRO 5A]],Table_1[[#This Row],[CRESCIMENTO DAMODARAN]])</f>
        <v/>
      </c>
      <c r="U545" s="64">
        <f>(Table_1[[#This Row],[PREÇO JUSTO BAZIN]]-Table_1[[#This Row],[PREÇO]])/Table_1[[#This Row],[PREÇO JUSTO BAZIN]]</f>
        <v/>
      </c>
      <c r="V545" s="129">
        <f>Table_1[[#This Row],[DPA]]/6%</f>
        <v/>
      </c>
      <c r="W545" s="129">
        <f>Table_1[[#This Row],[PREÇO JUSTO BAZIN]]/(1+Table_1[[#This Row],[MARGEM DE DESCONTO]])</f>
        <v/>
      </c>
      <c r="X545" s="64">
        <f>(Table_1[[#This Row],[PREÇO JUSTO GRAHAM]]-Table_1[[#This Row],[PREÇO]])/Table_1[[#This Row],[PREÇO JUSTO GRAHAM]]</f>
        <v/>
      </c>
      <c r="Y545" s="129">
        <f>(22.5*Table_1[[#This Row],[LPA]]*Table_1[[#This Row],[VPA]])^0.5</f>
        <v/>
      </c>
      <c r="Z545" s="129">
        <f>Table_1[[#This Row],[PREÇO JUSTO GRAHAM]]/(1+Table_1[[#This Row],[MARGEM DE DESCONTO]])</f>
        <v/>
      </c>
      <c r="AA545" s="64">
        <f>(Table_1[[#This Row],[PREÇO JUSTO GORDON]]-Table_1[[#This Row],[PREÇO]])/Table_1[[#This Row],[PREÇO JUSTO GORDON]]</f>
        <v/>
      </c>
      <c r="AB545" s="130">
        <f>Table_1[[#This Row],[DPA]]*(1+Table_1[[#This Row],[MÉDIA DE CRESCIMENTO]])</f>
        <v/>
      </c>
      <c r="AC545" s="130">
        <f>Table_1[[#This Row],[D1]]/(Table_1[[#This Row],[RISCO]]-Table_1[[#This Row],[MÉDIA DE CRESCIMENTO]])</f>
        <v/>
      </c>
      <c r="AD545" s="130">
        <f>Table_1[[#This Row],[PREÇO JUSTO GORDON]]/(1+Table_1[[#This Row],[MARGEM DE DESCONTO]])</f>
        <v/>
      </c>
      <c r="AE545" s="78">
        <f>Table_1[[#This Row],[P/L]]/Table_1[[#This Row],[MÉDIA DE CRESCIMENTO]]</f>
        <v/>
      </c>
    </row>
    <row r="546" ht="15.75" customHeight="1">
      <c r="B546" s="77">
        <f>'Dados Status Invest'!A532</f>
        <v/>
      </c>
      <c r="C546" s="60">
        <f>VLOOKUP(Table_1[[#This Row],[AÇÕES]],'Classificação B3'!A:B,2,0)</f>
        <v/>
      </c>
      <c r="D546" s="60">
        <f>VLOOKUP(Table_1[[#This Row],[AÇÕES]],'Classificação B3'!A:D,4,0)</f>
        <v/>
      </c>
      <c r="E546" s="60">
        <f>VLOOKUP(Table_1[[#This Row],[AÇÕES]],'Classificação B3'!A:F,6,0)</f>
        <v/>
      </c>
      <c r="F546" s="60">
        <f>VLOOKUP(Table_1[[#This Row],[AÇÕES]],'Classificação B3'!A:G,7,0)</f>
        <v/>
      </c>
      <c r="G546" s="61">
        <f>VLOOKUP(Table_1[[#This Row],[AÇÕES]],'Dados Status Invest'!A:B,2,0)</f>
        <v/>
      </c>
      <c r="H546" s="62">
        <f>VLOOKUP(Table_1[[#This Row],[AÇÕES]],'Dados Status Invest'!A:C,3,0)/100</f>
        <v/>
      </c>
      <c r="I546" s="62">
        <f>VLOOKUP(Table_1[[#This Row],[AÇÕES]],'Dados Status Invest'!A:D,4,0)/100</f>
        <v/>
      </c>
      <c r="J546" s="63">
        <f>VLOOKUP(Table_1[[#This Row],[AÇÕES]],'Dados Status Invest'!A:AB,28,0)</f>
        <v/>
      </c>
      <c r="K546" s="63">
        <f>VLOOKUP(Table_1[[#This Row],[AÇÕES]],'Dados Status Invest'!A:AA,27,0)</f>
        <v/>
      </c>
      <c r="L546" s="63">
        <f>Table_1[[#This Row],[PREÇO]]*Table_1[[#This Row],[DY]]</f>
        <v/>
      </c>
      <c r="M546" s="62">
        <f>$E$13</f>
        <v/>
      </c>
      <c r="N546" s="62" t="n">
        <v>0.3</v>
      </c>
      <c r="O546" s="62">
        <f>Table_1[[#This Row],[DPA]]/Table_1[[#This Row],[LPA]]</f>
        <v/>
      </c>
      <c r="P546" s="62">
        <f>IF(Table_1[[#This Row],[PAYOUT]]&lt;=40%,"CRESCIMENTO",IF(Table_1[[#This Row],[PAYOUT]]&lt;=60%,"INDEFINIDO","DIVIDENDOS"))</f>
        <v/>
      </c>
      <c r="Q546" s="62">
        <f>VLOOKUP(Table_1[[#This Row],[AÇÕES]],'Dados Status Invest'!A:R,18,0)/100</f>
        <v/>
      </c>
      <c r="R546" s="62">
        <f>VLOOKUP(Table_1[[#This Row],[AÇÕES]],'Dados Status Invest'!A:Y,25,0)/100</f>
        <v/>
      </c>
      <c r="S546" s="62">
        <f>(1-Table_1[[#This Row],[PAYOUT]])*Table_1[[#This Row],[ROE]]</f>
        <v/>
      </c>
      <c r="T546" s="98">
        <f>AVERAGE(Table_1[[#This Row],[CAGR LUCRO 5A]],Table_1[[#This Row],[CRESCIMENTO DAMODARAN]])</f>
        <v/>
      </c>
      <c r="U546" s="64">
        <f>(Table_1[[#This Row],[PREÇO JUSTO BAZIN]]-Table_1[[#This Row],[PREÇO]])/Table_1[[#This Row],[PREÇO JUSTO BAZIN]]</f>
        <v/>
      </c>
      <c r="V546" s="129">
        <f>Table_1[[#This Row],[DPA]]/6%</f>
        <v/>
      </c>
      <c r="W546" s="129">
        <f>Table_1[[#This Row],[PREÇO JUSTO BAZIN]]/(1+Table_1[[#This Row],[MARGEM DE DESCONTO]])</f>
        <v/>
      </c>
      <c r="X546" s="64">
        <f>(Table_1[[#This Row],[PREÇO JUSTO GRAHAM]]-Table_1[[#This Row],[PREÇO]])/Table_1[[#This Row],[PREÇO JUSTO GRAHAM]]</f>
        <v/>
      </c>
      <c r="Y546" s="129">
        <f>(22.5*Table_1[[#This Row],[LPA]]*Table_1[[#This Row],[VPA]])^0.5</f>
        <v/>
      </c>
      <c r="Z546" s="129">
        <f>Table_1[[#This Row],[PREÇO JUSTO GRAHAM]]/(1+Table_1[[#This Row],[MARGEM DE DESCONTO]])</f>
        <v/>
      </c>
      <c r="AA546" s="64">
        <f>(Table_1[[#This Row],[PREÇO JUSTO GORDON]]-Table_1[[#This Row],[PREÇO]])/Table_1[[#This Row],[PREÇO JUSTO GORDON]]</f>
        <v/>
      </c>
      <c r="AB546" s="130">
        <f>Table_1[[#This Row],[DPA]]*(1+Table_1[[#This Row],[MÉDIA DE CRESCIMENTO]])</f>
        <v/>
      </c>
      <c r="AC546" s="130">
        <f>Table_1[[#This Row],[D1]]/(Table_1[[#This Row],[RISCO]]-Table_1[[#This Row],[MÉDIA DE CRESCIMENTO]])</f>
        <v/>
      </c>
      <c r="AD546" s="130">
        <f>Table_1[[#This Row],[PREÇO JUSTO GORDON]]/(1+Table_1[[#This Row],[MARGEM DE DESCONTO]])</f>
        <v/>
      </c>
      <c r="AE546" s="78">
        <f>Table_1[[#This Row],[P/L]]/Table_1[[#This Row],[MÉDIA DE CRESCIMENTO]]</f>
        <v/>
      </c>
    </row>
    <row r="547" ht="15.75" customHeight="1">
      <c r="B547" s="77">
        <f>'Dados Status Invest'!A533</f>
        <v/>
      </c>
      <c r="C547" s="60">
        <f>VLOOKUP(Table_1[[#This Row],[AÇÕES]],'Classificação B3'!A:B,2,0)</f>
        <v/>
      </c>
      <c r="D547" s="60">
        <f>VLOOKUP(Table_1[[#This Row],[AÇÕES]],'Classificação B3'!A:D,4,0)</f>
        <v/>
      </c>
      <c r="E547" s="60">
        <f>VLOOKUP(Table_1[[#This Row],[AÇÕES]],'Classificação B3'!A:F,6,0)</f>
        <v/>
      </c>
      <c r="F547" s="60">
        <f>VLOOKUP(Table_1[[#This Row],[AÇÕES]],'Classificação B3'!A:G,7,0)</f>
        <v/>
      </c>
      <c r="G547" s="61">
        <f>VLOOKUP(Table_1[[#This Row],[AÇÕES]],'Dados Status Invest'!A:B,2,0)</f>
        <v/>
      </c>
      <c r="H547" s="62">
        <f>VLOOKUP(Table_1[[#This Row],[AÇÕES]],'Dados Status Invest'!A:C,3,0)/100</f>
        <v/>
      </c>
      <c r="I547" s="62">
        <f>VLOOKUP(Table_1[[#This Row],[AÇÕES]],'Dados Status Invest'!A:D,4,0)/100</f>
        <v/>
      </c>
      <c r="J547" s="63">
        <f>VLOOKUP(Table_1[[#This Row],[AÇÕES]],'Dados Status Invest'!A:AB,28,0)</f>
        <v/>
      </c>
      <c r="K547" s="63">
        <f>VLOOKUP(Table_1[[#This Row],[AÇÕES]],'Dados Status Invest'!A:AA,27,0)</f>
        <v/>
      </c>
      <c r="L547" s="63">
        <f>Table_1[[#This Row],[PREÇO]]*Table_1[[#This Row],[DY]]</f>
        <v/>
      </c>
      <c r="M547" s="62">
        <f>$E$13</f>
        <v/>
      </c>
      <c r="N547" s="62" t="n">
        <v>0.3</v>
      </c>
      <c r="O547" s="62">
        <f>Table_1[[#This Row],[DPA]]/Table_1[[#This Row],[LPA]]</f>
        <v/>
      </c>
      <c r="P547" s="62">
        <f>IF(Table_1[[#This Row],[PAYOUT]]&lt;=40%,"CRESCIMENTO",IF(Table_1[[#This Row],[PAYOUT]]&lt;=60%,"INDEFINIDO","DIVIDENDOS"))</f>
        <v/>
      </c>
      <c r="Q547" s="62">
        <f>VLOOKUP(Table_1[[#This Row],[AÇÕES]],'Dados Status Invest'!A:R,18,0)/100</f>
        <v/>
      </c>
      <c r="R547" s="62">
        <f>VLOOKUP(Table_1[[#This Row],[AÇÕES]],'Dados Status Invest'!A:Y,25,0)/100</f>
        <v/>
      </c>
      <c r="S547" s="62">
        <f>(1-Table_1[[#This Row],[PAYOUT]])*Table_1[[#This Row],[ROE]]</f>
        <v/>
      </c>
      <c r="T547" s="98">
        <f>AVERAGE(Table_1[[#This Row],[CAGR LUCRO 5A]],Table_1[[#This Row],[CRESCIMENTO DAMODARAN]])</f>
        <v/>
      </c>
      <c r="U547" s="64">
        <f>(Table_1[[#This Row],[PREÇO JUSTO BAZIN]]-Table_1[[#This Row],[PREÇO]])/Table_1[[#This Row],[PREÇO JUSTO BAZIN]]</f>
        <v/>
      </c>
      <c r="V547" s="129">
        <f>Table_1[[#This Row],[DPA]]/6%</f>
        <v/>
      </c>
      <c r="W547" s="129">
        <f>Table_1[[#This Row],[PREÇO JUSTO BAZIN]]/(1+Table_1[[#This Row],[MARGEM DE DESCONTO]])</f>
        <v/>
      </c>
      <c r="X547" s="64">
        <f>(Table_1[[#This Row],[PREÇO JUSTO GRAHAM]]-Table_1[[#This Row],[PREÇO]])/Table_1[[#This Row],[PREÇO JUSTO GRAHAM]]</f>
        <v/>
      </c>
      <c r="Y547" s="129">
        <f>(22.5*Table_1[[#This Row],[LPA]]*Table_1[[#This Row],[VPA]])^0.5</f>
        <v/>
      </c>
      <c r="Z547" s="129">
        <f>Table_1[[#This Row],[PREÇO JUSTO GRAHAM]]/(1+Table_1[[#This Row],[MARGEM DE DESCONTO]])</f>
        <v/>
      </c>
      <c r="AA547" s="64">
        <f>(Table_1[[#This Row],[PREÇO JUSTO GORDON]]-Table_1[[#This Row],[PREÇO]])/Table_1[[#This Row],[PREÇO JUSTO GORDON]]</f>
        <v/>
      </c>
      <c r="AB547" s="130">
        <f>Table_1[[#This Row],[DPA]]*(1+Table_1[[#This Row],[MÉDIA DE CRESCIMENTO]])</f>
        <v/>
      </c>
      <c r="AC547" s="130">
        <f>Table_1[[#This Row],[D1]]/(Table_1[[#This Row],[RISCO]]-Table_1[[#This Row],[MÉDIA DE CRESCIMENTO]])</f>
        <v/>
      </c>
      <c r="AD547" s="130">
        <f>Table_1[[#This Row],[PREÇO JUSTO GORDON]]/(1+Table_1[[#This Row],[MARGEM DE DESCONTO]])</f>
        <v/>
      </c>
      <c r="AE547" s="78">
        <f>Table_1[[#This Row],[P/L]]/Table_1[[#This Row],[MÉDIA DE CRESCIMENTO]]</f>
        <v/>
      </c>
    </row>
    <row r="548" ht="15.75" customHeight="1">
      <c r="B548" s="77">
        <f>'Dados Status Invest'!A534</f>
        <v/>
      </c>
      <c r="C548" s="60">
        <f>VLOOKUP(Table_1[[#This Row],[AÇÕES]],'Classificação B3'!A:B,2,0)</f>
        <v/>
      </c>
      <c r="D548" s="60">
        <f>VLOOKUP(Table_1[[#This Row],[AÇÕES]],'Classificação B3'!A:D,4,0)</f>
        <v/>
      </c>
      <c r="E548" s="60">
        <f>VLOOKUP(Table_1[[#This Row],[AÇÕES]],'Classificação B3'!A:F,6,0)</f>
        <v/>
      </c>
      <c r="F548" s="60">
        <f>VLOOKUP(Table_1[[#This Row],[AÇÕES]],'Classificação B3'!A:G,7,0)</f>
        <v/>
      </c>
      <c r="G548" s="61">
        <f>VLOOKUP(Table_1[[#This Row],[AÇÕES]],'Dados Status Invest'!A:B,2,0)</f>
        <v/>
      </c>
      <c r="H548" s="62">
        <f>VLOOKUP(Table_1[[#This Row],[AÇÕES]],'Dados Status Invest'!A:C,3,0)/100</f>
        <v/>
      </c>
      <c r="I548" s="62">
        <f>VLOOKUP(Table_1[[#This Row],[AÇÕES]],'Dados Status Invest'!A:D,4,0)/100</f>
        <v/>
      </c>
      <c r="J548" s="63">
        <f>VLOOKUP(Table_1[[#This Row],[AÇÕES]],'Dados Status Invest'!A:AB,28,0)</f>
        <v/>
      </c>
      <c r="K548" s="63">
        <f>VLOOKUP(Table_1[[#This Row],[AÇÕES]],'Dados Status Invest'!A:AA,27,0)</f>
        <v/>
      </c>
      <c r="L548" s="63">
        <f>Table_1[[#This Row],[PREÇO]]*Table_1[[#This Row],[DY]]</f>
        <v/>
      </c>
      <c r="M548" s="62">
        <f>$E$13</f>
        <v/>
      </c>
      <c r="N548" s="62" t="n">
        <v>0.3</v>
      </c>
      <c r="O548" s="62">
        <f>Table_1[[#This Row],[DPA]]/Table_1[[#This Row],[LPA]]</f>
        <v/>
      </c>
      <c r="P548" s="62">
        <f>IF(Table_1[[#This Row],[PAYOUT]]&lt;=40%,"CRESCIMENTO",IF(Table_1[[#This Row],[PAYOUT]]&lt;=60%,"INDEFINIDO","DIVIDENDOS"))</f>
        <v/>
      </c>
      <c r="Q548" s="62">
        <f>VLOOKUP(Table_1[[#This Row],[AÇÕES]],'Dados Status Invest'!A:R,18,0)/100</f>
        <v/>
      </c>
      <c r="R548" s="62">
        <f>VLOOKUP(Table_1[[#This Row],[AÇÕES]],'Dados Status Invest'!A:Y,25,0)/100</f>
        <v/>
      </c>
      <c r="S548" s="62">
        <f>(1-Table_1[[#This Row],[PAYOUT]])*Table_1[[#This Row],[ROE]]</f>
        <v/>
      </c>
      <c r="T548" s="98">
        <f>AVERAGE(Table_1[[#This Row],[CAGR LUCRO 5A]],Table_1[[#This Row],[CRESCIMENTO DAMODARAN]])</f>
        <v/>
      </c>
      <c r="U548" s="64">
        <f>(Table_1[[#This Row],[PREÇO JUSTO BAZIN]]-Table_1[[#This Row],[PREÇO]])/Table_1[[#This Row],[PREÇO JUSTO BAZIN]]</f>
        <v/>
      </c>
      <c r="V548" s="129">
        <f>Table_1[[#This Row],[DPA]]/6%</f>
        <v/>
      </c>
      <c r="W548" s="129">
        <f>Table_1[[#This Row],[PREÇO JUSTO BAZIN]]/(1+Table_1[[#This Row],[MARGEM DE DESCONTO]])</f>
        <v/>
      </c>
      <c r="X548" s="64">
        <f>(Table_1[[#This Row],[PREÇO JUSTO GRAHAM]]-Table_1[[#This Row],[PREÇO]])/Table_1[[#This Row],[PREÇO JUSTO GRAHAM]]</f>
        <v/>
      </c>
      <c r="Y548" s="129">
        <f>(22.5*Table_1[[#This Row],[LPA]]*Table_1[[#This Row],[VPA]])^0.5</f>
        <v/>
      </c>
      <c r="Z548" s="129">
        <f>Table_1[[#This Row],[PREÇO JUSTO GRAHAM]]/(1+Table_1[[#This Row],[MARGEM DE DESCONTO]])</f>
        <v/>
      </c>
      <c r="AA548" s="64">
        <f>(Table_1[[#This Row],[PREÇO JUSTO GORDON]]-Table_1[[#This Row],[PREÇO]])/Table_1[[#This Row],[PREÇO JUSTO GORDON]]</f>
        <v/>
      </c>
      <c r="AB548" s="130">
        <f>Table_1[[#This Row],[DPA]]*(1+Table_1[[#This Row],[MÉDIA DE CRESCIMENTO]])</f>
        <v/>
      </c>
      <c r="AC548" s="130">
        <f>Table_1[[#This Row],[D1]]/(Table_1[[#This Row],[RISCO]]-Table_1[[#This Row],[MÉDIA DE CRESCIMENTO]])</f>
        <v/>
      </c>
      <c r="AD548" s="130">
        <f>Table_1[[#This Row],[PREÇO JUSTO GORDON]]/(1+Table_1[[#This Row],[MARGEM DE DESCONTO]])</f>
        <v/>
      </c>
      <c r="AE548" s="78">
        <f>Table_1[[#This Row],[P/L]]/Table_1[[#This Row],[MÉDIA DE CRESCIMENTO]]</f>
        <v/>
      </c>
    </row>
    <row r="549" ht="15.75" customHeight="1">
      <c r="B549" s="77">
        <f>'Dados Status Invest'!A535</f>
        <v/>
      </c>
      <c r="C549" s="60">
        <f>VLOOKUP(Table_1[[#This Row],[AÇÕES]],'Classificação B3'!A:B,2,0)</f>
        <v/>
      </c>
      <c r="D549" s="60">
        <f>VLOOKUP(Table_1[[#This Row],[AÇÕES]],'Classificação B3'!A:D,4,0)</f>
        <v/>
      </c>
      <c r="E549" s="60">
        <f>VLOOKUP(Table_1[[#This Row],[AÇÕES]],'Classificação B3'!A:F,6,0)</f>
        <v/>
      </c>
      <c r="F549" s="60">
        <f>VLOOKUP(Table_1[[#This Row],[AÇÕES]],'Classificação B3'!A:G,7,0)</f>
        <v/>
      </c>
      <c r="G549" s="61">
        <f>VLOOKUP(Table_1[[#This Row],[AÇÕES]],'Dados Status Invest'!A:B,2,0)</f>
        <v/>
      </c>
      <c r="H549" s="62">
        <f>VLOOKUP(Table_1[[#This Row],[AÇÕES]],'Dados Status Invest'!A:C,3,0)/100</f>
        <v/>
      </c>
      <c r="I549" s="62">
        <f>VLOOKUP(Table_1[[#This Row],[AÇÕES]],'Dados Status Invest'!A:D,4,0)/100</f>
        <v/>
      </c>
      <c r="J549" s="63">
        <f>VLOOKUP(Table_1[[#This Row],[AÇÕES]],'Dados Status Invest'!A:AB,28,0)</f>
        <v/>
      </c>
      <c r="K549" s="63">
        <f>VLOOKUP(Table_1[[#This Row],[AÇÕES]],'Dados Status Invest'!A:AA,27,0)</f>
        <v/>
      </c>
      <c r="L549" s="63">
        <f>Table_1[[#This Row],[PREÇO]]*Table_1[[#This Row],[DY]]</f>
        <v/>
      </c>
      <c r="M549" s="62">
        <f>$E$13</f>
        <v/>
      </c>
      <c r="N549" s="62" t="n">
        <v>0.3</v>
      </c>
      <c r="O549" s="62">
        <f>Table_1[[#This Row],[DPA]]/Table_1[[#This Row],[LPA]]</f>
        <v/>
      </c>
      <c r="P549" s="62">
        <f>IF(Table_1[[#This Row],[PAYOUT]]&lt;=40%,"CRESCIMENTO",IF(Table_1[[#This Row],[PAYOUT]]&lt;=60%,"INDEFINIDO","DIVIDENDOS"))</f>
        <v/>
      </c>
      <c r="Q549" s="62">
        <f>VLOOKUP(Table_1[[#This Row],[AÇÕES]],'Dados Status Invest'!A:R,18,0)/100</f>
        <v/>
      </c>
      <c r="R549" s="62">
        <f>VLOOKUP(Table_1[[#This Row],[AÇÕES]],'Dados Status Invest'!A:Y,25,0)/100</f>
        <v/>
      </c>
      <c r="S549" s="62">
        <f>(1-Table_1[[#This Row],[PAYOUT]])*Table_1[[#This Row],[ROE]]</f>
        <v/>
      </c>
      <c r="T549" s="98">
        <f>AVERAGE(Table_1[[#This Row],[CAGR LUCRO 5A]],Table_1[[#This Row],[CRESCIMENTO DAMODARAN]])</f>
        <v/>
      </c>
      <c r="U549" s="64">
        <f>(Table_1[[#This Row],[PREÇO JUSTO BAZIN]]-Table_1[[#This Row],[PREÇO]])/Table_1[[#This Row],[PREÇO JUSTO BAZIN]]</f>
        <v/>
      </c>
      <c r="V549" s="129">
        <f>Table_1[[#This Row],[DPA]]/6%</f>
        <v/>
      </c>
      <c r="W549" s="129">
        <f>Table_1[[#This Row],[PREÇO JUSTO BAZIN]]/(1+Table_1[[#This Row],[MARGEM DE DESCONTO]])</f>
        <v/>
      </c>
      <c r="X549" s="64">
        <f>(Table_1[[#This Row],[PREÇO JUSTO GRAHAM]]-Table_1[[#This Row],[PREÇO]])/Table_1[[#This Row],[PREÇO JUSTO GRAHAM]]</f>
        <v/>
      </c>
      <c r="Y549" s="129">
        <f>(22.5*Table_1[[#This Row],[LPA]]*Table_1[[#This Row],[VPA]])^0.5</f>
        <v/>
      </c>
      <c r="Z549" s="129">
        <f>Table_1[[#This Row],[PREÇO JUSTO GRAHAM]]/(1+Table_1[[#This Row],[MARGEM DE DESCONTO]])</f>
        <v/>
      </c>
      <c r="AA549" s="64">
        <f>(Table_1[[#This Row],[PREÇO JUSTO GORDON]]-Table_1[[#This Row],[PREÇO]])/Table_1[[#This Row],[PREÇO JUSTO GORDON]]</f>
        <v/>
      </c>
      <c r="AB549" s="130">
        <f>Table_1[[#This Row],[DPA]]*(1+Table_1[[#This Row],[MÉDIA DE CRESCIMENTO]])</f>
        <v/>
      </c>
      <c r="AC549" s="130">
        <f>Table_1[[#This Row],[D1]]/(Table_1[[#This Row],[RISCO]]-Table_1[[#This Row],[MÉDIA DE CRESCIMENTO]])</f>
        <v/>
      </c>
      <c r="AD549" s="130">
        <f>Table_1[[#This Row],[PREÇO JUSTO GORDON]]/(1+Table_1[[#This Row],[MARGEM DE DESCONTO]])</f>
        <v/>
      </c>
      <c r="AE549" s="78">
        <f>Table_1[[#This Row],[P/L]]/Table_1[[#This Row],[MÉDIA DE CRESCIMENTO]]</f>
        <v/>
      </c>
    </row>
    <row r="550" ht="15.75" customHeight="1">
      <c r="B550" s="77">
        <f>'Dados Status Invest'!A536</f>
        <v/>
      </c>
      <c r="C550" s="60">
        <f>VLOOKUP(Table_1[[#This Row],[AÇÕES]],'Classificação B3'!A:B,2,0)</f>
        <v/>
      </c>
      <c r="D550" s="60">
        <f>VLOOKUP(Table_1[[#This Row],[AÇÕES]],'Classificação B3'!A:D,4,0)</f>
        <v/>
      </c>
      <c r="E550" s="60">
        <f>VLOOKUP(Table_1[[#This Row],[AÇÕES]],'Classificação B3'!A:F,6,0)</f>
        <v/>
      </c>
      <c r="F550" s="60">
        <f>VLOOKUP(Table_1[[#This Row],[AÇÕES]],'Classificação B3'!A:G,7,0)</f>
        <v/>
      </c>
      <c r="G550" s="61">
        <f>VLOOKUP(Table_1[[#This Row],[AÇÕES]],'Dados Status Invest'!A:B,2,0)</f>
        <v/>
      </c>
      <c r="H550" s="62">
        <f>VLOOKUP(Table_1[[#This Row],[AÇÕES]],'Dados Status Invest'!A:C,3,0)/100</f>
        <v/>
      </c>
      <c r="I550" s="62">
        <f>VLOOKUP(Table_1[[#This Row],[AÇÕES]],'Dados Status Invest'!A:D,4,0)/100</f>
        <v/>
      </c>
      <c r="J550" s="63">
        <f>VLOOKUP(Table_1[[#This Row],[AÇÕES]],'Dados Status Invest'!A:AB,28,0)</f>
        <v/>
      </c>
      <c r="K550" s="63">
        <f>VLOOKUP(Table_1[[#This Row],[AÇÕES]],'Dados Status Invest'!A:AA,27,0)</f>
        <v/>
      </c>
      <c r="L550" s="63">
        <f>Table_1[[#This Row],[PREÇO]]*Table_1[[#This Row],[DY]]</f>
        <v/>
      </c>
      <c r="M550" s="62">
        <f>$E$13</f>
        <v/>
      </c>
      <c r="N550" s="62" t="n">
        <v>0.3</v>
      </c>
      <c r="O550" s="62">
        <f>Table_1[[#This Row],[DPA]]/Table_1[[#This Row],[LPA]]</f>
        <v/>
      </c>
      <c r="P550" s="62">
        <f>IF(Table_1[[#This Row],[PAYOUT]]&lt;=40%,"CRESCIMENTO",IF(Table_1[[#This Row],[PAYOUT]]&lt;=60%,"INDEFINIDO","DIVIDENDOS"))</f>
        <v/>
      </c>
      <c r="Q550" s="62">
        <f>VLOOKUP(Table_1[[#This Row],[AÇÕES]],'Dados Status Invest'!A:R,18,0)/100</f>
        <v/>
      </c>
      <c r="R550" s="62">
        <f>VLOOKUP(Table_1[[#This Row],[AÇÕES]],'Dados Status Invest'!A:Y,25,0)/100</f>
        <v/>
      </c>
      <c r="S550" s="62">
        <f>(1-Table_1[[#This Row],[PAYOUT]])*Table_1[[#This Row],[ROE]]</f>
        <v/>
      </c>
      <c r="T550" s="98">
        <f>AVERAGE(Table_1[[#This Row],[CAGR LUCRO 5A]],Table_1[[#This Row],[CRESCIMENTO DAMODARAN]])</f>
        <v/>
      </c>
      <c r="U550" s="64">
        <f>(Table_1[[#This Row],[PREÇO JUSTO BAZIN]]-Table_1[[#This Row],[PREÇO]])/Table_1[[#This Row],[PREÇO JUSTO BAZIN]]</f>
        <v/>
      </c>
      <c r="V550" s="129">
        <f>Table_1[[#This Row],[DPA]]/6%</f>
        <v/>
      </c>
      <c r="W550" s="129">
        <f>Table_1[[#This Row],[PREÇO JUSTO BAZIN]]/(1+Table_1[[#This Row],[MARGEM DE DESCONTO]])</f>
        <v/>
      </c>
      <c r="X550" s="64">
        <f>(Table_1[[#This Row],[PREÇO JUSTO GRAHAM]]-Table_1[[#This Row],[PREÇO]])/Table_1[[#This Row],[PREÇO JUSTO GRAHAM]]</f>
        <v/>
      </c>
      <c r="Y550" s="129">
        <f>(22.5*Table_1[[#This Row],[LPA]]*Table_1[[#This Row],[VPA]])^0.5</f>
        <v/>
      </c>
      <c r="Z550" s="129">
        <f>Table_1[[#This Row],[PREÇO JUSTO GRAHAM]]/(1+Table_1[[#This Row],[MARGEM DE DESCONTO]])</f>
        <v/>
      </c>
      <c r="AA550" s="64">
        <f>(Table_1[[#This Row],[PREÇO JUSTO GORDON]]-Table_1[[#This Row],[PREÇO]])/Table_1[[#This Row],[PREÇO JUSTO GORDON]]</f>
        <v/>
      </c>
      <c r="AB550" s="130">
        <f>Table_1[[#This Row],[DPA]]*(1+Table_1[[#This Row],[MÉDIA DE CRESCIMENTO]])</f>
        <v/>
      </c>
      <c r="AC550" s="130">
        <f>Table_1[[#This Row],[D1]]/(Table_1[[#This Row],[RISCO]]-Table_1[[#This Row],[MÉDIA DE CRESCIMENTO]])</f>
        <v/>
      </c>
      <c r="AD550" s="130">
        <f>Table_1[[#This Row],[PREÇO JUSTO GORDON]]/(1+Table_1[[#This Row],[MARGEM DE DESCONTO]])</f>
        <v/>
      </c>
      <c r="AE550" s="78">
        <f>Table_1[[#This Row],[P/L]]/Table_1[[#This Row],[MÉDIA DE CRESCIMENTO]]</f>
        <v/>
      </c>
    </row>
    <row r="551" ht="15.75" customHeight="1">
      <c r="B551" s="77">
        <f>'Dados Status Invest'!A537</f>
        <v/>
      </c>
      <c r="C551" s="60">
        <f>VLOOKUP(Table_1[[#This Row],[AÇÕES]],'Classificação B3'!A:B,2,0)</f>
        <v/>
      </c>
      <c r="D551" s="60">
        <f>VLOOKUP(Table_1[[#This Row],[AÇÕES]],'Classificação B3'!A:D,4,0)</f>
        <v/>
      </c>
      <c r="E551" s="60">
        <f>VLOOKUP(Table_1[[#This Row],[AÇÕES]],'Classificação B3'!A:F,6,0)</f>
        <v/>
      </c>
      <c r="F551" s="60">
        <f>VLOOKUP(Table_1[[#This Row],[AÇÕES]],'Classificação B3'!A:G,7,0)</f>
        <v/>
      </c>
      <c r="G551" s="61">
        <f>VLOOKUP(Table_1[[#This Row],[AÇÕES]],'Dados Status Invest'!A:B,2,0)</f>
        <v/>
      </c>
      <c r="H551" s="62">
        <f>VLOOKUP(Table_1[[#This Row],[AÇÕES]],'Dados Status Invest'!A:C,3,0)/100</f>
        <v/>
      </c>
      <c r="I551" s="62">
        <f>VLOOKUP(Table_1[[#This Row],[AÇÕES]],'Dados Status Invest'!A:D,4,0)/100</f>
        <v/>
      </c>
      <c r="J551" s="63">
        <f>VLOOKUP(Table_1[[#This Row],[AÇÕES]],'Dados Status Invest'!A:AB,28,0)</f>
        <v/>
      </c>
      <c r="K551" s="63">
        <f>VLOOKUP(Table_1[[#This Row],[AÇÕES]],'Dados Status Invest'!A:AA,27,0)</f>
        <v/>
      </c>
      <c r="L551" s="63">
        <f>Table_1[[#This Row],[PREÇO]]*Table_1[[#This Row],[DY]]</f>
        <v/>
      </c>
      <c r="M551" s="62">
        <f>$E$13</f>
        <v/>
      </c>
      <c r="N551" s="62" t="n">
        <v>0.3</v>
      </c>
      <c r="O551" s="62">
        <f>Table_1[[#This Row],[DPA]]/Table_1[[#This Row],[LPA]]</f>
        <v/>
      </c>
      <c r="P551" s="62">
        <f>IF(Table_1[[#This Row],[PAYOUT]]&lt;=40%,"CRESCIMENTO",IF(Table_1[[#This Row],[PAYOUT]]&lt;=60%,"INDEFINIDO","DIVIDENDOS"))</f>
        <v/>
      </c>
      <c r="Q551" s="62">
        <f>VLOOKUP(Table_1[[#This Row],[AÇÕES]],'Dados Status Invest'!A:R,18,0)/100</f>
        <v/>
      </c>
      <c r="R551" s="62">
        <f>VLOOKUP(Table_1[[#This Row],[AÇÕES]],'Dados Status Invest'!A:Y,25,0)/100</f>
        <v/>
      </c>
      <c r="S551" s="62">
        <f>(1-Table_1[[#This Row],[PAYOUT]])*Table_1[[#This Row],[ROE]]</f>
        <v/>
      </c>
      <c r="T551" s="98">
        <f>AVERAGE(Table_1[[#This Row],[CAGR LUCRO 5A]],Table_1[[#This Row],[CRESCIMENTO DAMODARAN]])</f>
        <v/>
      </c>
      <c r="U551" s="64">
        <f>(Table_1[[#This Row],[PREÇO JUSTO BAZIN]]-Table_1[[#This Row],[PREÇO]])/Table_1[[#This Row],[PREÇO JUSTO BAZIN]]</f>
        <v/>
      </c>
      <c r="V551" s="129">
        <f>Table_1[[#This Row],[DPA]]/6%</f>
        <v/>
      </c>
      <c r="W551" s="129">
        <f>Table_1[[#This Row],[PREÇO JUSTO BAZIN]]/(1+Table_1[[#This Row],[MARGEM DE DESCONTO]])</f>
        <v/>
      </c>
      <c r="X551" s="64">
        <f>(Table_1[[#This Row],[PREÇO JUSTO GRAHAM]]-Table_1[[#This Row],[PREÇO]])/Table_1[[#This Row],[PREÇO JUSTO GRAHAM]]</f>
        <v/>
      </c>
      <c r="Y551" s="129">
        <f>(22.5*Table_1[[#This Row],[LPA]]*Table_1[[#This Row],[VPA]])^0.5</f>
        <v/>
      </c>
      <c r="Z551" s="129">
        <f>Table_1[[#This Row],[PREÇO JUSTO GRAHAM]]/(1+Table_1[[#This Row],[MARGEM DE DESCONTO]])</f>
        <v/>
      </c>
      <c r="AA551" s="64">
        <f>(Table_1[[#This Row],[PREÇO JUSTO GORDON]]-Table_1[[#This Row],[PREÇO]])/Table_1[[#This Row],[PREÇO JUSTO GORDON]]</f>
        <v/>
      </c>
      <c r="AB551" s="130">
        <f>Table_1[[#This Row],[DPA]]*(1+Table_1[[#This Row],[MÉDIA DE CRESCIMENTO]])</f>
        <v/>
      </c>
      <c r="AC551" s="130">
        <f>Table_1[[#This Row],[D1]]/(Table_1[[#This Row],[RISCO]]-Table_1[[#This Row],[MÉDIA DE CRESCIMENTO]])</f>
        <v/>
      </c>
      <c r="AD551" s="130">
        <f>Table_1[[#This Row],[PREÇO JUSTO GORDON]]/(1+Table_1[[#This Row],[MARGEM DE DESCONTO]])</f>
        <v/>
      </c>
      <c r="AE551" s="78">
        <f>Table_1[[#This Row],[P/L]]/Table_1[[#This Row],[MÉDIA DE CRESCIMENTO]]</f>
        <v/>
      </c>
    </row>
    <row r="552" ht="15.75" customHeight="1">
      <c r="B552" s="77">
        <f>'Dados Status Invest'!A538</f>
        <v/>
      </c>
      <c r="C552" s="60">
        <f>VLOOKUP(Table_1[[#This Row],[AÇÕES]],'Classificação B3'!A:B,2,0)</f>
        <v/>
      </c>
      <c r="D552" s="60">
        <f>VLOOKUP(Table_1[[#This Row],[AÇÕES]],'Classificação B3'!A:D,4,0)</f>
        <v/>
      </c>
      <c r="E552" s="60">
        <f>VLOOKUP(Table_1[[#This Row],[AÇÕES]],'Classificação B3'!A:F,6,0)</f>
        <v/>
      </c>
      <c r="F552" s="60">
        <f>VLOOKUP(Table_1[[#This Row],[AÇÕES]],'Classificação B3'!A:G,7,0)</f>
        <v/>
      </c>
      <c r="G552" s="61">
        <f>VLOOKUP(Table_1[[#This Row],[AÇÕES]],'Dados Status Invest'!A:B,2,0)</f>
        <v/>
      </c>
      <c r="H552" s="62">
        <f>VLOOKUP(Table_1[[#This Row],[AÇÕES]],'Dados Status Invest'!A:C,3,0)/100</f>
        <v/>
      </c>
      <c r="I552" s="62">
        <f>VLOOKUP(Table_1[[#This Row],[AÇÕES]],'Dados Status Invest'!A:D,4,0)/100</f>
        <v/>
      </c>
      <c r="J552" s="63">
        <f>VLOOKUP(Table_1[[#This Row],[AÇÕES]],'Dados Status Invest'!A:AB,28,0)</f>
        <v/>
      </c>
      <c r="K552" s="63">
        <f>VLOOKUP(Table_1[[#This Row],[AÇÕES]],'Dados Status Invest'!A:AA,27,0)</f>
        <v/>
      </c>
      <c r="L552" s="63">
        <f>Table_1[[#This Row],[PREÇO]]*Table_1[[#This Row],[DY]]</f>
        <v/>
      </c>
      <c r="M552" s="62">
        <f>$E$13</f>
        <v/>
      </c>
      <c r="N552" s="62" t="n">
        <v>0.3</v>
      </c>
      <c r="O552" s="62">
        <f>Table_1[[#This Row],[DPA]]/Table_1[[#This Row],[LPA]]</f>
        <v/>
      </c>
      <c r="P552" s="62">
        <f>IF(Table_1[[#This Row],[PAYOUT]]&lt;=40%,"CRESCIMENTO",IF(Table_1[[#This Row],[PAYOUT]]&lt;=60%,"INDEFINIDO","DIVIDENDOS"))</f>
        <v/>
      </c>
      <c r="Q552" s="62">
        <f>VLOOKUP(Table_1[[#This Row],[AÇÕES]],'Dados Status Invest'!A:R,18,0)/100</f>
        <v/>
      </c>
      <c r="R552" s="62">
        <f>VLOOKUP(Table_1[[#This Row],[AÇÕES]],'Dados Status Invest'!A:Y,25,0)/100</f>
        <v/>
      </c>
      <c r="S552" s="62">
        <f>(1-Table_1[[#This Row],[PAYOUT]])*Table_1[[#This Row],[ROE]]</f>
        <v/>
      </c>
      <c r="T552" s="98">
        <f>AVERAGE(Table_1[[#This Row],[CAGR LUCRO 5A]],Table_1[[#This Row],[CRESCIMENTO DAMODARAN]])</f>
        <v/>
      </c>
      <c r="U552" s="64">
        <f>(Table_1[[#This Row],[PREÇO JUSTO BAZIN]]-Table_1[[#This Row],[PREÇO]])/Table_1[[#This Row],[PREÇO JUSTO BAZIN]]</f>
        <v/>
      </c>
      <c r="V552" s="129">
        <f>Table_1[[#This Row],[DPA]]/6%</f>
        <v/>
      </c>
      <c r="W552" s="129">
        <f>Table_1[[#This Row],[PREÇO JUSTO BAZIN]]/(1+Table_1[[#This Row],[MARGEM DE DESCONTO]])</f>
        <v/>
      </c>
      <c r="X552" s="64">
        <f>(Table_1[[#This Row],[PREÇO JUSTO GRAHAM]]-Table_1[[#This Row],[PREÇO]])/Table_1[[#This Row],[PREÇO JUSTO GRAHAM]]</f>
        <v/>
      </c>
      <c r="Y552" s="129">
        <f>(22.5*Table_1[[#This Row],[LPA]]*Table_1[[#This Row],[VPA]])^0.5</f>
        <v/>
      </c>
      <c r="Z552" s="129">
        <f>Table_1[[#This Row],[PREÇO JUSTO GRAHAM]]/(1+Table_1[[#This Row],[MARGEM DE DESCONTO]])</f>
        <v/>
      </c>
      <c r="AA552" s="64">
        <f>(Table_1[[#This Row],[PREÇO JUSTO GORDON]]-Table_1[[#This Row],[PREÇO]])/Table_1[[#This Row],[PREÇO JUSTO GORDON]]</f>
        <v/>
      </c>
      <c r="AB552" s="130">
        <f>Table_1[[#This Row],[DPA]]*(1+Table_1[[#This Row],[MÉDIA DE CRESCIMENTO]])</f>
        <v/>
      </c>
      <c r="AC552" s="130">
        <f>Table_1[[#This Row],[D1]]/(Table_1[[#This Row],[RISCO]]-Table_1[[#This Row],[MÉDIA DE CRESCIMENTO]])</f>
        <v/>
      </c>
      <c r="AD552" s="130">
        <f>Table_1[[#This Row],[PREÇO JUSTO GORDON]]/(1+Table_1[[#This Row],[MARGEM DE DESCONTO]])</f>
        <v/>
      </c>
      <c r="AE552" s="78">
        <f>Table_1[[#This Row],[P/L]]/Table_1[[#This Row],[MÉDIA DE CRESCIMENTO]]</f>
        <v/>
      </c>
    </row>
    <row r="553" ht="15.75" customHeight="1">
      <c r="B553" s="77">
        <f>'Dados Status Invest'!A539</f>
        <v/>
      </c>
      <c r="C553" s="60">
        <f>VLOOKUP(Table_1[[#This Row],[AÇÕES]],'Classificação B3'!A:B,2,0)</f>
        <v/>
      </c>
      <c r="D553" s="60">
        <f>VLOOKUP(Table_1[[#This Row],[AÇÕES]],'Classificação B3'!A:D,4,0)</f>
        <v/>
      </c>
      <c r="E553" s="60">
        <f>VLOOKUP(Table_1[[#This Row],[AÇÕES]],'Classificação B3'!A:F,6,0)</f>
        <v/>
      </c>
      <c r="F553" s="60">
        <f>VLOOKUP(Table_1[[#This Row],[AÇÕES]],'Classificação B3'!A:G,7,0)</f>
        <v/>
      </c>
      <c r="G553" s="61">
        <f>VLOOKUP(Table_1[[#This Row],[AÇÕES]],'Dados Status Invest'!A:B,2,0)</f>
        <v/>
      </c>
      <c r="H553" s="62">
        <f>VLOOKUP(Table_1[[#This Row],[AÇÕES]],'Dados Status Invest'!A:C,3,0)/100</f>
        <v/>
      </c>
      <c r="I553" s="62">
        <f>VLOOKUP(Table_1[[#This Row],[AÇÕES]],'Dados Status Invest'!A:D,4,0)/100</f>
        <v/>
      </c>
      <c r="J553" s="63">
        <f>VLOOKUP(Table_1[[#This Row],[AÇÕES]],'Dados Status Invest'!A:AB,28,0)</f>
        <v/>
      </c>
      <c r="K553" s="63">
        <f>VLOOKUP(Table_1[[#This Row],[AÇÕES]],'Dados Status Invest'!A:AA,27,0)</f>
        <v/>
      </c>
      <c r="L553" s="63">
        <f>Table_1[[#This Row],[PREÇO]]*Table_1[[#This Row],[DY]]</f>
        <v/>
      </c>
      <c r="M553" s="62">
        <f>$E$13</f>
        <v/>
      </c>
      <c r="N553" s="62" t="n">
        <v>0.3</v>
      </c>
      <c r="O553" s="62">
        <f>Table_1[[#This Row],[DPA]]/Table_1[[#This Row],[LPA]]</f>
        <v/>
      </c>
      <c r="P553" s="62">
        <f>IF(Table_1[[#This Row],[PAYOUT]]&lt;=40%,"CRESCIMENTO",IF(Table_1[[#This Row],[PAYOUT]]&lt;=60%,"INDEFINIDO","DIVIDENDOS"))</f>
        <v/>
      </c>
      <c r="Q553" s="62">
        <f>VLOOKUP(Table_1[[#This Row],[AÇÕES]],'Dados Status Invest'!A:R,18,0)/100</f>
        <v/>
      </c>
      <c r="R553" s="62">
        <f>VLOOKUP(Table_1[[#This Row],[AÇÕES]],'Dados Status Invest'!A:Y,25,0)/100</f>
        <v/>
      </c>
      <c r="S553" s="62">
        <f>(1-Table_1[[#This Row],[PAYOUT]])*Table_1[[#This Row],[ROE]]</f>
        <v/>
      </c>
      <c r="T553" s="98">
        <f>AVERAGE(Table_1[[#This Row],[CAGR LUCRO 5A]],Table_1[[#This Row],[CRESCIMENTO DAMODARAN]])</f>
        <v/>
      </c>
      <c r="U553" s="64">
        <f>(Table_1[[#This Row],[PREÇO JUSTO BAZIN]]-Table_1[[#This Row],[PREÇO]])/Table_1[[#This Row],[PREÇO JUSTO BAZIN]]</f>
        <v/>
      </c>
      <c r="V553" s="129">
        <f>Table_1[[#This Row],[DPA]]/6%</f>
        <v/>
      </c>
      <c r="W553" s="129">
        <f>Table_1[[#This Row],[PREÇO JUSTO BAZIN]]/(1+Table_1[[#This Row],[MARGEM DE DESCONTO]])</f>
        <v/>
      </c>
      <c r="X553" s="64">
        <f>(Table_1[[#This Row],[PREÇO JUSTO GRAHAM]]-Table_1[[#This Row],[PREÇO]])/Table_1[[#This Row],[PREÇO JUSTO GRAHAM]]</f>
        <v/>
      </c>
      <c r="Y553" s="129">
        <f>(22.5*Table_1[[#This Row],[LPA]]*Table_1[[#This Row],[VPA]])^0.5</f>
        <v/>
      </c>
      <c r="Z553" s="129">
        <f>Table_1[[#This Row],[PREÇO JUSTO GRAHAM]]/(1+Table_1[[#This Row],[MARGEM DE DESCONTO]])</f>
        <v/>
      </c>
      <c r="AA553" s="64">
        <f>(Table_1[[#This Row],[PREÇO JUSTO GORDON]]-Table_1[[#This Row],[PREÇO]])/Table_1[[#This Row],[PREÇO JUSTO GORDON]]</f>
        <v/>
      </c>
      <c r="AB553" s="130">
        <f>Table_1[[#This Row],[DPA]]*(1+Table_1[[#This Row],[MÉDIA DE CRESCIMENTO]])</f>
        <v/>
      </c>
      <c r="AC553" s="130">
        <f>Table_1[[#This Row],[D1]]/(Table_1[[#This Row],[RISCO]]-Table_1[[#This Row],[MÉDIA DE CRESCIMENTO]])</f>
        <v/>
      </c>
      <c r="AD553" s="130">
        <f>Table_1[[#This Row],[PREÇO JUSTO GORDON]]/(1+Table_1[[#This Row],[MARGEM DE DESCONTO]])</f>
        <v/>
      </c>
      <c r="AE553" s="78">
        <f>Table_1[[#This Row],[P/L]]/Table_1[[#This Row],[MÉDIA DE CRESCIMENTO]]</f>
        <v/>
      </c>
    </row>
    <row r="554" ht="15.75" customHeight="1">
      <c r="B554" s="77">
        <f>'Dados Status Invest'!A540</f>
        <v/>
      </c>
      <c r="C554" s="60">
        <f>VLOOKUP(Table_1[[#This Row],[AÇÕES]],'Classificação B3'!A:B,2,0)</f>
        <v/>
      </c>
      <c r="D554" s="60">
        <f>VLOOKUP(Table_1[[#This Row],[AÇÕES]],'Classificação B3'!A:D,4,0)</f>
        <v/>
      </c>
      <c r="E554" s="60">
        <f>VLOOKUP(Table_1[[#This Row],[AÇÕES]],'Classificação B3'!A:F,6,0)</f>
        <v/>
      </c>
      <c r="F554" s="60">
        <f>VLOOKUP(Table_1[[#This Row],[AÇÕES]],'Classificação B3'!A:G,7,0)</f>
        <v/>
      </c>
      <c r="G554" s="61">
        <f>VLOOKUP(Table_1[[#This Row],[AÇÕES]],'Dados Status Invest'!A:B,2,0)</f>
        <v/>
      </c>
      <c r="H554" s="62">
        <f>VLOOKUP(Table_1[[#This Row],[AÇÕES]],'Dados Status Invest'!A:C,3,0)/100</f>
        <v/>
      </c>
      <c r="I554" s="62">
        <f>VLOOKUP(Table_1[[#This Row],[AÇÕES]],'Dados Status Invest'!A:D,4,0)/100</f>
        <v/>
      </c>
      <c r="J554" s="63">
        <f>VLOOKUP(Table_1[[#This Row],[AÇÕES]],'Dados Status Invest'!A:AB,28,0)</f>
        <v/>
      </c>
      <c r="K554" s="63">
        <f>VLOOKUP(Table_1[[#This Row],[AÇÕES]],'Dados Status Invest'!A:AA,27,0)</f>
        <v/>
      </c>
      <c r="L554" s="63">
        <f>Table_1[[#This Row],[PREÇO]]*Table_1[[#This Row],[DY]]</f>
        <v/>
      </c>
      <c r="M554" s="62">
        <f>$E$13</f>
        <v/>
      </c>
      <c r="N554" s="62" t="n">
        <v>0.3</v>
      </c>
      <c r="O554" s="62">
        <f>Table_1[[#This Row],[DPA]]/Table_1[[#This Row],[LPA]]</f>
        <v/>
      </c>
      <c r="P554" s="62">
        <f>IF(Table_1[[#This Row],[PAYOUT]]&lt;=40%,"CRESCIMENTO",IF(Table_1[[#This Row],[PAYOUT]]&lt;=60%,"INDEFINIDO","DIVIDENDOS"))</f>
        <v/>
      </c>
      <c r="Q554" s="62">
        <f>VLOOKUP(Table_1[[#This Row],[AÇÕES]],'Dados Status Invest'!A:R,18,0)/100</f>
        <v/>
      </c>
      <c r="R554" s="62">
        <f>VLOOKUP(Table_1[[#This Row],[AÇÕES]],'Dados Status Invest'!A:Y,25,0)/100</f>
        <v/>
      </c>
      <c r="S554" s="62">
        <f>(1-Table_1[[#This Row],[PAYOUT]])*Table_1[[#This Row],[ROE]]</f>
        <v/>
      </c>
      <c r="T554" s="98">
        <f>AVERAGE(Table_1[[#This Row],[CAGR LUCRO 5A]],Table_1[[#This Row],[CRESCIMENTO DAMODARAN]])</f>
        <v/>
      </c>
      <c r="U554" s="64">
        <f>(Table_1[[#This Row],[PREÇO JUSTO BAZIN]]-Table_1[[#This Row],[PREÇO]])/Table_1[[#This Row],[PREÇO JUSTO BAZIN]]</f>
        <v/>
      </c>
      <c r="V554" s="129">
        <f>Table_1[[#This Row],[DPA]]/6%</f>
        <v/>
      </c>
      <c r="W554" s="129">
        <f>Table_1[[#This Row],[PREÇO JUSTO BAZIN]]/(1+Table_1[[#This Row],[MARGEM DE DESCONTO]])</f>
        <v/>
      </c>
      <c r="X554" s="64">
        <f>(Table_1[[#This Row],[PREÇO JUSTO GRAHAM]]-Table_1[[#This Row],[PREÇO]])/Table_1[[#This Row],[PREÇO JUSTO GRAHAM]]</f>
        <v/>
      </c>
      <c r="Y554" s="129">
        <f>(22.5*Table_1[[#This Row],[LPA]]*Table_1[[#This Row],[VPA]])^0.5</f>
        <v/>
      </c>
      <c r="Z554" s="129">
        <f>Table_1[[#This Row],[PREÇO JUSTO GRAHAM]]/(1+Table_1[[#This Row],[MARGEM DE DESCONTO]])</f>
        <v/>
      </c>
      <c r="AA554" s="64">
        <f>(Table_1[[#This Row],[PREÇO JUSTO GORDON]]-Table_1[[#This Row],[PREÇO]])/Table_1[[#This Row],[PREÇO JUSTO GORDON]]</f>
        <v/>
      </c>
      <c r="AB554" s="130">
        <f>Table_1[[#This Row],[DPA]]*(1+Table_1[[#This Row],[MÉDIA DE CRESCIMENTO]])</f>
        <v/>
      </c>
      <c r="AC554" s="130">
        <f>Table_1[[#This Row],[D1]]/(Table_1[[#This Row],[RISCO]]-Table_1[[#This Row],[MÉDIA DE CRESCIMENTO]])</f>
        <v/>
      </c>
      <c r="AD554" s="130">
        <f>Table_1[[#This Row],[PREÇO JUSTO GORDON]]/(1+Table_1[[#This Row],[MARGEM DE DESCONTO]])</f>
        <v/>
      </c>
      <c r="AE554" s="78">
        <f>Table_1[[#This Row],[P/L]]/Table_1[[#This Row],[MÉDIA DE CRESCIMENTO]]</f>
        <v/>
      </c>
    </row>
    <row r="555" ht="15.75" customHeight="1">
      <c r="B555" s="77">
        <f>'Dados Status Invest'!A541</f>
        <v/>
      </c>
      <c r="C555" s="60">
        <f>VLOOKUP(Table_1[[#This Row],[AÇÕES]],'Classificação B3'!A:B,2,0)</f>
        <v/>
      </c>
      <c r="D555" s="60">
        <f>VLOOKUP(Table_1[[#This Row],[AÇÕES]],'Classificação B3'!A:D,4,0)</f>
        <v/>
      </c>
      <c r="E555" s="60">
        <f>VLOOKUP(Table_1[[#This Row],[AÇÕES]],'Classificação B3'!A:F,6,0)</f>
        <v/>
      </c>
      <c r="F555" s="60">
        <f>VLOOKUP(Table_1[[#This Row],[AÇÕES]],'Classificação B3'!A:G,7,0)</f>
        <v/>
      </c>
      <c r="G555" s="61">
        <f>VLOOKUP(Table_1[[#This Row],[AÇÕES]],'Dados Status Invest'!A:B,2,0)</f>
        <v/>
      </c>
      <c r="H555" s="62">
        <f>VLOOKUP(Table_1[[#This Row],[AÇÕES]],'Dados Status Invest'!A:C,3,0)/100</f>
        <v/>
      </c>
      <c r="I555" s="62">
        <f>VLOOKUP(Table_1[[#This Row],[AÇÕES]],'Dados Status Invest'!A:D,4,0)/100</f>
        <v/>
      </c>
      <c r="J555" s="63">
        <f>VLOOKUP(Table_1[[#This Row],[AÇÕES]],'Dados Status Invest'!A:AB,28,0)</f>
        <v/>
      </c>
      <c r="K555" s="63">
        <f>VLOOKUP(Table_1[[#This Row],[AÇÕES]],'Dados Status Invest'!A:AA,27,0)</f>
        <v/>
      </c>
      <c r="L555" s="63">
        <f>Table_1[[#This Row],[PREÇO]]*Table_1[[#This Row],[DY]]</f>
        <v/>
      </c>
      <c r="M555" s="62">
        <f>$E$13</f>
        <v/>
      </c>
      <c r="N555" s="62" t="n">
        <v>0.3</v>
      </c>
      <c r="O555" s="62">
        <f>Table_1[[#This Row],[DPA]]/Table_1[[#This Row],[LPA]]</f>
        <v/>
      </c>
      <c r="P555" s="62">
        <f>IF(Table_1[[#This Row],[PAYOUT]]&lt;=40%,"CRESCIMENTO",IF(Table_1[[#This Row],[PAYOUT]]&lt;=60%,"INDEFINIDO","DIVIDENDOS"))</f>
        <v/>
      </c>
      <c r="Q555" s="62">
        <f>VLOOKUP(Table_1[[#This Row],[AÇÕES]],'Dados Status Invest'!A:R,18,0)/100</f>
        <v/>
      </c>
      <c r="R555" s="62">
        <f>VLOOKUP(Table_1[[#This Row],[AÇÕES]],'Dados Status Invest'!A:Y,25,0)/100</f>
        <v/>
      </c>
      <c r="S555" s="62">
        <f>(1-Table_1[[#This Row],[PAYOUT]])*Table_1[[#This Row],[ROE]]</f>
        <v/>
      </c>
      <c r="T555" s="98">
        <f>AVERAGE(Table_1[[#This Row],[CAGR LUCRO 5A]],Table_1[[#This Row],[CRESCIMENTO DAMODARAN]])</f>
        <v/>
      </c>
      <c r="U555" s="64">
        <f>(Table_1[[#This Row],[PREÇO JUSTO BAZIN]]-Table_1[[#This Row],[PREÇO]])/Table_1[[#This Row],[PREÇO JUSTO BAZIN]]</f>
        <v/>
      </c>
      <c r="V555" s="129">
        <f>Table_1[[#This Row],[DPA]]/6%</f>
        <v/>
      </c>
      <c r="W555" s="129">
        <f>Table_1[[#This Row],[PREÇO JUSTO BAZIN]]/(1+Table_1[[#This Row],[MARGEM DE DESCONTO]])</f>
        <v/>
      </c>
      <c r="X555" s="64">
        <f>(Table_1[[#This Row],[PREÇO JUSTO GRAHAM]]-Table_1[[#This Row],[PREÇO]])/Table_1[[#This Row],[PREÇO JUSTO GRAHAM]]</f>
        <v/>
      </c>
      <c r="Y555" s="129">
        <f>(22.5*Table_1[[#This Row],[LPA]]*Table_1[[#This Row],[VPA]])^0.5</f>
        <v/>
      </c>
      <c r="Z555" s="129">
        <f>Table_1[[#This Row],[PREÇO JUSTO GRAHAM]]/(1+Table_1[[#This Row],[MARGEM DE DESCONTO]])</f>
        <v/>
      </c>
      <c r="AA555" s="64">
        <f>(Table_1[[#This Row],[PREÇO JUSTO GORDON]]-Table_1[[#This Row],[PREÇO]])/Table_1[[#This Row],[PREÇO JUSTO GORDON]]</f>
        <v/>
      </c>
      <c r="AB555" s="130">
        <f>Table_1[[#This Row],[DPA]]*(1+Table_1[[#This Row],[MÉDIA DE CRESCIMENTO]])</f>
        <v/>
      </c>
      <c r="AC555" s="130">
        <f>Table_1[[#This Row],[D1]]/(Table_1[[#This Row],[RISCO]]-Table_1[[#This Row],[MÉDIA DE CRESCIMENTO]])</f>
        <v/>
      </c>
      <c r="AD555" s="130">
        <f>Table_1[[#This Row],[PREÇO JUSTO GORDON]]/(1+Table_1[[#This Row],[MARGEM DE DESCONTO]])</f>
        <v/>
      </c>
      <c r="AE555" s="78">
        <f>Table_1[[#This Row],[P/L]]/Table_1[[#This Row],[MÉDIA DE CRESCIMENTO]]</f>
        <v/>
      </c>
    </row>
    <row r="556" ht="15.75" customHeight="1">
      <c r="B556" s="77">
        <f>'Dados Status Invest'!A542</f>
        <v/>
      </c>
      <c r="C556" s="60">
        <f>VLOOKUP(Table_1[[#This Row],[AÇÕES]],'Classificação B3'!A:B,2,0)</f>
        <v/>
      </c>
      <c r="D556" s="60">
        <f>VLOOKUP(Table_1[[#This Row],[AÇÕES]],'Classificação B3'!A:D,4,0)</f>
        <v/>
      </c>
      <c r="E556" s="60">
        <f>VLOOKUP(Table_1[[#This Row],[AÇÕES]],'Classificação B3'!A:F,6,0)</f>
        <v/>
      </c>
      <c r="F556" s="60">
        <f>VLOOKUP(Table_1[[#This Row],[AÇÕES]],'Classificação B3'!A:G,7,0)</f>
        <v/>
      </c>
      <c r="G556" s="61">
        <f>VLOOKUP(Table_1[[#This Row],[AÇÕES]],'Dados Status Invest'!A:B,2,0)</f>
        <v/>
      </c>
      <c r="H556" s="62">
        <f>VLOOKUP(Table_1[[#This Row],[AÇÕES]],'Dados Status Invest'!A:C,3,0)/100</f>
        <v/>
      </c>
      <c r="I556" s="62">
        <f>VLOOKUP(Table_1[[#This Row],[AÇÕES]],'Dados Status Invest'!A:D,4,0)/100</f>
        <v/>
      </c>
      <c r="J556" s="63">
        <f>VLOOKUP(Table_1[[#This Row],[AÇÕES]],'Dados Status Invest'!A:AB,28,0)</f>
        <v/>
      </c>
      <c r="K556" s="63">
        <f>VLOOKUP(Table_1[[#This Row],[AÇÕES]],'Dados Status Invest'!A:AA,27,0)</f>
        <v/>
      </c>
      <c r="L556" s="63">
        <f>Table_1[[#This Row],[PREÇO]]*Table_1[[#This Row],[DY]]</f>
        <v/>
      </c>
      <c r="M556" s="62">
        <f>$E$13</f>
        <v/>
      </c>
      <c r="N556" s="62" t="n">
        <v>0.3</v>
      </c>
      <c r="O556" s="62">
        <f>Table_1[[#This Row],[DPA]]/Table_1[[#This Row],[LPA]]</f>
        <v/>
      </c>
      <c r="P556" s="62">
        <f>IF(Table_1[[#This Row],[PAYOUT]]&lt;=40%,"CRESCIMENTO",IF(Table_1[[#This Row],[PAYOUT]]&lt;=60%,"INDEFINIDO","DIVIDENDOS"))</f>
        <v/>
      </c>
      <c r="Q556" s="62">
        <f>VLOOKUP(Table_1[[#This Row],[AÇÕES]],'Dados Status Invest'!A:R,18,0)/100</f>
        <v/>
      </c>
      <c r="R556" s="62">
        <f>VLOOKUP(Table_1[[#This Row],[AÇÕES]],'Dados Status Invest'!A:Y,25,0)/100</f>
        <v/>
      </c>
      <c r="S556" s="62">
        <f>(1-Table_1[[#This Row],[PAYOUT]])*Table_1[[#This Row],[ROE]]</f>
        <v/>
      </c>
      <c r="T556" s="98">
        <f>AVERAGE(Table_1[[#This Row],[CAGR LUCRO 5A]],Table_1[[#This Row],[CRESCIMENTO DAMODARAN]])</f>
        <v/>
      </c>
      <c r="U556" s="64">
        <f>(Table_1[[#This Row],[PREÇO JUSTO BAZIN]]-Table_1[[#This Row],[PREÇO]])/Table_1[[#This Row],[PREÇO JUSTO BAZIN]]</f>
        <v/>
      </c>
      <c r="V556" s="129">
        <f>Table_1[[#This Row],[DPA]]/6%</f>
        <v/>
      </c>
      <c r="W556" s="129">
        <f>Table_1[[#This Row],[PREÇO JUSTO BAZIN]]/(1+Table_1[[#This Row],[MARGEM DE DESCONTO]])</f>
        <v/>
      </c>
      <c r="X556" s="64">
        <f>(Table_1[[#This Row],[PREÇO JUSTO GRAHAM]]-Table_1[[#This Row],[PREÇO]])/Table_1[[#This Row],[PREÇO JUSTO GRAHAM]]</f>
        <v/>
      </c>
      <c r="Y556" s="129">
        <f>(22.5*Table_1[[#This Row],[LPA]]*Table_1[[#This Row],[VPA]])^0.5</f>
        <v/>
      </c>
      <c r="Z556" s="129">
        <f>Table_1[[#This Row],[PREÇO JUSTO GRAHAM]]/(1+Table_1[[#This Row],[MARGEM DE DESCONTO]])</f>
        <v/>
      </c>
      <c r="AA556" s="64">
        <f>(Table_1[[#This Row],[PREÇO JUSTO GORDON]]-Table_1[[#This Row],[PREÇO]])/Table_1[[#This Row],[PREÇO JUSTO GORDON]]</f>
        <v/>
      </c>
      <c r="AB556" s="130">
        <f>Table_1[[#This Row],[DPA]]*(1+Table_1[[#This Row],[MÉDIA DE CRESCIMENTO]])</f>
        <v/>
      </c>
      <c r="AC556" s="130">
        <f>Table_1[[#This Row],[D1]]/(Table_1[[#This Row],[RISCO]]-Table_1[[#This Row],[MÉDIA DE CRESCIMENTO]])</f>
        <v/>
      </c>
      <c r="AD556" s="130">
        <f>Table_1[[#This Row],[PREÇO JUSTO GORDON]]/(1+Table_1[[#This Row],[MARGEM DE DESCONTO]])</f>
        <v/>
      </c>
      <c r="AE556" s="78">
        <f>Table_1[[#This Row],[P/L]]/Table_1[[#This Row],[MÉDIA DE CRESCIMENTO]]</f>
        <v/>
      </c>
    </row>
    <row r="557" ht="15.75" customHeight="1">
      <c r="B557" s="77">
        <f>'Dados Status Invest'!A543</f>
        <v/>
      </c>
      <c r="C557" s="60">
        <f>VLOOKUP(Table_1[[#This Row],[AÇÕES]],'Classificação B3'!A:B,2,0)</f>
        <v/>
      </c>
      <c r="D557" s="60">
        <f>VLOOKUP(Table_1[[#This Row],[AÇÕES]],'Classificação B3'!A:D,4,0)</f>
        <v/>
      </c>
      <c r="E557" s="60">
        <f>VLOOKUP(Table_1[[#This Row],[AÇÕES]],'Classificação B3'!A:F,6,0)</f>
        <v/>
      </c>
      <c r="F557" s="60">
        <f>VLOOKUP(Table_1[[#This Row],[AÇÕES]],'Classificação B3'!A:G,7,0)</f>
        <v/>
      </c>
      <c r="G557" s="61">
        <f>VLOOKUP(Table_1[[#This Row],[AÇÕES]],'Dados Status Invest'!A:B,2,0)</f>
        <v/>
      </c>
      <c r="H557" s="62">
        <f>VLOOKUP(Table_1[[#This Row],[AÇÕES]],'Dados Status Invest'!A:C,3,0)/100</f>
        <v/>
      </c>
      <c r="I557" s="62">
        <f>VLOOKUP(Table_1[[#This Row],[AÇÕES]],'Dados Status Invest'!A:D,4,0)/100</f>
        <v/>
      </c>
      <c r="J557" s="63">
        <f>VLOOKUP(Table_1[[#This Row],[AÇÕES]],'Dados Status Invest'!A:AB,28,0)</f>
        <v/>
      </c>
      <c r="K557" s="63">
        <f>VLOOKUP(Table_1[[#This Row],[AÇÕES]],'Dados Status Invest'!A:AA,27,0)</f>
        <v/>
      </c>
      <c r="L557" s="63">
        <f>Table_1[[#This Row],[PREÇO]]*Table_1[[#This Row],[DY]]</f>
        <v/>
      </c>
      <c r="M557" s="62">
        <f>$E$13</f>
        <v/>
      </c>
      <c r="N557" s="62" t="n">
        <v>0.3</v>
      </c>
      <c r="O557" s="62">
        <f>Table_1[[#This Row],[DPA]]/Table_1[[#This Row],[LPA]]</f>
        <v/>
      </c>
      <c r="P557" s="62">
        <f>IF(Table_1[[#This Row],[PAYOUT]]&lt;=40%,"CRESCIMENTO",IF(Table_1[[#This Row],[PAYOUT]]&lt;=60%,"INDEFINIDO","DIVIDENDOS"))</f>
        <v/>
      </c>
      <c r="Q557" s="62">
        <f>VLOOKUP(Table_1[[#This Row],[AÇÕES]],'Dados Status Invest'!A:R,18,0)/100</f>
        <v/>
      </c>
      <c r="R557" s="62">
        <f>VLOOKUP(Table_1[[#This Row],[AÇÕES]],'Dados Status Invest'!A:Y,25,0)/100</f>
        <v/>
      </c>
      <c r="S557" s="62">
        <f>(1-Table_1[[#This Row],[PAYOUT]])*Table_1[[#This Row],[ROE]]</f>
        <v/>
      </c>
      <c r="T557" s="98">
        <f>AVERAGE(Table_1[[#This Row],[CAGR LUCRO 5A]],Table_1[[#This Row],[CRESCIMENTO DAMODARAN]])</f>
        <v/>
      </c>
      <c r="U557" s="64">
        <f>(Table_1[[#This Row],[PREÇO JUSTO BAZIN]]-Table_1[[#This Row],[PREÇO]])/Table_1[[#This Row],[PREÇO JUSTO BAZIN]]</f>
        <v/>
      </c>
      <c r="V557" s="129">
        <f>Table_1[[#This Row],[DPA]]/6%</f>
        <v/>
      </c>
      <c r="W557" s="129">
        <f>Table_1[[#This Row],[PREÇO JUSTO BAZIN]]/(1+Table_1[[#This Row],[MARGEM DE DESCONTO]])</f>
        <v/>
      </c>
      <c r="X557" s="64">
        <f>(Table_1[[#This Row],[PREÇO JUSTO GRAHAM]]-Table_1[[#This Row],[PREÇO]])/Table_1[[#This Row],[PREÇO JUSTO GRAHAM]]</f>
        <v/>
      </c>
      <c r="Y557" s="129">
        <f>(22.5*Table_1[[#This Row],[LPA]]*Table_1[[#This Row],[VPA]])^0.5</f>
        <v/>
      </c>
      <c r="Z557" s="129">
        <f>Table_1[[#This Row],[PREÇO JUSTO GRAHAM]]/(1+Table_1[[#This Row],[MARGEM DE DESCONTO]])</f>
        <v/>
      </c>
      <c r="AA557" s="64">
        <f>(Table_1[[#This Row],[PREÇO JUSTO GORDON]]-Table_1[[#This Row],[PREÇO]])/Table_1[[#This Row],[PREÇO JUSTO GORDON]]</f>
        <v/>
      </c>
      <c r="AB557" s="130">
        <f>Table_1[[#This Row],[DPA]]*(1+Table_1[[#This Row],[MÉDIA DE CRESCIMENTO]])</f>
        <v/>
      </c>
      <c r="AC557" s="130">
        <f>Table_1[[#This Row],[D1]]/(Table_1[[#This Row],[RISCO]]-Table_1[[#This Row],[MÉDIA DE CRESCIMENTO]])</f>
        <v/>
      </c>
      <c r="AD557" s="130">
        <f>Table_1[[#This Row],[PREÇO JUSTO GORDON]]/(1+Table_1[[#This Row],[MARGEM DE DESCONTO]])</f>
        <v/>
      </c>
      <c r="AE557" s="78">
        <f>Table_1[[#This Row],[P/L]]/Table_1[[#This Row],[MÉDIA DE CRESCIMENTO]]</f>
        <v/>
      </c>
    </row>
    <row r="558" ht="15.75" customHeight="1">
      <c r="B558" s="77">
        <f>'Dados Status Invest'!A544</f>
        <v/>
      </c>
      <c r="C558" s="60">
        <f>VLOOKUP(Table_1[[#This Row],[AÇÕES]],'Classificação B3'!A:B,2,0)</f>
        <v/>
      </c>
      <c r="D558" s="60">
        <f>VLOOKUP(Table_1[[#This Row],[AÇÕES]],'Classificação B3'!A:D,4,0)</f>
        <v/>
      </c>
      <c r="E558" s="60">
        <f>VLOOKUP(Table_1[[#This Row],[AÇÕES]],'Classificação B3'!A:F,6,0)</f>
        <v/>
      </c>
      <c r="F558" s="60">
        <f>VLOOKUP(Table_1[[#This Row],[AÇÕES]],'Classificação B3'!A:G,7,0)</f>
        <v/>
      </c>
      <c r="G558" s="61">
        <f>VLOOKUP(Table_1[[#This Row],[AÇÕES]],'Dados Status Invest'!A:B,2,0)</f>
        <v/>
      </c>
      <c r="H558" s="62">
        <f>VLOOKUP(Table_1[[#This Row],[AÇÕES]],'Dados Status Invest'!A:C,3,0)/100</f>
        <v/>
      </c>
      <c r="I558" s="62">
        <f>VLOOKUP(Table_1[[#This Row],[AÇÕES]],'Dados Status Invest'!A:D,4,0)/100</f>
        <v/>
      </c>
      <c r="J558" s="63">
        <f>VLOOKUP(Table_1[[#This Row],[AÇÕES]],'Dados Status Invest'!A:AB,28,0)</f>
        <v/>
      </c>
      <c r="K558" s="63">
        <f>VLOOKUP(Table_1[[#This Row],[AÇÕES]],'Dados Status Invest'!A:AA,27,0)</f>
        <v/>
      </c>
      <c r="L558" s="63">
        <f>Table_1[[#This Row],[PREÇO]]*Table_1[[#This Row],[DY]]</f>
        <v/>
      </c>
      <c r="M558" s="62">
        <f>$E$13</f>
        <v/>
      </c>
      <c r="N558" s="62" t="n">
        <v>0.3</v>
      </c>
      <c r="O558" s="62">
        <f>Table_1[[#This Row],[DPA]]/Table_1[[#This Row],[LPA]]</f>
        <v/>
      </c>
      <c r="P558" s="62">
        <f>IF(Table_1[[#This Row],[PAYOUT]]&lt;=40%,"CRESCIMENTO",IF(Table_1[[#This Row],[PAYOUT]]&lt;=60%,"INDEFINIDO","DIVIDENDOS"))</f>
        <v/>
      </c>
      <c r="Q558" s="62">
        <f>VLOOKUP(Table_1[[#This Row],[AÇÕES]],'Dados Status Invest'!A:R,18,0)/100</f>
        <v/>
      </c>
      <c r="R558" s="62">
        <f>VLOOKUP(Table_1[[#This Row],[AÇÕES]],'Dados Status Invest'!A:Y,25,0)/100</f>
        <v/>
      </c>
      <c r="S558" s="62">
        <f>(1-Table_1[[#This Row],[PAYOUT]])*Table_1[[#This Row],[ROE]]</f>
        <v/>
      </c>
      <c r="T558" s="98">
        <f>AVERAGE(Table_1[[#This Row],[CAGR LUCRO 5A]],Table_1[[#This Row],[CRESCIMENTO DAMODARAN]])</f>
        <v/>
      </c>
      <c r="U558" s="64">
        <f>(Table_1[[#This Row],[PREÇO JUSTO BAZIN]]-Table_1[[#This Row],[PREÇO]])/Table_1[[#This Row],[PREÇO JUSTO BAZIN]]</f>
        <v/>
      </c>
      <c r="V558" s="129">
        <f>Table_1[[#This Row],[DPA]]/6%</f>
        <v/>
      </c>
      <c r="W558" s="129">
        <f>Table_1[[#This Row],[PREÇO JUSTO BAZIN]]/(1+Table_1[[#This Row],[MARGEM DE DESCONTO]])</f>
        <v/>
      </c>
      <c r="X558" s="64">
        <f>(Table_1[[#This Row],[PREÇO JUSTO GRAHAM]]-Table_1[[#This Row],[PREÇO]])/Table_1[[#This Row],[PREÇO JUSTO GRAHAM]]</f>
        <v/>
      </c>
      <c r="Y558" s="129">
        <f>(22.5*Table_1[[#This Row],[LPA]]*Table_1[[#This Row],[VPA]])^0.5</f>
        <v/>
      </c>
      <c r="Z558" s="129">
        <f>Table_1[[#This Row],[PREÇO JUSTO GRAHAM]]/(1+Table_1[[#This Row],[MARGEM DE DESCONTO]])</f>
        <v/>
      </c>
      <c r="AA558" s="64">
        <f>(Table_1[[#This Row],[PREÇO JUSTO GORDON]]-Table_1[[#This Row],[PREÇO]])/Table_1[[#This Row],[PREÇO JUSTO GORDON]]</f>
        <v/>
      </c>
      <c r="AB558" s="130">
        <f>Table_1[[#This Row],[DPA]]*(1+Table_1[[#This Row],[MÉDIA DE CRESCIMENTO]])</f>
        <v/>
      </c>
      <c r="AC558" s="130">
        <f>Table_1[[#This Row],[D1]]/(Table_1[[#This Row],[RISCO]]-Table_1[[#This Row],[MÉDIA DE CRESCIMENTO]])</f>
        <v/>
      </c>
      <c r="AD558" s="130">
        <f>Table_1[[#This Row],[PREÇO JUSTO GORDON]]/(1+Table_1[[#This Row],[MARGEM DE DESCONTO]])</f>
        <v/>
      </c>
      <c r="AE558" s="78">
        <f>Table_1[[#This Row],[P/L]]/Table_1[[#This Row],[MÉDIA DE CRESCIMENTO]]</f>
        <v/>
      </c>
    </row>
    <row r="559" ht="15.75" customHeight="1">
      <c r="B559" s="77">
        <f>'Dados Status Invest'!A545</f>
        <v/>
      </c>
      <c r="C559" s="60">
        <f>VLOOKUP(Table_1[[#This Row],[AÇÕES]],'Classificação B3'!A:B,2,0)</f>
        <v/>
      </c>
      <c r="D559" s="60">
        <f>VLOOKUP(Table_1[[#This Row],[AÇÕES]],'Classificação B3'!A:D,4,0)</f>
        <v/>
      </c>
      <c r="E559" s="60">
        <f>VLOOKUP(Table_1[[#This Row],[AÇÕES]],'Classificação B3'!A:F,6,0)</f>
        <v/>
      </c>
      <c r="F559" s="60">
        <f>VLOOKUP(Table_1[[#This Row],[AÇÕES]],'Classificação B3'!A:G,7,0)</f>
        <v/>
      </c>
      <c r="G559" s="61">
        <f>VLOOKUP(Table_1[[#This Row],[AÇÕES]],'Dados Status Invest'!A:B,2,0)</f>
        <v/>
      </c>
      <c r="H559" s="62">
        <f>VLOOKUP(Table_1[[#This Row],[AÇÕES]],'Dados Status Invest'!A:C,3,0)/100</f>
        <v/>
      </c>
      <c r="I559" s="62">
        <f>VLOOKUP(Table_1[[#This Row],[AÇÕES]],'Dados Status Invest'!A:D,4,0)/100</f>
        <v/>
      </c>
      <c r="J559" s="63">
        <f>VLOOKUP(Table_1[[#This Row],[AÇÕES]],'Dados Status Invest'!A:AB,28,0)</f>
        <v/>
      </c>
      <c r="K559" s="63">
        <f>VLOOKUP(Table_1[[#This Row],[AÇÕES]],'Dados Status Invest'!A:AA,27,0)</f>
        <v/>
      </c>
      <c r="L559" s="63">
        <f>Table_1[[#This Row],[PREÇO]]*Table_1[[#This Row],[DY]]</f>
        <v/>
      </c>
      <c r="M559" s="62">
        <f>$E$13</f>
        <v/>
      </c>
      <c r="N559" s="62" t="n">
        <v>0.3</v>
      </c>
      <c r="O559" s="62">
        <f>Table_1[[#This Row],[DPA]]/Table_1[[#This Row],[LPA]]</f>
        <v/>
      </c>
      <c r="P559" s="62">
        <f>IF(Table_1[[#This Row],[PAYOUT]]&lt;=40%,"CRESCIMENTO",IF(Table_1[[#This Row],[PAYOUT]]&lt;=60%,"INDEFINIDO","DIVIDENDOS"))</f>
        <v/>
      </c>
      <c r="Q559" s="62">
        <f>VLOOKUP(Table_1[[#This Row],[AÇÕES]],'Dados Status Invest'!A:R,18,0)/100</f>
        <v/>
      </c>
      <c r="R559" s="62">
        <f>VLOOKUP(Table_1[[#This Row],[AÇÕES]],'Dados Status Invest'!A:Y,25,0)/100</f>
        <v/>
      </c>
      <c r="S559" s="62">
        <f>(1-Table_1[[#This Row],[PAYOUT]])*Table_1[[#This Row],[ROE]]</f>
        <v/>
      </c>
      <c r="T559" s="98">
        <f>AVERAGE(Table_1[[#This Row],[CAGR LUCRO 5A]],Table_1[[#This Row],[CRESCIMENTO DAMODARAN]])</f>
        <v/>
      </c>
      <c r="U559" s="64">
        <f>(Table_1[[#This Row],[PREÇO JUSTO BAZIN]]-Table_1[[#This Row],[PREÇO]])/Table_1[[#This Row],[PREÇO JUSTO BAZIN]]</f>
        <v/>
      </c>
      <c r="V559" s="129">
        <f>Table_1[[#This Row],[DPA]]/6%</f>
        <v/>
      </c>
      <c r="W559" s="129">
        <f>Table_1[[#This Row],[PREÇO JUSTO BAZIN]]/(1+Table_1[[#This Row],[MARGEM DE DESCONTO]])</f>
        <v/>
      </c>
      <c r="X559" s="64">
        <f>(Table_1[[#This Row],[PREÇO JUSTO GRAHAM]]-Table_1[[#This Row],[PREÇO]])/Table_1[[#This Row],[PREÇO JUSTO GRAHAM]]</f>
        <v/>
      </c>
      <c r="Y559" s="129">
        <f>(22.5*Table_1[[#This Row],[LPA]]*Table_1[[#This Row],[VPA]])^0.5</f>
        <v/>
      </c>
      <c r="Z559" s="129">
        <f>Table_1[[#This Row],[PREÇO JUSTO GRAHAM]]/(1+Table_1[[#This Row],[MARGEM DE DESCONTO]])</f>
        <v/>
      </c>
      <c r="AA559" s="64">
        <f>(Table_1[[#This Row],[PREÇO JUSTO GORDON]]-Table_1[[#This Row],[PREÇO]])/Table_1[[#This Row],[PREÇO JUSTO GORDON]]</f>
        <v/>
      </c>
      <c r="AB559" s="130">
        <f>Table_1[[#This Row],[DPA]]*(1+Table_1[[#This Row],[MÉDIA DE CRESCIMENTO]])</f>
        <v/>
      </c>
      <c r="AC559" s="130">
        <f>Table_1[[#This Row],[D1]]/(Table_1[[#This Row],[RISCO]]-Table_1[[#This Row],[MÉDIA DE CRESCIMENTO]])</f>
        <v/>
      </c>
      <c r="AD559" s="130">
        <f>Table_1[[#This Row],[PREÇO JUSTO GORDON]]/(1+Table_1[[#This Row],[MARGEM DE DESCONTO]])</f>
        <v/>
      </c>
      <c r="AE559" s="78">
        <f>Table_1[[#This Row],[P/L]]/Table_1[[#This Row],[MÉDIA DE CRESCIMENTO]]</f>
        <v/>
      </c>
    </row>
    <row r="560" ht="15.75" customHeight="1">
      <c r="B560" s="77">
        <f>'Dados Status Invest'!A546</f>
        <v/>
      </c>
      <c r="C560" s="60">
        <f>VLOOKUP(Table_1[[#This Row],[AÇÕES]],'Classificação B3'!A:B,2,0)</f>
        <v/>
      </c>
      <c r="D560" s="60">
        <f>VLOOKUP(Table_1[[#This Row],[AÇÕES]],'Classificação B3'!A:D,4,0)</f>
        <v/>
      </c>
      <c r="E560" s="60">
        <f>VLOOKUP(Table_1[[#This Row],[AÇÕES]],'Classificação B3'!A:F,6,0)</f>
        <v/>
      </c>
      <c r="F560" s="60">
        <f>VLOOKUP(Table_1[[#This Row],[AÇÕES]],'Classificação B3'!A:G,7,0)</f>
        <v/>
      </c>
      <c r="G560" s="61">
        <f>VLOOKUP(Table_1[[#This Row],[AÇÕES]],'Dados Status Invest'!A:B,2,0)</f>
        <v/>
      </c>
      <c r="H560" s="62">
        <f>VLOOKUP(Table_1[[#This Row],[AÇÕES]],'Dados Status Invest'!A:C,3,0)/100</f>
        <v/>
      </c>
      <c r="I560" s="62">
        <f>VLOOKUP(Table_1[[#This Row],[AÇÕES]],'Dados Status Invest'!A:D,4,0)/100</f>
        <v/>
      </c>
      <c r="J560" s="63">
        <f>VLOOKUP(Table_1[[#This Row],[AÇÕES]],'Dados Status Invest'!A:AB,28,0)</f>
        <v/>
      </c>
      <c r="K560" s="63">
        <f>VLOOKUP(Table_1[[#This Row],[AÇÕES]],'Dados Status Invest'!A:AA,27,0)</f>
        <v/>
      </c>
      <c r="L560" s="63">
        <f>Table_1[[#This Row],[PREÇO]]*Table_1[[#This Row],[DY]]</f>
        <v/>
      </c>
      <c r="M560" s="62">
        <f>$E$13</f>
        <v/>
      </c>
      <c r="N560" s="62" t="n">
        <v>0.3</v>
      </c>
      <c r="O560" s="62">
        <f>Table_1[[#This Row],[DPA]]/Table_1[[#This Row],[LPA]]</f>
        <v/>
      </c>
      <c r="P560" s="62">
        <f>IF(Table_1[[#This Row],[PAYOUT]]&lt;=40%,"CRESCIMENTO",IF(Table_1[[#This Row],[PAYOUT]]&lt;=60%,"INDEFINIDO","DIVIDENDOS"))</f>
        <v/>
      </c>
      <c r="Q560" s="62">
        <f>VLOOKUP(Table_1[[#This Row],[AÇÕES]],'Dados Status Invest'!A:R,18,0)/100</f>
        <v/>
      </c>
      <c r="R560" s="62">
        <f>VLOOKUP(Table_1[[#This Row],[AÇÕES]],'Dados Status Invest'!A:Y,25,0)/100</f>
        <v/>
      </c>
      <c r="S560" s="62">
        <f>(1-Table_1[[#This Row],[PAYOUT]])*Table_1[[#This Row],[ROE]]</f>
        <v/>
      </c>
      <c r="T560" s="98">
        <f>AVERAGE(Table_1[[#This Row],[CAGR LUCRO 5A]],Table_1[[#This Row],[CRESCIMENTO DAMODARAN]])</f>
        <v/>
      </c>
      <c r="U560" s="64">
        <f>(Table_1[[#This Row],[PREÇO JUSTO BAZIN]]-Table_1[[#This Row],[PREÇO]])/Table_1[[#This Row],[PREÇO JUSTO BAZIN]]</f>
        <v/>
      </c>
      <c r="V560" s="129">
        <f>Table_1[[#This Row],[DPA]]/6%</f>
        <v/>
      </c>
      <c r="W560" s="129">
        <f>Table_1[[#This Row],[PREÇO JUSTO BAZIN]]/(1+Table_1[[#This Row],[MARGEM DE DESCONTO]])</f>
        <v/>
      </c>
      <c r="X560" s="64">
        <f>(Table_1[[#This Row],[PREÇO JUSTO GRAHAM]]-Table_1[[#This Row],[PREÇO]])/Table_1[[#This Row],[PREÇO JUSTO GRAHAM]]</f>
        <v/>
      </c>
      <c r="Y560" s="129">
        <f>(22.5*Table_1[[#This Row],[LPA]]*Table_1[[#This Row],[VPA]])^0.5</f>
        <v/>
      </c>
      <c r="Z560" s="129">
        <f>Table_1[[#This Row],[PREÇO JUSTO GRAHAM]]/(1+Table_1[[#This Row],[MARGEM DE DESCONTO]])</f>
        <v/>
      </c>
      <c r="AA560" s="64">
        <f>(Table_1[[#This Row],[PREÇO JUSTO GORDON]]-Table_1[[#This Row],[PREÇO]])/Table_1[[#This Row],[PREÇO JUSTO GORDON]]</f>
        <v/>
      </c>
      <c r="AB560" s="130">
        <f>Table_1[[#This Row],[DPA]]*(1+Table_1[[#This Row],[MÉDIA DE CRESCIMENTO]])</f>
        <v/>
      </c>
      <c r="AC560" s="130">
        <f>Table_1[[#This Row],[D1]]/(Table_1[[#This Row],[RISCO]]-Table_1[[#This Row],[MÉDIA DE CRESCIMENTO]])</f>
        <v/>
      </c>
      <c r="AD560" s="130">
        <f>Table_1[[#This Row],[PREÇO JUSTO GORDON]]/(1+Table_1[[#This Row],[MARGEM DE DESCONTO]])</f>
        <v/>
      </c>
      <c r="AE560" s="78">
        <f>Table_1[[#This Row],[P/L]]/Table_1[[#This Row],[MÉDIA DE CRESCIMENTO]]</f>
        <v/>
      </c>
    </row>
    <row r="561" ht="15.75" customHeight="1">
      <c r="B561" s="77">
        <f>'Dados Status Invest'!A547</f>
        <v/>
      </c>
      <c r="C561" s="60">
        <f>VLOOKUP(Table_1[[#This Row],[AÇÕES]],'Classificação B3'!A:B,2,0)</f>
        <v/>
      </c>
      <c r="D561" s="60">
        <f>VLOOKUP(Table_1[[#This Row],[AÇÕES]],'Classificação B3'!A:D,4,0)</f>
        <v/>
      </c>
      <c r="E561" s="60">
        <f>VLOOKUP(Table_1[[#This Row],[AÇÕES]],'Classificação B3'!A:F,6,0)</f>
        <v/>
      </c>
      <c r="F561" s="60">
        <f>VLOOKUP(Table_1[[#This Row],[AÇÕES]],'Classificação B3'!A:G,7,0)</f>
        <v/>
      </c>
      <c r="G561" s="61">
        <f>VLOOKUP(Table_1[[#This Row],[AÇÕES]],'Dados Status Invest'!A:B,2,0)</f>
        <v/>
      </c>
      <c r="H561" s="62">
        <f>VLOOKUP(Table_1[[#This Row],[AÇÕES]],'Dados Status Invest'!A:C,3,0)/100</f>
        <v/>
      </c>
      <c r="I561" s="62">
        <f>VLOOKUP(Table_1[[#This Row],[AÇÕES]],'Dados Status Invest'!A:D,4,0)/100</f>
        <v/>
      </c>
      <c r="J561" s="63">
        <f>VLOOKUP(Table_1[[#This Row],[AÇÕES]],'Dados Status Invest'!A:AB,28,0)</f>
        <v/>
      </c>
      <c r="K561" s="63">
        <f>VLOOKUP(Table_1[[#This Row],[AÇÕES]],'Dados Status Invest'!A:AA,27,0)</f>
        <v/>
      </c>
      <c r="L561" s="63">
        <f>Table_1[[#This Row],[PREÇO]]*Table_1[[#This Row],[DY]]</f>
        <v/>
      </c>
      <c r="M561" s="62">
        <f>$E$13</f>
        <v/>
      </c>
      <c r="N561" s="62" t="n">
        <v>0.3</v>
      </c>
      <c r="O561" s="62">
        <f>Table_1[[#This Row],[DPA]]/Table_1[[#This Row],[LPA]]</f>
        <v/>
      </c>
      <c r="P561" s="62">
        <f>IF(Table_1[[#This Row],[PAYOUT]]&lt;=40%,"CRESCIMENTO",IF(Table_1[[#This Row],[PAYOUT]]&lt;=60%,"INDEFINIDO","DIVIDENDOS"))</f>
        <v/>
      </c>
      <c r="Q561" s="62">
        <f>VLOOKUP(Table_1[[#This Row],[AÇÕES]],'Dados Status Invest'!A:R,18,0)/100</f>
        <v/>
      </c>
      <c r="R561" s="62">
        <f>VLOOKUP(Table_1[[#This Row],[AÇÕES]],'Dados Status Invest'!A:Y,25,0)/100</f>
        <v/>
      </c>
      <c r="S561" s="62">
        <f>(1-Table_1[[#This Row],[PAYOUT]])*Table_1[[#This Row],[ROE]]</f>
        <v/>
      </c>
      <c r="T561" s="98">
        <f>AVERAGE(Table_1[[#This Row],[CAGR LUCRO 5A]],Table_1[[#This Row],[CRESCIMENTO DAMODARAN]])</f>
        <v/>
      </c>
      <c r="U561" s="64">
        <f>(Table_1[[#This Row],[PREÇO JUSTO BAZIN]]-Table_1[[#This Row],[PREÇO]])/Table_1[[#This Row],[PREÇO JUSTO BAZIN]]</f>
        <v/>
      </c>
      <c r="V561" s="129">
        <f>Table_1[[#This Row],[DPA]]/6%</f>
        <v/>
      </c>
      <c r="W561" s="129">
        <f>Table_1[[#This Row],[PREÇO JUSTO BAZIN]]/(1+Table_1[[#This Row],[MARGEM DE DESCONTO]])</f>
        <v/>
      </c>
      <c r="X561" s="64">
        <f>(Table_1[[#This Row],[PREÇO JUSTO GRAHAM]]-Table_1[[#This Row],[PREÇO]])/Table_1[[#This Row],[PREÇO JUSTO GRAHAM]]</f>
        <v/>
      </c>
      <c r="Y561" s="129">
        <f>(22.5*Table_1[[#This Row],[LPA]]*Table_1[[#This Row],[VPA]])^0.5</f>
        <v/>
      </c>
      <c r="Z561" s="129">
        <f>Table_1[[#This Row],[PREÇO JUSTO GRAHAM]]/(1+Table_1[[#This Row],[MARGEM DE DESCONTO]])</f>
        <v/>
      </c>
      <c r="AA561" s="64">
        <f>(Table_1[[#This Row],[PREÇO JUSTO GORDON]]-Table_1[[#This Row],[PREÇO]])/Table_1[[#This Row],[PREÇO JUSTO GORDON]]</f>
        <v/>
      </c>
      <c r="AB561" s="130">
        <f>Table_1[[#This Row],[DPA]]*(1+Table_1[[#This Row],[MÉDIA DE CRESCIMENTO]])</f>
        <v/>
      </c>
      <c r="AC561" s="130">
        <f>Table_1[[#This Row],[D1]]/(Table_1[[#This Row],[RISCO]]-Table_1[[#This Row],[MÉDIA DE CRESCIMENTO]])</f>
        <v/>
      </c>
      <c r="AD561" s="130">
        <f>Table_1[[#This Row],[PREÇO JUSTO GORDON]]/(1+Table_1[[#This Row],[MARGEM DE DESCONTO]])</f>
        <v/>
      </c>
      <c r="AE561" s="78">
        <f>Table_1[[#This Row],[P/L]]/Table_1[[#This Row],[MÉDIA DE CRESCIMENTO]]</f>
        <v/>
      </c>
    </row>
    <row r="562" ht="15.75" customHeight="1">
      <c r="B562" s="77">
        <f>'Dados Status Invest'!A548</f>
        <v/>
      </c>
      <c r="C562" s="60">
        <f>VLOOKUP(Table_1[[#This Row],[AÇÕES]],'Classificação B3'!A:B,2,0)</f>
        <v/>
      </c>
      <c r="D562" s="60">
        <f>VLOOKUP(Table_1[[#This Row],[AÇÕES]],'Classificação B3'!A:D,4,0)</f>
        <v/>
      </c>
      <c r="E562" s="60">
        <f>VLOOKUP(Table_1[[#This Row],[AÇÕES]],'Classificação B3'!A:F,6,0)</f>
        <v/>
      </c>
      <c r="F562" s="60">
        <f>VLOOKUP(Table_1[[#This Row],[AÇÕES]],'Classificação B3'!A:G,7,0)</f>
        <v/>
      </c>
      <c r="G562" s="61">
        <f>VLOOKUP(Table_1[[#This Row],[AÇÕES]],'Dados Status Invest'!A:B,2,0)</f>
        <v/>
      </c>
      <c r="H562" s="62">
        <f>VLOOKUP(Table_1[[#This Row],[AÇÕES]],'Dados Status Invest'!A:C,3,0)/100</f>
        <v/>
      </c>
      <c r="I562" s="62">
        <f>VLOOKUP(Table_1[[#This Row],[AÇÕES]],'Dados Status Invest'!A:D,4,0)/100</f>
        <v/>
      </c>
      <c r="J562" s="63">
        <f>VLOOKUP(Table_1[[#This Row],[AÇÕES]],'Dados Status Invest'!A:AB,28,0)</f>
        <v/>
      </c>
      <c r="K562" s="63">
        <f>VLOOKUP(Table_1[[#This Row],[AÇÕES]],'Dados Status Invest'!A:AA,27,0)</f>
        <v/>
      </c>
      <c r="L562" s="63">
        <f>Table_1[[#This Row],[PREÇO]]*Table_1[[#This Row],[DY]]</f>
        <v/>
      </c>
      <c r="M562" s="62">
        <f>$E$13</f>
        <v/>
      </c>
      <c r="N562" s="62" t="n">
        <v>0.3</v>
      </c>
      <c r="O562" s="62">
        <f>Table_1[[#This Row],[DPA]]/Table_1[[#This Row],[LPA]]</f>
        <v/>
      </c>
      <c r="P562" s="62">
        <f>IF(Table_1[[#This Row],[PAYOUT]]&lt;=40%,"CRESCIMENTO",IF(Table_1[[#This Row],[PAYOUT]]&lt;=60%,"INDEFINIDO","DIVIDENDOS"))</f>
        <v/>
      </c>
      <c r="Q562" s="62">
        <f>VLOOKUP(Table_1[[#This Row],[AÇÕES]],'Dados Status Invest'!A:R,18,0)/100</f>
        <v/>
      </c>
      <c r="R562" s="62">
        <f>VLOOKUP(Table_1[[#This Row],[AÇÕES]],'Dados Status Invest'!A:Y,25,0)/100</f>
        <v/>
      </c>
      <c r="S562" s="62">
        <f>(1-Table_1[[#This Row],[PAYOUT]])*Table_1[[#This Row],[ROE]]</f>
        <v/>
      </c>
      <c r="T562" s="98">
        <f>AVERAGE(Table_1[[#This Row],[CAGR LUCRO 5A]],Table_1[[#This Row],[CRESCIMENTO DAMODARAN]])</f>
        <v/>
      </c>
      <c r="U562" s="64">
        <f>(Table_1[[#This Row],[PREÇO JUSTO BAZIN]]-Table_1[[#This Row],[PREÇO]])/Table_1[[#This Row],[PREÇO JUSTO BAZIN]]</f>
        <v/>
      </c>
      <c r="V562" s="129">
        <f>Table_1[[#This Row],[DPA]]/6%</f>
        <v/>
      </c>
      <c r="W562" s="129">
        <f>Table_1[[#This Row],[PREÇO JUSTO BAZIN]]/(1+Table_1[[#This Row],[MARGEM DE DESCONTO]])</f>
        <v/>
      </c>
      <c r="X562" s="64">
        <f>(Table_1[[#This Row],[PREÇO JUSTO GRAHAM]]-Table_1[[#This Row],[PREÇO]])/Table_1[[#This Row],[PREÇO JUSTO GRAHAM]]</f>
        <v/>
      </c>
      <c r="Y562" s="129">
        <f>(22.5*Table_1[[#This Row],[LPA]]*Table_1[[#This Row],[VPA]])^0.5</f>
        <v/>
      </c>
      <c r="Z562" s="129">
        <f>Table_1[[#This Row],[PREÇO JUSTO GRAHAM]]/(1+Table_1[[#This Row],[MARGEM DE DESCONTO]])</f>
        <v/>
      </c>
      <c r="AA562" s="64">
        <f>(Table_1[[#This Row],[PREÇO JUSTO GORDON]]-Table_1[[#This Row],[PREÇO]])/Table_1[[#This Row],[PREÇO JUSTO GORDON]]</f>
        <v/>
      </c>
      <c r="AB562" s="130">
        <f>Table_1[[#This Row],[DPA]]*(1+Table_1[[#This Row],[MÉDIA DE CRESCIMENTO]])</f>
        <v/>
      </c>
      <c r="AC562" s="130">
        <f>Table_1[[#This Row],[D1]]/(Table_1[[#This Row],[RISCO]]-Table_1[[#This Row],[MÉDIA DE CRESCIMENTO]])</f>
        <v/>
      </c>
      <c r="AD562" s="130">
        <f>Table_1[[#This Row],[PREÇO JUSTO GORDON]]/(1+Table_1[[#This Row],[MARGEM DE DESCONTO]])</f>
        <v/>
      </c>
      <c r="AE562" s="78">
        <f>Table_1[[#This Row],[P/L]]/Table_1[[#This Row],[MÉDIA DE CRESCIMENTO]]</f>
        <v/>
      </c>
    </row>
    <row r="563" ht="15.75" customHeight="1">
      <c r="B563" s="77">
        <f>'Dados Status Invest'!A549</f>
        <v/>
      </c>
      <c r="C563" s="60">
        <f>VLOOKUP(Table_1[[#This Row],[AÇÕES]],'Classificação B3'!A:B,2,0)</f>
        <v/>
      </c>
      <c r="D563" s="60">
        <f>VLOOKUP(Table_1[[#This Row],[AÇÕES]],'Classificação B3'!A:D,4,0)</f>
        <v/>
      </c>
      <c r="E563" s="60">
        <f>VLOOKUP(Table_1[[#This Row],[AÇÕES]],'Classificação B3'!A:F,6,0)</f>
        <v/>
      </c>
      <c r="F563" s="60">
        <f>VLOOKUP(Table_1[[#This Row],[AÇÕES]],'Classificação B3'!A:G,7,0)</f>
        <v/>
      </c>
      <c r="G563" s="61">
        <f>VLOOKUP(Table_1[[#This Row],[AÇÕES]],'Dados Status Invest'!A:B,2,0)</f>
        <v/>
      </c>
      <c r="H563" s="62">
        <f>VLOOKUP(Table_1[[#This Row],[AÇÕES]],'Dados Status Invest'!A:C,3,0)/100</f>
        <v/>
      </c>
      <c r="I563" s="62">
        <f>VLOOKUP(Table_1[[#This Row],[AÇÕES]],'Dados Status Invest'!A:D,4,0)/100</f>
        <v/>
      </c>
      <c r="J563" s="63">
        <f>VLOOKUP(Table_1[[#This Row],[AÇÕES]],'Dados Status Invest'!A:AB,28,0)</f>
        <v/>
      </c>
      <c r="K563" s="63">
        <f>VLOOKUP(Table_1[[#This Row],[AÇÕES]],'Dados Status Invest'!A:AA,27,0)</f>
        <v/>
      </c>
      <c r="L563" s="63">
        <f>Table_1[[#This Row],[PREÇO]]*Table_1[[#This Row],[DY]]</f>
        <v/>
      </c>
      <c r="M563" s="62">
        <f>$E$13</f>
        <v/>
      </c>
      <c r="N563" s="62" t="n">
        <v>0.3</v>
      </c>
      <c r="O563" s="62">
        <f>Table_1[[#This Row],[DPA]]/Table_1[[#This Row],[LPA]]</f>
        <v/>
      </c>
      <c r="P563" s="62">
        <f>IF(Table_1[[#This Row],[PAYOUT]]&lt;=40%,"CRESCIMENTO",IF(Table_1[[#This Row],[PAYOUT]]&lt;=60%,"INDEFINIDO","DIVIDENDOS"))</f>
        <v/>
      </c>
      <c r="Q563" s="62">
        <f>VLOOKUP(Table_1[[#This Row],[AÇÕES]],'Dados Status Invest'!A:R,18,0)/100</f>
        <v/>
      </c>
      <c r="R563" s="62">
        <f>VLOOKUP(Table_1[[#This Row],[AÇÕES]],'Dados Status Invest'!A:Y,25,0)/100</f>
        <v/>
      </c>
      <c r="S563" s="62">
        <f>(1-Table_1[[#This Row],[PAYOUT]])*Table_1[[#This Row],[ROE]]</f>
        <v/>
      </c>
      <c r="T563" s="98">
        <f>AVERAGE(Table_1[[#This Row],[CAGR LUCRO 5A]],Table_1[[#This Row],[CRESCIMENTO DAMODARAN]])</f>
        <v/>
      </c>
      <c r="U563" s="64">
        <f>(Table_1[[#This Row],[PREÇO JUSTO BAZIN]]-Table_1[[#This Row],[PREÇO]])/Table_1[[#This Row],[PREÇO JUSTO BAZIN]]</f>
        <v/>
      </c>
      <c r="V563" s="129">
        <f>Table_1[[#This Row],[DPA]]/6%</f>
        <v/>
      </c>
      <c r="W563" s="129">
        <f>Table_1[[#This Row],[PREÇO JUSTO BAZIN]]/(1+Table_1[[#This Row],[MARGEM DE DESCONTO]])</f>
        <v/>
      </c>
      <c r="X563" s="64">
        <f>(Table_1[[#This Row],[PREÇO JUSTO GRAHAM]]-Table_1[[#This Row],[PREÇO]])/Table_1[[#This Row],[PREÇO JUSTO GRAHAM]]</f>
        <v/>
      </c>
      <c r="Y563" s="129">
        <f>(22.5*Table_1[[#This Row],[LPA]]*Table_1[[#This Row],[VPA]])^0.5</f>
        <v/>
      </c>
      <c r="Z563" s="129">
        <f>Table_1[[#This Row],[PREÇO JUSTO GRAHAM]]/(1+Table_1[[#This Row],[MARGEM DE DESCONTO]])</f>
        <v/>
      </c>
      <c r="AA563" s="64">
        <f>(Table_1[[#This Row],[PREÇO JUSTO GORDON]]-Table_1[[#This Row],[PREÇO]])/Table_1[[#This Row],[PREÇO JUSTO GORDON]]</f>
        <v/>
      </c>
      <c r="AB563" s="130">
        <f>Table_1[[#This Row],[DPA]]*(1+Table_1[[#This Row],[MÉDIA DE CRESCIMENTO]])</f>
        <v/>
      </c>
      <c r="AC563" s="130">
        <f>Table_1[[#This Row],[D1]]/(Table_1[[#This Row],[RISCO]]-Table_1[[#This Row],[MÉDIA DE CRESCIMENTO]])</f>
        <v/>
      </c>
      <c r="AD563" s="130">
        <f>Table_1[[#This Row],[PREÇO JUSTO GORDON]]/(1+Table_1[[#This Row],[MARGEM DE DESCONTO]])</f>
        <v/>
      </c>
      <c r="AE563" s="78">
        <f>Table_1[[#This Row],[P/L]]/Table_1[[#This Row],[MÉDIA DE CRESCIMENTO]]</f>
        <v/>
      </c>
    </row>
    <row r="564" ht="15.75" customHeight="1">
      <c r="B564" s="77">
        <f>'Dados Status Invest'!A550</f>
        <v/>
      </c>
      <c r="C564" s="60">
        <f>VLOOKUP(Table_1[[#This Row],[AÇÕES]],'Classificação B3'!A:B,2,0)</f>
        <v/>
      </c>
      <c r="D564" s="60">
        <f>VLOOKUP(Table_1[[#This Row],[AÇÕES]],'Classificação B3'!A:D,4,0)</f>
        <v/>
      </c>
      <c r="E564" s="60">
        <f>VLOOKUP(Table_1[[#This Row],[AÇÕES]],'Classificação B3'!A:F,6,0)</f>
        <v/>
      </c>
      <c r="F564" s="60">
        <f>VLOOKUP(Table_1[[#This Row],[AÇÕES]],'Classificação B3'!A:G,7,0)</f>
        <v/>
      </c>
      <c r="G564" s="61">
        <f>VLOOKUP(Table_1[[#This Row],[AÇÕES]],'Dados Status Invest'!A:B,2,0)</f>
        <v/>
      </c>
      <c r="H564" s="62">
        <f>VLOOKUP(Table_1[[#This Row],[AÇÕES]],'Dados Status Invest'!A:C,3,0)/100</f>
        <v/>
      </c>
      <c r="I564" s="62">
        <f>VLOOKUP(Table_1[[#This Row],[AÇÕES]],'Dados Status Invest'!A:D,4,0)/100</f>
        <v/>
      </c>
      <c r="J564" s="63">
        <f>VLOOKUP(Table_1[[#This Row],[AÇÕES]],'Dados Status Invest'!A:AB,28,0)</f>
        <v/>
      </c>
      <c r="K564" s="63">
        <f>VLOOKUP(Table_1[[#This Row],[AÇÕES]],'Dados Status Invest'!A:AA,27,0)</f>
        <v/>
      </c>
      <c r="L564" s="63">
        <f>Table_1[[#This Row],[PREÇO]]*Table_1[[#This Row],[DY]]</f>
        <v/>
      </c>
      <c r="M564" s="62">
        <f>$E$13</f>
        <v/>
      </c>
      <c r="N564" s="62" t="n">
        <v>0.3</v>
      </c>
      <c r="O564" s="62">
        <f>Table_1[[#This Row],[DPA]]/Table_1[[#This Row],[LPA]]</f>
        <v/>
      </c>
      <c r="P564" s="62">
        <f>IF(Table_1[[#This Row],[PAYOUT]]&lt;=40%,"CRESCIMENTO",IF(Table_1[[#This Row],[PAYOUT]]&lt;=60%,"INDEFINIDO","DIVIDENDOS"))</f>
        <v/>
      </c>
      <c r="Q564" s="62">
        <f>VLOOKUP(Table_1[[#This Row],[AÇÕES]],'Dados Status Invest'!A:R,18,0)/100</f>
        <v/>
      </c>
      <c r="R564" s="62">
        <f>VLOOKUP(Table_1[[#This Row],[AÇÕES]],'Dados Status Invest'!A:Y,25,0)/100</f>
        <v/>
      </c>
      <c r="S564" s="62">
        <f>(1-Table_1[[#This Row],[PAYOUT]])*Table_1[[#This Row],[ROE]]</f>
        <v/>
      </c>
      <c r="T564" s="98">
        <f>AVERAGE(Table_1[[#This Row],[CAGR LUCRO 5A]],Table_1[[#This Row],[CRESCIMENTO DAMODARAN]])</f>
        <v/>
      </c>
      <c r="U564" s="64">
        <f>(Table_1[[#This Row],[PREÇO JUSTO BAZIN]]-Table_1[[#This Row],[PREÇO]])/Table_1[[#This Row],[PREÇO JUSTO BAZIN]]</f>
        <v/>
      </c>
      <c r="V564" s="129">
        <f>Table_1[[#This Row],[DPA]]/6%</f>
        <v/>
      </c>
      <c r="W564" s="129">
        <f>Table_1[[#This Row],[PREÇO JUSTO BAZIN]]/(1+Table_1[[#This Row],[MARGEM DE DESCONTO]])</f>
        <v/>
      </c>
      <c r="X564" s="64">
        <f>(Table_1[[#This Row],[PREÇO JUSTO GRAHAM]]-Table_1[[#This Row],[PREÇO]])/Table_1[[#This Row],[PREÇO JUSTO GRAHAM]]</f>
        <v/>
      </c>
      <c r="Y564" s="129">
        <f>(22.5*Table_1[[#This Row],[LPA]]*Table_1[[#This Row],[VPA]])^0.5</f>
        <v/>
      </c>
      <c r="Z564" s="129">
        <f>Table_1[[#This Row],[PREÇO JUSTO GRAHAM]]/(1+Table_1[[#This Row],[MARGEM DE DESCONTO]])</f>
        <v/>
      </c>
      <c r="AA564" s="64">
        <f>(Table_1[[#This Row],[PREÇO JUSTO GORDON]]-Table_1[[#This Row],[PREÇO]])/Table_1[[#This Row],[PREÇO JUSTO GORDON]]</f>
        <v/>
      </c>
      <c r="AB564" s="130">
        <f>Table_1[[#This Row],[DPA]]*(1+Table_1[[#This Row],[MÉDIA DE CRESCIMENTO]])</f>
        <v/>
      </c>
      <c r="AC564" s="130">
        <f>Table_1[[#This Row],[D1]]/(Table_1[[#This Row],[RISCO]]-Table_1[[#This Row],[MÉDIA DE CRESCIMENTO]])</f>
        <v/>
      </c>
      <c r="AD564" s="130">
        <f>Table_1[[#This Row],[PREÇO JUSTO GORDON]]/(1+Table_1[[#This Row],[MARGEM DE DESCONTO]])</f>
        <v/>
      </c>
      <c r="AE564" s="78">
        <f>Table_1[[#This Row],[P/L]]/Table_1[[#This Row],[MÉDIA DE CRESCIMENTO]]</f>
        <v/>
      </c>
    </row>
    <row r="565" ht="15.75" customHeight="1">
      <c r="B565" s="77">
        <f>'Dados Status Invest'!A551</f>
        <v/>
      </c>
      <c r="C565" s="60">
        <f>VLOOKUP(Table_1[[#This Row],[AÇÕES]],'Classificação B3'!A:B,2,0)</f>
        <v/>
      </c>
      <c r="D565" s="60">
        <f>VLOOKUP(Table_1[[#This Row],[AÇÕES]],'Classificação B3'!A:D,4,0)</f>
        <v/>
      </c>
      <c r="E565" s="60">
        <f>VLOOKUP(Table_1[[#This Row],[AÇÕES]],'Classificação B3'!A:F,6,0)</f>
        <v/>
      </c>
      <c r="F565" s="60">
        <f>VLOOKUP(Table_1[[#This Row],[AÇÕES]],'Classificação B3'!A:G,7,0)</f>
        <v/>
      </c>
      <c r="G565" s="61">
        <f>VLOOKUP(Table_1[[#This Row],[AÇÕES]],'Dados Status Invest'!A:B,2,0)</f>
        <v/>
      </c>
      <c r="H565" s="62">
        <f>VLOOKUP(Table_1[[#This Row],[AÇÕES]],'Dados Status Invest'!A:C,3,0)/100</f>
        <v/>
      </c>
      <c r="I565" s="62">
        <f>VLOOKUP(Table_1[[#This Row],[AÇÕES]],'Dados Status Invest'!A:D,4,0)/100</f>
        <v/>
      </c>
      <c r="J565" s="63">
        <f>VLOOKUP(Table_1[[#This Row],[AÇÕES]],'Dados Status Invest'!A:AB,28,0)</f>
        <v/>
      </c>
      <c r="K565" s="63">
        <f>VLOOKUP(Table_1[[#This Row],[AÇÕES]],'Dados Status Invest'!A:AA,27,0)</f>
        <v/>
      </c>
      <c r="L565" s="63">
        <f>Table_1[[#This Row],[PREÇO]]*Table_1[[#This Row],[DY]]</f>
        <v/>
      </c>
      <c r="M565" s="62">
        <f>$E$13</f>
        <v/>
      </c>
      <c r="N565" s="62" t="n">
        <v>0.3</v>
      </c>
      <c r="O565" s="62">
        <f>Table_1[[#This Row],[DPA]]/Table_1[[#This Row],[LPA]]</f>
        <v/>
      </c>
      <c r="P565" s="62">
        <f>IF(Table_1[[#This Row],[PAYOUT]]&lt;=40%,"CRESCIMENTO",IF(Table_1[[#This Row],[PAYOUT]]&lt;=60%,"INDEFINIDO","DIVIDENDOS"))</f>
        <v/>
      </c>
      <c r="Q565" s="62">
        <f>VLOOKUP(Table_1[[#This Row],[AÇÕES]],'Dados Status Invest'!A:R,18,0)/100</f>
        <v/>
      </c>
      <c r="R565" s="62">
        <f>VLOOKUP(Table_1[[#This Row],[AÇÕES]],'Dados Status Invest'!A:Y,25,0)/100</f>
        <v/>
      </c>
      <c r="S565" s="62">
        <f>(1-Table_1[[#This Row],[PAYOUT]])*Table_1[[#This Row],[ROE]]</f>
        <v/>
      </c>
      <c r="T565" s="98">
        <f>AVERAGE(Table_1[[#This Row],[CAGR LUCRO 5A]],Table_1[[#This Row],[CRESCIMENTO DAMODARAN]])</f>
        <v/>
      </c>
      <c r="U565" s="64">
        <f>(Table_1[[#This Row],[PREÇO JUSTO BAZIN]]-Table_1[[#This Row],[PREÇO]])/Table_1[[#This Row],[PREÇO JUSTO BAZIN]]</f>
        <v/>
      </c>
      <c r="V565" s="129">
        <f>Table_1[[#This Row],[DPA]]/6%</f>
        <v/>
      </c>
      <c r="W565" s="129">
        <f>Table_1[[#This Row],[PREÇO JUSTO BAZIN]]/(1+Table_1[[#This Row],[MARGEM DE DESCONTO]])</f>
        <v/>
      </c>
      <c r="X565" s="64">
        <f>(Table_1[[#This Row],[PREÇO JUSTO GRAHAM]]-Table_1[[#This Row],[PREÇO]])/Table_1[[#This Row],[PREÇO JUSTO GRAHAM]]</f>
        <v/>
      </c>
      <c r="Y565" s="129">
        <f>(22.5*Table_1[[#This Row],[LPA]]*Table_1[[#This Row],[VPA]])^0.5</f>
        <v/>
      </c>
      <c r="Z565" s="129">
        <f>Table_1[[#This Row],[PREÇO JUSTO GRAHAM]]/(1+Table_1[[#This Row],[MARGEM DE DESCONTO]])</f>
        <v/>
      </c>
      <c r="AA565" s="64">
        <f>(Table_1[[#This Row],[PREÇO JUSTO GORDON]]-Table_1[[#This Row],[PREÇO]])/Table_1[[#This Row],[PREÇO JUSTO GORDON]]</f>
        <v/>
      </c>
      <c r="AB565" s="130">
        <f>Table_1[[#This Row],[DPA]]*(1+Table_1[[#This Row],[MÉDIA DE CRESCIMENTO]])</f>
        <v/>
      </c>
      <c r="AC565" s="130">
        <f>Table_1[[#This Row],[D1]]/(Table_1[[#This Row],[RISCO]]-Table_1[[#This Row],[MÉDIA DE CRESCIMENTO]])</f>
        <v/>
      </c>
      <c r="AD565" s="130">
        <f>Table_1[[#This Row],[PREÇO JUSTO GORDON]]/(1+Table_1[[#This Row],[MARGEM DE DESCONTO]])</f>
        <v/>
      </c>
      <c r="AE565" s="78">
        <f>Table_1[[#This Row],[P/L]]/Table_1[[#This Row],[MÉDIA DE CRESCIMENTO]]</f>
        <v/>
      </c>
    </row>
    <row r="566" ht="15.75" customHeight="1">
      <c r="B566" s="77">
        <f>'Dados Status Invest'!A552</f>
        <v/>
      </c>
      <c r="C566" s="60">
        <f>VLOOKUP(Table_1[[#This Row],[AÇÕES]],'Classificação B3'!A:B,2,0)</f>
        <v/>
      </c>
      <c r="D566" s="60">
        <f>VLOOKUP(Table_1[[#This Row],[AÇÕES]],'Classificação B3'!A:D,4,0)</f>
        <v/>
      </c>
      <c r="E566" s="60">
        <f>VLOOKUP(Table_1[[#This Row],[AÇÕES]],'Classificação B3'!A:F,6,0)</f>
        <v/>
      </c>
      <c r="F566" s="60">
        <f>VLOOKUP(Table_1[[#This Row],[AÇÕES]],'Classificação B3'!A:G,7,0)</f>
        <v/>
      </c>
      <c r="G566" s="61">
        <f>VLOOKUP(Table_1[[#This Row],[AÇÕES]],'Dados Status Invest'!A:B,2,0)</f>
        <v/>
      </c>
      <c r="H566" s="62">
        <f>VLOOKUP(Table_1[[#This Row],[AÇÕES]],'Dados Status Invest'!A:C,3,0)/100</f>
        <v/>
      </c>
      <c r="I566" s="62">
        <f>VLOOKUP(Table_1[[#This Row],[AÇÕES]],'Dados Status Invest'!A:D,4,0)/100</f>
        <v/>
      </c>
      <c r="J566" s="63">
        <f>VLOOKUP(Table_1[[#This Row],[AÇÕES]],'Dados Status Invest'!A:AB,28,0)</f>
        <v/>
      </c>
      <c r="K566" s="63">
        <f>VLOOKUP(Table_1[[#This Row],[AÇÕES]],'Dados Status Invest'!A:AA,27,0)</f>
        <v/>
      </c>
      <c r="L566" s="63">
        <f>Table_1[[#This Row],[PREÇO]]*Table_1[[#This Row],[DY]]</f>
        <v/>
      </c>
      <c r="M566" s="62">
        <f>$E$13</f>
        <v/>
      </c>
      <c r="N566" s="62" t="n">
        <v>0.3</v>
      </c>
      <c r="O566" s="62">
        <f>Table_1[[#This Row],[DPA]]/Table_1[[#This Row],[LPA]]</f>
        <v/>
      </c>
      <c r="P566" s="62">
        <f>IF(Table_1[[#This Row],[PAYOUT]]&lt;=40%,"CRESCIMENTO",IF(Table_1[[#This Row],[PAYOUT]]&lt;=60%,"INDEFINIDO","DIVIDENDOS"))</f>
        <v/>
      </c>
      <c r="Q566" s="62">
        <f>VLOOKUP(Table_1[[#This Row],[AÇÕES]],'Dados Status Invest'!A:R,18,0)/100</f>
        <v/>
      </c>
      <c r="R566" s="62">
        <f>VLOOKUP(Table_1[[#This Row],[AÇÕES]],'Dados Status Invest'!A:Y,25,0)/100</f>
        <v/>
      </c>
      <c r="S566" s="62">
        <f>(1-Table_1[[#This Row],[PAYOUT]])*Table_1[[#This Row],[ROE]]</f>
        <v/>
      </c>
      <c r="T566" s="98">
        <f>AVERAGE(Table_1[[#This Row],[CAGR LUCRO 5A]],Table_1[[#This Row],[CRESCIMENTO DAMODARAN]])</f>
        <v/>
      </c>
      <c r="U566" s="64">
        <f>(Table_1[[#This Row],[PREÇO JUSTO BAZIN]]-Table_1[[#This Row],[PREÇO]])/Table_1[[#This Row],[PREÇO JUSTO BAZIN]]</f>
        <v/>
      </c>
      <c r="V566" s="129">
        <f>Table_1[[#This Row],[DPA]]/6%</f>
        <v/>
      </c>
      <c r="W566" s="129">
        <f>Table_1[[#This Row],[PREÇO JUSTO BAZIN]]/(1+Table_1[[#This Row],[MARGEM DE DESCONTO]])</f>
        <v/>
      </c>
      <c r="X566" s="64">
        <f>(Table_1[[#This Row],[PREÇO JUSTO GRAHAM]]-Table_1[[#This Row],[PREÇO]])/Table_1[[#This Row],[PREÇO JUSTO GRAHAM]]</f>
        <v/>
      </c>
      <c r="Y566" s="129">
        <f>(22.5*Table_1[[#This Row],[LPA]]*Table_1[[#This Row],[VPA]])^0.5</f>
        <v/>
      </c>
      <c r="Z566" s="129">
        <f>Table_1[[#This Row],[PREÇO JUSTO GRAHAM]]/(1+Table_1[[#This Row],[MARGEM DE DESCONTO]])</f>
        <v/>
      </c>
      <c r="AA566" s="64">
        <f>(Table_1[[#This Row],[PREÇO JUSTO GORDON]]-Table_1[[#This Row],[PREÇO]])/Table_1[[#This Row],[PREÇO JUSTO GORDON]]</f>
        <v/>
      </c>
      <c r="AB566" s="130">
        <f>Table_1[[#This Row],[DPA]]*(1+Table_1[[#This Row],[MÉDIA DE CRESCIMENTO]])</f>
        <v/>
      </c>
      <c r="AC566" s="130">
        <f>Table_1[[#This Row],[D1]]/(Table_1[[#This Row],[RISCO]]-Table_1[[#This Row],[MÉDIA DE CRESCIMENTO]])</f>
        <v/>
      </c>
      <c r="AD566" s="130">
        <f>Table_1[[#This Row],[PREÇO JUSTO GORDON]]/(1+Table_1[[#This Row],[MARGEM DE DESCONTO]])</f>
        <v/>
      </c>
      <c r="AE566" s="78">
        <f>Table_1[[#This Row],[P/L]]/Table_1[[#This Row],[MÉDIA DE CRESCIMENTO]]</f>
        <v/>
      </c>
    </row>
    <row r="567" ht="15.75" customHeight="1">
      <c r="B567" s="77">
        <f>'Dados Status Invest'!A553</f>
        <v/>
      </c>
      <c r="C567" s="60">
        <f>VLOOKUP(Table_1[[#This Row],[AÇÕES]],'Classificação B3'!A:B,2,0)</f>
        <v/>
      </c>
      <c r="D567" s="60">
        <f>VLOOKUP(Table_1[[#This Row],[AÇÕES]],'Classificação B3'!A:D,4,0)</f>
        <v/>
      </c>
      <c r="E567" s="60">
        <f>VLOOKUP(Table_1[[#This Row],[AÇÕES]],'Classificação B3'!A:F,6,0)</f>
        <v/>
      </c>
      <c r="F567" s="60">
        <f>VLOOKUP(Table_1[[#This Row],[AÇÕES]],'Classificação B3'!A:G,7,0)</f>
        <v/>
      </c>
      <c r="G567" s="61">
        <f>VLOOKUP(Table_1[[#This Row],[AÇÕES]],'Dados Status Invest'!A:B,2,0)</f>
        <v/>
      </c>
      <c r="H567" s="62">
        <f>VLOOKUP(Table_1[[#This Row],[AÇÕES]],'Dados Status Invest'!A:C,3,0)/100</f>
        <v/>
      </c>
      <c r="I567" s="62">
        <f>VLOOKUP(Table_1[[#This Row],[AÇÕES]],'Dados Status Invest'!A:D,4,0)/100</f>
        <v/>
      </c>
      <c r="J567" s="63">
        <f>VLOOKUP(Table_1[[#This Row],[AÇÕES]],'Dados Status Invest'!A:AB,28,0)</f>
        <v/>
      </c>
      <c r="K567" s="63">
        <f>VLOOKUP(Table_1[[#This Row],[AÇÕES]],'Dados Status Invest'!A:AA,27,0)</f>
        <v/>
      </c>
      <c r="L567" s="63">
        <f>Table_1[[#This Row],[PREÇO]]*Table_1[[#This Row],[DY]]</f>
        <v/>
      </c>
      <c r="M567" s="62">
        <f>$E$13</f>
        <v/>
      </c>
      <c r="N567" s="62" t="n">
        <v>0.3</v>
      </c>
      <c r="O567" s="62">
        <f>Table_1[[#This Row],[DPA]]/Table_1[[#This Row],[LPA]]</f>
        <v/>
      </c>
      <c r="P567" s="62">
        <f>IF(Table_1[[#This Row],[PAYOUT]]&lt;=40%,"CRESCIMENTO",IF(Table_1[[#This Row],[PAYOUT]]&lt;=60%,"INDEFINIDO","DIVIDENDOS"))</f>
        <v/>
      </c>
      <c r="Q567" s="62">
        <f>VLOOKUP(Table_1[[#This Row],[AÇÕES]],'Dados Status Invest'!A:R,18,0)/100</f>
        <v/>
      </c>
      <c r="R567" s="62">
        <f>VLOOKUP(Table_1[[#This Row],[AÇÕES]],'Dados Status Invest'!A:Y,25,0)/100</f>
        <v/>
      </c>
      <c r="S567" s="62">
        <f>(1-Table_1[[#This Row],[PAYOUT]])*Table_1[[#This Row],[ROE]]</f>
        <v/>
      </c>
      <c r="T567" s="98">
        <f>AVERAGE(Table_1[[#This Row],[CAGR LUCRO 5A]],Table_1[[#This Row],[CRESCIMENTO DAMODARAN]])</f>
        <v/>
      </c>
      <c r="U567" s="64">
        <f>(Table_1[[#This Row],[PREÇO JUSTO BAZIN]]-Table_1[[#This Row],[PREÇO]])/Table_1[[#This Row],[PREÇO JUSTO BAZIN]]</f>
        <v/>
      </c>
      <c r="V567" s="129">
        <f>Table_1[[#This Row],[DPA]]/6%</f>
        <v/>
      </c>
      <c r="W567" s="129">
        <f>Table_1[[#This Row],[PREÇO JUSTO BAZIN]]/(1+Table_1[[#This Row],[MARGEM DE DESCONTO]])</f>
        <v/>
      </c>
      <c r="X567" s="64">
        <f>(Table_1[[#This Row],[PREÇO JUSTO GRAHAM]]-Table_1[[#This Row],[PREÇO]])/Table_1[[#This Row],[PREÇO JUSTO GRAHAM]]</f>
        <v/>
      </c>
      <c r="Y567" s="129">
        <f>(22.5*Table_1[[#This Row],[LPA]]*Table_1[[#This Row],[VPA]])^0.5</f>
        <v/>
      </c>
      <c r="Z567" s="129">
        <f>Table_1[[#This Row],[PREÇO JUSTO GRAHAM]]/(1+Table_1[[#This Row],[MARGEM DE DESCONTO]])</f>
        <v/>
      </c>
      <c r="AA567" s="64">
        <f>(Table_1[[#This Row],[PREÇO JUSTO GORDON]]-Table_1[[#This Row],[PREÇO]])/Table_1[[#This Row],[PREÇO JUSTO GORDON]]</f>
        <v/>
      </c>
      <c r="AB567" s="130">
        <f>Table_1[[#This Row],[DPA]]*(1+Table_1[[#This Row],[MÉDIA DE CRESCIMENTO]])</f>
        <v/>
      </c>
      <c r="AC567" s="130">
        <f>Table_1[[#This Row],[D1]]/(Table_1[[#This Row],[RISCO]]-Table_1[[#This Row],[MÉDIA DE CRESCIMENTO]])</f>
        <v/>
      </c>
      <c r="AD567" s="130">
        <f>Table_1[[#This Row],[PREÇO JUSTO GORDON]]/(1+Table_1[[#This Row],[MARGEM DE DESCONTO]])</f>
        <v/>
      </c>
      <c r="AE567" s="78">
        <f>Table_1[[#This Row],[P/L]]/Table_1[[#This Row],[MÉDIA DE CRESCIMENTO]]</f>
        <v/>
      </c>
    </row>
    <row r="568" ht="15.75" customHeight="1">
      <c r="B568" s="77">
        <f>'Dados Status Invest'!A554</f>
        <v/>
      </c>
      <c r="C568" s="60">
        <f>VLOOKUP(Table_1[[#This Row],[AÇÕES]],'Classificação B3'!A:B,2,0)</f>
        <v/>
      </c>
      <c r="D568" s="60">
        <f>VLOOKUP(Table_1[[#This Row],[AÇÕES]],'Classificação B3'!A:D,4,0)</f>
        <v/>
      </c>
      <c r="E568" s="60">
        <f>VLOOKUP(Table_1[[#This Row],[AÇÕES]],'Classificação B3'!A:F,6,0)</f>
        <v/>
      </c>
      <c r="F568" s="60">
        <f>VLOOKUP(Table_1[[#This Row],[AÇÕES]],'Classificação B3'!A:G,7,0)</f>
        <v/>
      </c>
      <c r="G568" s="61">
        <f>VLOOKUP(Table_1[[#This Row],[AÇÕES]],'Dados Status Invest'!A:B,2,0)</f>
        <v/>
      </c>
      <c r="H568" s="62">
        <f>VLOOKUP(Table_1[[#This Row],[AÇÕES]],'Dados Status Invest'!A:C,3,0)/100</f>
        <v/>
      </c>
      <c r="I568" s="62">
        <f>VLOOKUP(Table_1[[#This Row],[AÇÕES]],'Dados Status Invest'!A:D,4,0)/100</f>
        <v/>
      </c>
      <c r="J568" s="63">
        <f>VLOOKUP(Table_1[[#This Row],[AÇÕES]],'Dados Status Invest'!A:AB,28,0)</f>
        <v/>
      </c>
      <c r="K568" s="63">
        <f>VLOOKUP(Table_1[[#This Row],[AÇÕES]],'Dados Status Invest'!A:AA,27,0)</f>
        <v/>
      </c>
      <c r="L568" s="63">
        <f>Table_1[[#This Row],[PREÇO]]*Table_1[[#This Row],[DY]]</f>
        <v/>
      </c>
      <c r="M568" s="62">
        <f>$E$13</f>
        <v/>
      </c>
      <c r="N568" s="62" t="n">
        <v>0.3</v>
      </c>
      <c r="O568" s="62">
        <f>Table_1[[#This Row],[DPA]]/Table_1[[#This Row],[LPA]]</f>
        <v/>
      </c>
      <c r="P568" s="62">
        <f>IF(Table_1[[#This Row],[PAYOUT]]&lt;=40%,"CRESCIMENTO",IF(Table_1[[#This Row],[PAYOUT]]&lt;=60%,"INDEFINIDO","DIVIDENDOS"))</f>
        <v/>
      </c>
      <c r="Q568" s="62">
        <f>VLOOKUP(Table_1[[#This Row],[AÇÕES]],'Dados Status Invest'!A:R,18,0)/100</f>
        <v/>
      </c>
      <c r="R568" s="62">
        <f>VLOOKUP(Table_1[[#This Row],[AÇÕES]],'Dados Status Invest'!A:Y,25,0)/100</f>
        <v/>
      </c>
      <c r="S568" s="62">
        <f>(1-Table_1[[#This Row],[PAYOUT]])*Table_1[[#This Row],[ROE]]</f>
        <v/>
      </c>
      <c r="T568" s="98">
        <f>AVERAGE(Table_1[[#This Row],[CAGR LUCRO 5A]],Table_1[[#This Row],[CRESCIMENTO DAMODARAN]])</f>
        <v/>
      </c>
      <c r="U568" s="64">
        <f>(Table_1[[#This Row],[PREÇO JUSTO BAZIN]]-Table_1[[#This Row],[PREÇO]])/Table_1[[#This Row],[PREÇO JUSTO BAZIN]]</f>
        <v/>
      </c>
      <c r="V568" s="129">
        <f>Table_1[[#This Row],[DPA]]/6%</f>
        <v/>
      </c>
      <c r="W568" s="129">
        <f>Table_1[[#This Row],[PREÇO JUSTO BAZIN]]/(1+Table_1[[#This Row],[MARGEM DE DESCONTO]])</f>
        <v/>
      </c>
      <c r="X568" s="64">
        <f>(Table_1[[#This Row],[PREÇO JUSTO GRAHAM]]-Table_1[[#This Row],[PREÇO]])/Table_1[[#This Row],[PREÇO JUSTO GRAHAM]]</f>
        <v/>
      </c>
      <c r="Y568" s="129">
        <f>(22.5*Table_1[[#This Row],[LPA]]*Table_1[[#This Row],[VPA]])^0.5</f>
        <v/>
      </c>
      <c r="Z568" s="129">
        <f>Table_1[[#This Row],[PREÇO JUSTO GRAHAM]]/(1+Table_1[[#This Row],[MARGEM DE DESCONTO]])</f>
        <v/>
      </c>
      <c r="AA568" s="64">
        <f>(Table_1[[#This Row],[PREÇO JUSTO GORDON]]-Table_1[[#This Row],[PREÇO]])/Table_1[[#This Row],[PREÇO JUSTO GORDON]]</f>
        <v/>
      </c>
      <c r="AB568" s="130">
        <f>Table_1[[#This Row],[DPA]]*(1+Table_1[[#This Row],[MÉDIA DE CRESCIMENTO]])</f>
        <v/>
      </c>
      <c r="AC568" s="130">
        <f>Table_1[[#This Row],[D1]]/(Table_1[[#This Row],[RISCO]]-Table_1[[#This Row],[MÉDIA DE CRESCIMENTO]])</f>
        <v/>
      </c>
      <c r="AD568" s="130">
        <f>Table_1[[#This Row],[PREÇO JUSTO GORDON]]/(1+Table_1[[#This Row],[MARGEM DE DESCONTO]])</f>
        <v/>
      </c>
      <c r="AE568" s="78">
        <f>Table_1[[#This Row],[P/L]]/Table_1[[#This Row],[MÉDIA DE CRESCIMENTO]]</f>
        <v/>
      </c>
    </row>
    <row r="569" ht="15.75" customHeight="1">
      <c r="B569" s="77">
        <f>'Dados Status Invest'!A555</f>
        <v/>
      </c>
      <c r="C569" s="60">
        <f>VLOOKUP(Table_1[[#This Row],[AÇÕES]],'Classificação B3'!A:B,2,0)</f>
        <v/>
      </c>
      <c r="D569" s="60">
        <f>VLOOKUP(Table_1[[#This Row],[AÇÕES]],'Classificação B3'!A:D,4,0)</f>
        <v/>
      </c>
      <c r="E569" s="60">
        <f>VLOOKUP(Table_1[[#This Row],[AÇÕES]],'Classificação B3'!A:F,6,0)</f>
        <v/>
      </c>
      <c r="F569" s="60">
        <f>VLOOKUP(Table_1[[#This Row],[AÇÕES]],'Classificação B3'!A:G,7,0)</f>
        <v/>
      </c>
      <c r="G569" s="61">
        <f>VLOOKUP(Table_1[[#This Row],[AÇÕES]],'Dados Status Invest'!A:B,2,0)</f>
        <v/>
      </c>
      <c r="H569" s="62">
        <f>VLOOKUP(Table_1[[#This Row],[AÇÕES]],'Dados Status Invest'!A:C,3,0)/100</f>
        <v/>
      </c>
      <c r="I569" s="62">
        <f>VLOOKUP(Table_1[[#This Row],[AÇÕES]],'Dados Status Invest'!A:D,4,0)/100</f>
        <v/>
      </c>
      <c r="J569" s="63">
        <f>VLOOKUP(Table_1[[#This Row],[AÇÕES]],'Dados Status Invest'!A:AB,28,0)</f>
        <v/>
      </c>
      <c r="K569" s="63">
        <f>VLOOKUP(Table_1[[#This Row],[AÇÕES]],'Dados Status Invest'!A:AA,27,0)</f>
        <v/>
      </c>
      <c r="L569" s="63">
        <f>Table_1[[#This Row],[PREÇO]]*Table_1[[#This Row],[DY]]</f>
        <v/>
      </c>
      <c r="M569" s="62">
        <f>$E$13</f>
        <v/>
      </c>
      <c r="N569" s="62" t="n">
        <v>0.3</v>
      </c>
      <c r="O569" s="62">
        <f>Table_1[[#This Row],[DPA]]/Table_1[[#This Row],[LPA]]</f>
        <v/>
      </c>
      <c r="P569" s="62">
        <f>IF(Table_1[[#This Row],[PAYOUT]]&lt;=40%,"CRESCIMENTO",IF(Table_1[[#This Row],[PAYOUT]]&lt;=60%,"INDEFINIDO","DIVIDENDOS"))</f>
        <v/>
      </c>
      <c r="Q569" s="62">
        <f>VLOOKUP(Table_1[[#This Row],[AÇÕES]],'Dados Status Invest'!A:R,18,0)/100</f>
        <v/>
      </c>
      <c r="R569" s="62">
        <f>VLOOKUP(Table_1[[#This Row],[AÇÕES]],'Dados Status Invest'!A:Y,25,0)/100</f>
        <v/>
      </c>
      <c r="S569" s="62">
        <f>(1-Table_1[[#This Row],[PAYOUT]])*Table_1[[#This Row],[ROE]]</f>
        <v/>
      </c>
      <c r="T569" s="98">
        <f>AVERAGE(Table_1[[#This Row],[CAGR LUCRO 5A]],Table_1[[#This Row],[CRESCIMENTO DAMODARAN]])</f>
        <v/>
      </c>
      <c r="U569" s="64">
        <f>(Table_1[[#This Row],[PREÇO JUSTO BAZIN]]-Table_1[[#This Row],[PREÇO]])/Table_1[[#This Row],[PREÇO JUSTO BAZIN]]</f>
        <v/>
      </c>
      <c r="V569" s="129">
        <f>Table_1[[#This Row],[DPA]]/6%</f>
        <v/>
      </c>
      <c r="W569" s="129">
        <f>Table_1[[#This Row],[PREÇO JUSTO BAZIN]]/(1+Table_1[[#This Row],[MARGEM DE DESCONTO]])</f>
        <v/>
      </c>
      <c r="X569" s="64">
        <f>(Table_1[[#This Row],[PREÇO JUSTO GRAHAM]]-Table_1[[#This Row],[PREÇO]])/Table_1[[#This Row],[PREÇO JUSTO GRAHAM]]</f>
        <v/>
      </c>
      <c r="Y569" s="129">
        <f>(22.5*Table_1[[#This Row],[LPA]]*Table_1[[#This Row],[VPA]])^0.5</f>
        <v/>
      </c>
      <c r="Z569" s="129">
        <f>Table_1[[#This Row],[PREÇO JUSTO GRAHAM]]/(1+Table_1[[#This Row],[MARGEM DE DESCONTO]])</f>
        <v/>
      </c>
      <c r="AA569" s="64">
        <f>(Table_1[[#This Row],[PREÇO JUSTO GORDON]]-Table_1[[#This Row],[PREÇO]])/Table_1[[#This Row],[PREÇO JUSTO GORDON]]</f>
        <v/>
      </c>
      <c r="AB569" s="130">
        <f>Table_1[[#This Row],[DPA]]*(1+Table_1[[#This Row],[MÉDIA DE CRESCIMENTO]])</f>
        <v/>
      </c>
      <c r="AC569" s="130">
        <f>Table_1[[#This Row],[D1]]/(Table_1[[#This Row],[RISCO]]-Table_1[[#This Row],[MÉDIA DE CRESCIMENTO]])</f>
        <v/>
      </c>
      <c r="AD569" s="130">
        <f>Table_1[[#This Row],[PREÇO JUSTO GORDON]]/(1+Table_1[[#This Row],[MARGEM DE DESCONTO]])</f>
        <v/>
      </c>
      <c r="AE569" s="78">
        <f>Table_1[[#This Row],[P/L]]/Table_1[[#This Row],[MÉDIA DE CRESCIMENTO]]</f>
        <v/>
      </c>
    </row>
    <row r="570" ht="15.75" customHeight="1">
      <c r="B570" s="77">
        <f>'Dados Status Invest'!A556</f>
        <v/>
      </c>
      <c r="C570" s="60">
        <f>VLOOKUP(Table_1[[#This Row],[AÇÕES]],'Classificação B3'!A:B,2,0)</f>
        <v/>
      </c>
      <c r="D570" s="60">
        <f>VLOOKUP(Table_1[[#This Row],[AÇÕES]],'Classificação B3'!A:D,4,0)</f>
        <v/>
      </c>
      <c r="E570" s="60">
        <f>VLOOKUP(Table_1[[#This Row],[AÇÕES]],'Classificação B3'!A:F,6,0)</f>
        <v/>
      </c>
      <c r="F570" s="60">
        <f>VLOOKUP(Table_1[[#This Row],[AÇÕES]],'Classificação B3'!A:G,7,0)</f>
        <v/>
      </c>
      <c r="G570" s="61">
        <f>VLOOKUP(Table_1[[#This Row],[AÇÕES]],'Dados Status Invest'!A:B,2,0)</f>
        <v/>
      </c>
      <c r="H570" s="62">
        <f>VLOOKUP(Table_1[[#This Row],[AÇÕES]],'Dados Status Invest'!A:C,3,0)/100</f>
        <v/>
      </c>
      <c r="I570" s="62">
        <f>VLOOKUP(Table_1[[#This Row],[AÇÕES]],'Dados Status Invest'!A:D,4,0)/100</f>
        <v/>
      </c>
      <c r="J570" s="63">
        <f>VLOOKUP(Table_1[[#This Row],[AÇÕES]],'Dados Status Invest'!A:AB,28,0)</f>
        <v/>
      </c>
      <c r="K570" s="63">
        <f>VLOOKUP(Table_1[[#This Row],[AÇÕES]],'Dados Status Invest'!A:AA,27,0)</f>
        <v/>
      </c>
      <c r="L570" s="63">
        <f>Table_1[[#This Row],[PREÇO]]*Table_1[[#This Row],[DY]]</f>
        <v/>
      </c>
      <c r="M570" s="62">
        <f>$E$13</f>
        <v/>
      </c>
      <c r="N570" s="62" t="n">
        <v>0.3</v>
      </c>
      <c r="O570" s="62">
        <f>Table_1[[#This Row],[DPA]]/Table_1[[#This Row],[LPA]]</f>
        <v/>
      </c>
      <c r="P570" s="62">
        <f>IF(Table_1[[#This Row],[PAYOUT]]&lt;=40%,"CRESCIMENTO",IF(Table_1[[#This Row],[PAYOUT]]&lt;=60%,"INDEFINIDO","DIVIDENDOS"))</f>
        <v/>
      </c>
      <c r="Q570" s="62">
        <f>VLOOKUP(Table_1[[#This Row],[AÇÕES]],'Dados Status Invest'!A:R,18,0)/100</f>
        <v/>
      </c>
      <c r="R570" s="62">
        <f>VLOOKUP(Table_1[[#This Row],[AÇÕES]],'Dados Status Invest'!A:Y,25,0)/100</f>
        <v/>
      </c>
      <c r="S570" s="62">
        <f>(1-Table_1[[#This Row],[PAYOUT]])*Table_1[[#This Row],[ROE]]</f>
        <v/>
      </c>
      <c r="T570" s="98">
        <f>AVERAGE(Table_1[[#This Row],[CAGR LUCRO 5A]],Table_1[[#This Row],[CRESCIMENTO DAMODARAN]])</f>
        <v/>
      </c>
      <c r="U570" s="64">
        <f>(Table_1[[#This Row],[PREÇO JUSTO BAZIN]]-Table_1[[#This Row],[PREÇO]])/Table_1[[#This Row],[PREÇO JUSTO BAZIN]]</f>
        <v/>
      </c>
      <c r="V570" s="129">
        <f>Table_1[[#This Row],[DPA]]/6%</f>
        <v/>
      </c>
      <c r="W570" s="129">
        <f>Table_1[[#This Row],[PREÇO JUSTO BAZIN]]/(1+Table_1[[#This Row],[MARGEM DE DESCONTO]])</f>
        <v/>
      </c>
      <c r="X570" s="64">
        <f>(Table_1[[#This Row],[PREÇO JUSTO GRAHAM]]-Table_1[[#This Row],[PREÇO]])/Table_1[[#This Row],[PREÇO JUSTO GRAHAM]]</f>
        <v/>
      </c>
      <c r="Y570" s="129">
        <f>(22.5*Table_1[[#This Row],[LPA]]*Table_1[[#This Row],[VPA]])^0.5</f>
        <v/>
      </c>
      <c r="Z570" s="129">
        <f>Table_1[[#This Row],[PREÇO JUSTO GRAHAM]]/(1+Table_1[[#This Row],[MARGEM DE DESCONTO]])</f>
        <v/>
      </c>
      <c r="AA570" s="64">
        <f>(Table_1[[#This Row],[PREÇO JUSTO GORDON]]-Table_1[[#This Row],[PREÇO]])/Table_1[[#This Row],[PREÇO JUSTO GORDON]]</f>
        <v/>
      </c>
      <c r="AB570" s="130">
        <f>Table_1[[#This Row],[DPA]]*(1+Table_1[[#This Row],[MÉDIA DE CRESCIMENTO]])</f>
        <v/>
      </c>
      <c r="AC570" s="130">
        <f>Table_1[[#This Row],[D1]]/(Table_1[[#This Row],[RISCO]]-Table_1[[#This Row],[MÉDIA DE CRESCIMENTO]])</f>
        <v/>
      </c>
      <c r="AD570" s="130">
        <f>Table_1[[#This Row],[PREÇO JUSTO GORDON]]/(1+Table_1[[#This Row],[MARGEM DE DESCONTO]])</f>
        <v/>
      </c>
      <c r="AE570" s="78">
        <f>Table_1[[#This Row],[P/L]]/Table_1[[#This Row],[MÉDIA DE CRESCIMENTO]]</f>
        <v/>
      </c>
    </row>
    <row r="571" ht="15.75" customHeight="1">
      <c r="B571" s="77">
        <f>'Dados Status Invest'!A557</f>
        <v/>
      </c>
      <c r="C571" s="60">
        <f>VLOOKUP(Table_1[[#This Row],[AÇÕES]],'Classificação B3'!A:B,2,0)</f>
        <v/>
      </c>
      <c r="D571" s="60">
        <f>VLOOKUP(Table_1[[#This Row],[AÇÕES]],'Classificação B3'!A:D,4,0)</f>
        <v/>
      </c>
      <c r="E571" s="60">
        <f>VLOOKUP(Table_1[[#This Row],[AÇÕES]],'Classificação B3'!A:F,6,0)</f>
        <v/>
      </c>
      <c r="F571" s="60">
        <f>VLOOKUP(Table_1[[#This Row],[AÇÕES]],'Classificação B3'!A:G,7,0)</f>
        <v/>
      </c>
      <c r="G571" s="61">
        <f>VLOOKUP(Table_1[[#This Row],[AÇÕES]],'Dados Status Invest'!A:B,2,0)</f>
        <v/>
      </c>
      <c r="H571" s="62">
        <f>VLOOKUP(Table_1[[#This Row],[AÇÕES]],'Dados Status Invest'!A:C,3,0)/100</f>
        <v/>
      </c>
      <c r="I571" s="62">
        <f>VLOOKUP(Table_1[[#This Row],[AÇÕES]],'Dados Status Invest'!A:D,4,0)/100</f>
        <v/>
      </c>
      <c r="J571" s="63">
        <f>VLOOKUP(Table_1[[#This Row],[AÇÕES]],'Dados Status Invest'!A:AB,28,0)</f>
        <v/>
      </c>
      <c r="K571" s="63">
        <f>VLOOKUP(Table_1[[#This Row],[AÇÕES]],'Dados Status Invest'!A:AA,27,0)</f>
        <v/>
      </c>
      <c r="L571" s="63">
        <f>Table_1[[#This Row],[PREÇO]]*Table_1[[#This Row],[DY]]</f>
        <v/>
      </c>
      <c r="M571" s="62">
        <f>$E$13</f>
        <v/>
      </c>
      <c r="N571" s="62" t="n">
        <v>0.3</v>
      </c>
      <c r="O571" s="62">
        <f>Table_1[[#This Row],[DPA]]/Table_1[[#This Row],[LPA]]</f>
        <v/>
      </c>
      <c r="P571" s="62">
        <f>IF(Table_1[[#This Row],[PAYOUT]]&lt;=40%,"CRESCIMENTO",IF(Table_1[[#This Row],[PAYOUT]]&lt;=60%,"INDEFINIDO","DIVIDENDOS"))</f>
        <v/>
      </c>
      <c r="Q571" s="62">
        <f>VLOOKUP(Table_1[[#This Row],[AÇÕES]],'Dados Status Invest'!A:R,18,0)/100</f>
        <v/>
      </c>
      <c r="R571" s="62">
        <f>VLOOKUP(Table_1[[#This Row],[AÇÕES]],'Dados Status Invest'!A:Y,25,0)/100</f>
        <v/>
      </c>
      <c r="S571" s="62">
        <f>(1-Table_1[[#This Row],[PAYOUT]])*Table_1[[#This Row],[ROE]]</f>
        <v/>
      </c>
      <c r="T571" s="98">
        <f>AVERAGE(Table_1[[#This Row],[CAGR LUCRO 5A]],Table_1[[#This Row],[CRESCIMENTO DAMODARAN]])</f>
        <v/>
      </c>
      <c r="U571" s="64">
        <f>(Table_1[[#This Row],[PREÇO JUSTO BAZIN]]-Table_1[[#This Row],[PREÇO]])/Table_1[[#This Row],[PREÇO JUSTO BAZIN]]</f>
        <v/>
      </c>
      <c r="V571" s="129">
        <f>Table_1[[#This Row],[DPA]]/6%</f>
        <v/>
      </c>
      <c r="W571" s="129">
        <f>Table_1[[#This Row],[PREÇO JUSTO BAZIN]]/(1+Table_1[[#This Row],[MARGEM DE DESCONTO]])</f>
        <v/>
      </c>
      <c r="X571" s="64">
        <f>(Table_1[[#This Row],[PREÇO JUSTO GRAHAM]]-Table_1[[#This Row],[PREÇO]])/Table_1[[#This Row],[PREÇO JUSTO GRAHAM]]</f>
        <v/>
      </c>
      <c r="Y571" s="129">
        <f>(22.5*Table_1[[#This Row],[LPA]]*Table_1[[#This Row],[VPA]])^0.5</f>
        <v/>
      </c>
      <c r="Z571" s="129">
        <f>Table_1[[#This Row],[PREÇO JUSTO GRAHAM]]/(1+Table_1[[#This Row],[MARGEM DE DESCONTO]])</f>
        <v/>
      </c>
      <c r="AA571" s="64">
        <f>(Table_1[[#This Row],[PREÇO JUSTO GORDON]]-Table_1[[#This Row],[PREÇO]])/Table_1[[#This Row],[PREÇO JUSTO GORDON]]</f>
        <v/>
      </c>
      <c r="AB571" s="130">
        <f>Table_1[[#This Row],[DPA]]*(1+Table_1[[#This Row],[MÉDIA DE CRESCIMENTO]])</f>
        <v/>
      </c>
      <c r="AC571" s="130">
        <f>Table_1[[#This Row],[D1]]/(Table_1[[#This Row],[RISCO]]-Table_1[[#This Row],[MÉDIA DE CRESCIMENTO]])</f>
        <v/>
      </c>
      <c r="AD571" s="130">
        <f>Table_1[[#This Row],[PREÇO JUSTO GORDON]]/(1+Table_1[[#This Row],[MARGEM DE DESCONTO]])</f>
        <v/>
      </c>
      <c r="AE571" s="78">
        <f>Table_1[[#This Row],[P/L]]/Table_1[[#This Row],[MÉDIA DE CRESCIMENTO]]</f>
        <v/>
      </c>
    </row>
    <row r="572" ht="15.75" customHeight="1">
      <c r="B572" s="77">
        <f>'Dados Status Invest'!A558</f>
        <v/>
      </c>
      <c r="C572" s="60">
        <f>VLOOKUP(Table_1[[#This Row],[AÇÕES]],'Classificação B3'!A:B,2,0)</f>
        <v/>
      </c>
      <c r="D572" s="60">
        <f>VLOOKUP(Table_1[[#This Row],[AÇÕES]],'Classificação B3'!A:D,4,0)</f>
        <v/>
      </c>
      <c r="E572" s="60">
        <f>VLOOKUP(Table_1[[#This Row],[AÇÕES]],'Classificação B3'!A:F,6,0)</f>
        <v/>
      </c>
      <c r="F572" s="60">
        <f>VLOOKUP(Table_1[[#This Row],[AÇÕES]],'Classificação B3'!A:G,7,0)</f>
        <v/>
      </c>
      <c r="G572" s="61">
        <f>VLOOKUP(Table_1[[#This Row],[AÇÕES]],'Dados Status Invest'!A:B,2,0)</f>
        <v/>
      </c>
      <c r="H572" s="62">
        <f>VLOOKUP(Table_1[[#This Row],[AÇÕES]],'Dados Status Invest'!A:C,3,0)/100</f>
        <v/>
      </c>
      <c r="I572" s="62">
        <f>VLOOKUP(Table_1[[#This Row],[AÇÕES]],'Dados Status Invest'!A:D,4,0)/100</f>
        <v/>
      </c>
      <c r="J572" s="63">
        <f>VLOOKUP(Table_1[[#This Row],[AÇÕES]],'Dados Status Invest'!A:AB,28,0)</f>
        <v/>
      </c>
      <c r="K572" s="63">
        <f>VLOOKUP(Table_1[[#This Row],[AÇÕES]],'Dados Status Invest'!A:AA,27,0)</f>
        <v/>
      </c>
      <c r="L572" s="63">
        <f>Table_1[[#This Row],[PREÇO]]*Table_1[[#This Row],[DY]]</f>
        <v/>
      </c>
      <c r="M572" s="62">
        <f>$E$13</f>
        <v/>
      </c>
      <c r="N572" s="62" t="n">
        <v>0.3</v>
      </c>
      <c r="O572" s="62">
        <f>Table_1[[#This Row],[DPA]]/Table_1[[#This Row],[LPA]]</f>
        <v/>
      </c>
      <c r="P572" s="62">
        <f>IF(Table_1[[#This Row],[PAYOUT]]&lt;=40%,"CRESCIMENTO",IF(Table_1[[#This Row],[PAYOUT]]&lt;=60%,"INDEFINIDO","DIVIDENDOS"))</f>
        <v/>
      </c>
      <c r="Q572" s="62">
        <f>VLOOKUP(Table_1[[#This Row],[AÇÕES]],'Dados Status Invest'!A:R,18,0)/100</f>
        <v/>
      </c>
      <c r="R572" s="62">
        <f>VLOOKUP(Table_1[[#This Row],[AÇÕES]],'Dados Status Invest'!A:Y,25,0)/100</f>
        <v/>
      </c>
      <c r="S572" s="62">
        <f>(1-Table_1[[#This Row],[PAYOUT]])*Table_1[[#This Row],[ROE]]</f>
        <v/>
      </c>
      <c r="T572" s="98">
        <f>AVERAGE(Table_1[[#This Row],[CAGR LUCRO 5A]],Table_1[[#This Row],[CRESCIMENTO DAMODARAN]])</f>
        <v/>
      </c>
      <c r="U572" s="64">
        <f>(Table_1[[#This Row],[PREÇO JUSTO BAZIN]]-Table_1[[#This Row],[PREÇO]])/Table_1[[#This Row],[PREÇO JUSTO BAZIN]]</f>
        <v/>
      </c>
      <c r="V572" s="129">
        <f>Table_1[[#This Row],[DPA]]/6%</f>
        <v/>
      </c>
      <c r="W572" s="129">
        <f>Table_1[[#This Row],[PREÇO JUSTO BAZIN]]/(1+Table_1[[#This Row],[MARGEM DE DESCONTO]])</f>
        <v/>
      </c>
      <c r="X572" s="64">
        <f>(Table_1[[#This Row],[PREÇO JUSTO GRAHAM]]-Table_1[[#This Row],[PREÇO]])/Table_1[[#This Row],[PREÇO JUSTO GRAHAM]]</f>
        <v/>
      </c>
      <c r="Y572" s="129">
        <f>(22.5*Table_1[[#This Row],[LPA]]*Table_1[[#This Row],[VPA]])^0.5</f>
        <v/>
      </c>
      <c r="Z572" s="129">
        <f>Table_1[[#This Row],[PREÇO JUSTO GRAHAM]]/(1+Table_1[[#This Row],[MARGEM DE DESCONTO]])</f>
        <v/>
      </c>
      <c r="AA572" s="64">
        <f>(Table_1[[#This Row],[PREÇO JUSTO GORDON]]-Table_1[[#This Row],[PREÇO]])/Table_1[[#This Row],[PREÇO JUSTO GORDON]]</f>
        <v/>
      </c>
      <c r="AB572" s="130">
        <f>Table_1[[#This Row],[DPA]]*(1+Table_1[[#This Row],[MÉDIA DE CRESCIMENTO]])</f>
        <v/>
      </c>
      <c r="AC572" s="130">
        <f>Table_1[[#This Row],[D1]]/(Table_1[[#This Row],[RISCO]]-Table_1[[#This Row],[MÉDIA DE CRESCIMENTO]])</f>
        <v/>
      </c>
      <c r="AD572" s="130">
        <f>Table_1[[#This Row],[PREÇO JUSTO GORDON]]/(1+Table_1[[#This Row],[MARGEM DE DESCONTO]])</f>
        <v/>
      </c>
      <c r="AE572" s="78">
        <f>Table_1[[#This Row],[P/L]]/Table_1[[#This Row],[MÉDIA DE CRESCIMENTO]]</f>
        <v/>
      </c>
    </row>
    <row r="573" ht="15.75" customHeight="1">
      <c r="B573" s="77">
        <f>'Dados Status Invest'!A559</f>
        <v/>
      </c>
      <c r="C573" s="60">
        <f>VLOOKUP(Table_1[[#This Row],[AÇÕES]],'Classificação B3'!A:B,2,0)</f>
        <v/>
      </c>
      <c r="D573" s="60">
        <f>VLOOKUP(Table_1[[#This Row],[AÇÕES]],'Classificação B3'!A:D,4,0)</f>
        <v/>
      </c>
      <c r="E573" s="60">
        <f>VLOOKUP(Table_1[[#This Row],[AÇÕES]],'Classificação B3'!A:F,6,0)</f>
        <v/>
      </c>
      <c r="F573" s="60">
        <f>VLOOKUP(Table_1[[#This Row],[AÇÕES]],'Classificação B3'!A:G,7,0)</f>
        <v/>
      </c>
      <c r="G573" s="61">
        <f>VLOOKUP(Table_1[[#This Row],[AÇÕES]],'Dados Status Invest'!A:B,2,0)</f>
        <v/>
      </c>
      <c r="H573" s="62">
        <f>VLOOKUP(Table_1[[#This Row],[AÇÕES]],'Dados Status Invest'!A:C,3,0)/100</f>
        <v/>
      </c>
      <c r="I573" s="62">
        <f>VLOOKUP(Table_1[[#This Row],[AÇÕES]],'Dados Status Invest'!A:D,4,0)/100</f>
        <v/>
      </c>
      <c r="J573" s="63">
        <f>VLOOKUP(Table_1[[#This Row],[AÇÕES]],'Dados Status Invest'!A:AB,28,0)</f>
        <v/>
      </c>
      <c r="K573" s="63">
        <f>VLOOKUP(Table_1[[#This Row],[AÇÕES]],'Dados Status Invest'!A:AA,27,0)</f>
        <v/>
      </c>
      <c r="L573" s="63">
        <f>Table_1[[#This Row],[PREÇO]]*Table_1[[#This Row],[DY]]</f>
        <v/>
      </c>
      <c r="M573" s="62">
        <f>$E$13</f>
        <v/>
      </c>
      <c r="N573" s="62" t="n">
        <v>0.3</v>
      </c>
      <c r="O573" s="62">
        <f>Table_1[[#This Row],[DPA]]/Table_1[[#This Row],[LPA]]</f>
        <v/>
      </c>
      <c r="P573" s="62">
        <f>IF(Table_1[[#This Row],[PAYOUT]]&lt;=40%,"CRESCIMENTO",IF(Table_1[[#This Row],[PAYOUT]]&lt;=60%,"INDEFINIDO","DIVIDENDOS"))</f>
        <v/>
      </c>
      <c r="Q573" s="62">
        <f>VLOOKUP(Table_1[[#This Row],[AÇÕES]],'Dados Status Invest'!A:R,18,0)/100</f>
        <v/>
      </c>
      <c r="R573" s="62">
        <f>VLOOKUP(Table_1[[#This Row],[AÇÕES]],'Dados Status Invest'!A:Y,25,0)/100</f>
        <v/>
      </c>
      <c r="S573" s="62">
        <f>(1-Table_1[[#This Row],[PAYOUT]])*Table_1[[#This Row],[ROE]]</f>
        <v/>
      </c>
      <c r="T573" s="98">
        <f>AVERAGE(Table_1[[#This Row],[CAGR LUCRO 5A]],Table_1[[#This Row],[CRESCIMENTO DAMODARAN]])</f>
        <v/>
      </c>
      <c r="U573" s="64">
        <f>(Table_1[[#This Row],[PREÇO JUSTO BAZIN]]-Table_1[[#This Row],[PREÇO]])/Table_1[[#This Row],[PREÇO JUSTO BAZIN]]</f>
        <v/>
      </c>
      <c r="V573" s="129">
        <f>Table_1[[#This Row],[DPA]]/6%</f>
        <v/>
      </c>
      <c r="W573" s="129">
        <f>Table_1[[#This Row],[PREÇO JUSTO BAZIN]]/(1+Table_1[[#This Row],[MARGEM DE DESCONTO]])</f>
        <v/>
      </c>
      <c r="X573" s="64">
        <f>(Table_1[[#This Row],[PREÇO JUSTO GRAHAM]]-Table_1[[#This Row],[PREÇO]])/Table_1[[#This Row],[PREÇO JUSTO GRAHAM]]</f>
        <v/>
      </c>
      <c r="Y573" s="129">
        <f>(22.5*Table_1[[#This Row],[LPA]]*Table_1[[#This Row],[VPA]])^0.5</f>
        <v/>
      </c>
      <c r="Z573" s="129">
        <f>Table_1[[#This Row],[PREÇO JUSTO GRAHAM]]/(1+Table_1[[#This Row],[MARGEM DE DESCONTO]])</f>
        <v/>
      </c>
      <c r="AA573" s="64">
        <f>(Table_1[[#This Row],[PREÇO JUSTO GORDON]]-Table_1[[#This Row],[PREÇO]])/Table_1[[#This Row],[PREÇO JUSTO GORDON]]</f>
        <v/>
      </c>
      <c r="AB573" s="130">
        <f>Table_1[[#This Row],[DPA]]*(1+Table_1[[#This Row],[MÉDIA DE CRESCIMENTO]])</f>
        <v/>
      </c>
      <c r="AC573" s="130">
        <f>Table_1[[#This Row],[D1]]/(Table_1[[#This Row],[RISCO]]-Table_1[[#This Row],[MÉDIA DE CRESCIMENTO]])</f>
        <v/>
      </c>
      <c r="AD573" s="130">
        <f>Table_1[[#This Row],[PREÇO JUSTO GORDON]]/(1+Table_1[[#This Row],[MARGEM DE DESCONTO]])</f>
        <v/>
      </c>
      <c r="AE573" s="78">
        <f>Table_1[[#This Row],[P/L]]/Table_1[[#This Row],[MÉDIA DE CRESCIMENTO]]</f>
        <v/>
      </c>
    </row>
    <row r="574" ht="15.75" customHeight="1">
      <c r="B574" s="77">
        <f>'Dados Status Invest'!A560</f>
        <v/>
      </c>
      <c r="C574" s="60">
        <f>VLOOKUP(Table_1[[#This Row],[AÇÕES]],'Classificação B3'!A:B,2,0)</f>
        <v/>
      </c>
      <c r="D574" s="60">
        <f>VLOOKUP(Table_1[[#This Row],[AÇÕES]],'Classificação B3'!A:D,4,0)</f>
        <v/>
      </c>
      <c r="E574" s="60">
        <f>VLOOKUP(Table_1[[#This Row],[AÇÕES]],'Classificação B3'!A:F,6,0)</f>
        <v/>
      </c>
      <c r="F574" s="60">
        <f>VLOOKUP(Table_1[[#This Row],[AÇÕES]],'Classificação B3'!A:G,7,0)</f>
        <v/>
      </c>
      <c r="G574" s="61">
        <f>VLOOKUP(Table_1[[#This Row],[AÇÕES]],'Dados Status Invest'!A:B,2,0)</f>
        <v/>
      </c>
      <c r="H574" s="62">
        <f>VLOOKUP(Table_1[[#This Row],[AÇÕES]],'Dados Status Invest'!A:C,3,0)/100</f>
        <v/>
      </c>
      <c r="I574" s="62">
        <f>VLOOKUP(Table_1[[#This Row],[AÇÕES]],'Dados Status Invest'!A:D,4,0)/100</f>
        <v/>
      </c>
      <c r="J574" s="63">
        <f>VLOOKUP(Table_1[[#This Row],[AÇÕES]],'Dados Status Invest'!A:AB,28,0)</f>
        <v/>
      </c>
      <c r="K574" s="63">
        <f>VLOOKUP(Table_1[[#This Row],[AÇÕES]],'Dados Status Invest'!A:AA,27,0)</f>
        <v/>
      </c>
      <c r="L574" s="63">
        <f>Table_1[[#This Row],[PREÇO]]*Table_1[[#This Row],[DY]]</f>
        <v/>
      </c>
      <c r="M574" s="62">
        <f>$E$13</f>
        <v/>
      </c>
      <c r="N574" s="62" t="n">
        <v>0.3</v>
      </c>
      <c r="O574" s="62">
        <f>Table_1[[#This Row],[DPA]]/Table_1[[#This Row],[LPA]]</f>
        <v/>
      </c>
      <c r="P574" s="62">
        <f>IF(Table_1[[#This Row],[PAYOUT]]&lt;=40%,"CRESCIMENTO",IF(Table_1[[#This Row],[PAYOUT]]&lt;=60%,"INDEFINIDO","DIVIDENDOS"))</f>
        <v/>
      </c>
      <c r="Q574" s="62">
        <f>VLOOKUP(Table_1[[#This Row],[AÇÕES]],'Dados Status Invest'!A:R,18,0)/100</f>
        <v/>
      </c>
      <c r="R574" s="62">
        <f>VLOOKUP(Table_1[[#This Row],[AÇÕES]],'Dados Status Invest'!A:Y,25,0)/100</f>
        <v/>
      </c>
      <c r="S574" s="62">
        <f>(1-Table_1[[#This Row],[PAYOUT]])*Table_1[[#This Row],[ROE]]</f>
        <v/>
      </c>
      <c r="T574" s="98">
        <f>AVERAGE(Table_1[[#This Row],[CAGR LUCRO 5A]],Table_1[[#This Row],[CRESCIMENTO DAMODARAN]])</f>
        <v/>
      </c>
      <c r="U574" s="64">
        <f>(Table_1[[#This Row],[PREÇO JUSTO BAZIN]]-Table_1[[#This Row],[PREÇO]])/Table_1[[#This Row],[PREÇO JUSTO BAZIN]]</f>
        <v/>
      </c>
      <c r="V574" s="129">
        <f>Table_1[[#This Row],[DPA]]/6%</f>
        <v/>
      </c>
      <c r="W574" s="129">
        <f>Table_1[[#This Row],[PREÇO JUSTO BAZIN]]/(1+Table_1[[#This Row],[MARGEM DE DESCONTO]])</f>
        <v/>
      </c>
      <c r="X574" s="64">
        <f>(Table_1[[#This Row],[PREÇO JUSTO GRAHAM]]-Table_1[[#This Row],[PREÇO]])/Table_1[[#This Row],[PREÇO JUSTO GRAHAM]]</f>
        <v/>
      </c>
      <c r="Y574" s="129">
        <f>(22.5*Table_1[[#This Row],[LPA]]*Table_1[[#This Row],[VPA]])^0.5</f>
        <v/>
      </c>
      <c r="Z574" s="129">
        <f>Table_1[[#This Row],[PREÇO JUSTO GRAHAM]]/(1+Table_1[[#This Row],[MARGEM DE DESCONTO]])</f>
        <v/>
      </c>
      <c r="AA574" s="64">
        <f>(Table_1[[#This Row],[PREÇO JUSTO GORDON]]-Table_1[[#This Row],[PREÇO]])/Table_1[[#This Row],[PREÇO JUSTO GORDON]]</f>
        <v/>
      </c>
      <c r="AB574" s="130">
        <f>Table_1[[#This Row],[DPA]]*(1+Table_1[[#This Row],[MÉDIA DE CRESCIMENTO]])</f>
        <v/>
      </c>
      <c r="AC574" s="130">
        <f>Table_1[[#This Row],[D1]]/(Table_1[[#This Row],[RISCO]]-Table_1[[#This Row],[MÉDIA DE CRESCIMENTO]])</f>
        <v/>
      </c>
      <c r="AD574" s="130">
        <f>Table_1[[#This Row],[PREÇO JUSTO GORDON]]/(1+Table_1[[#This Row],[MARGEM DE DESCONTO]])</f>
        <v/>
      </c>
      <c r="AE574" s="78">
        <f>Table_1[[#This Row],[P/L]]/Table_1[[#This Row],[MÉDIA DE CRESCIMENTO]]</f>
        <v/>
      </c>
    </row>
    <row r="575" ht="15.75" customHeight="1">
      <c r="B575" s="77">
        <f>'Dados Status Invest'!A561</f>
        <v/>
      </c>
      <c r="C575" s="60">
        <f>VLOOKUP(Table_1[[#This Row],[AÇÕES]],'Classificação B3'!A:B,2,0)</f>
        <v/>
      </c>
      <c r="D575" s="60">
        <f>VLOOKUP(Table_1[[#This Row],[AÇÕES]],'Classificação B3'!A:D,4,0)</f>
        <v/>
      </c>
      <c r="E575" s="60">
        <f>VLOOKUP(Table_1[[#This Row],[AÇÕES]],'Classificação B3'!A:F,6,0)</f>
        <v/>
      </c>
      <c r="F575" s="60">
        <f>VLOOKUP(Table_1[[#This Row],[AÇÕES]],'Classificação B3'!A:G,7,0)</f>
        <v/>
      </c>
      <c r="G575" s="61">
        <f>VLOOKUP(Table_1[[#This Row],[AÇÕES]],'Dados Status Invest'!A:B,2,0)</f>
        <v/>
      </c>
      <c r="H575" s="62">
        <f>VLOOKUP(Table_1[[#This Row],[AÇÕES]],'Dados Status Invest'!A:C,3,0)/100</f>
        <v/>
      </c>
      <c r="I575" s="62">
        <f>VLOOKUP(Table_1[[#This Row],[AÇÕES]],'Dados Status Invest'!A:D,4,0)/100</f>
        <v/>
      </c>
      <c r="J575" s="63">
        <f>VLOOKUP(Table_1[[#This Row],[AÇÕES]],'Dados Status Invest'!A:AB,28,0)</f>
        <v/>
      </c>
      <c r="K575" s="63">
        <f>VLOOKUP(Table_1[[#This Row],[AÇÕES]],'Dados Status Invest'!A:AA,27,0)</f>
        <v/>
      </c>
      <c r="L575" s="63">
        <f>Table_1[[#This Row],[PREÇO]]*Table_1[[#This Row],[DY]]</f>
        <v/>
      </c>
      <c r="M575" s="62">
        <f>$E$13</f>
        <v/>
      </c>
      <c r="N575" s="62" t="n">
        <v>0.3</v>
      </c>
      <c r="O575" s="62">
        <f>Table_1[[#This Row],[DPA]]/Table_1[[#This Row],[LPA]]</f>
        <v/>
      </c>
      <c r="P575" s="62">
        <f>IF(Table_1[[#This Row],[PAYOUT]]&lt;=40%,"CRESCIMENTO",IF(Table_1[[#This Row],[PAYOUT]]&lt;=60%,"INDEFINIDO","DIVIDENDOS"))</f>
        <v/>
      </c>
      <c r="Q575" s="62">
        <f>VLOOKUP(Table_1[[#This Row],[AÇÕES]],'Dados Status Invest'!A:R,18,0)/100</f>
        <v/>
      </c>
      <c r="R575" s="62">
        <f>VLOOKUP(Table_1[[#This Row],[AÇÕES]],'Dados Status Invest'!A:Y,25,0)/100</f>
        <v/>
      </c>
      <c r="S575" s="62">
        <f>(1-Table_1[[#This Row],[PAYOUT]])*Table_1[[#This Row],[ROE]]</f>
        <v/>
      </c>
      <c r="T575" s="98">
        <f>AVERAGE(Table_1[[#This Row],[CAGR LUCRO 5A]],Table_1[[#This Row],[CRESCIMENTO DAMODARAN]])</f>
        <v/>
      </c>
      <c r="U575" s="64">
        <f>(Table_1[[#This Row],[PREÇO JUSTO BAZIN]]-Table_1[[#This Row],[PREÇO]])/Table_1[[#This Row],[PREÇO JUSTO BAZIN]]</f>
        <v/>
      </c>
      <c r="V575" s="129">
        <f>Table_1[[#This Row],[DPA]]/6%</f>
        <v/>
      </c>
      <c r="W575" s="129">
        <f>Table_1[[#This Row],[PREÇO JUSTO BAZIN]]/(1+Table_1[[#This Row],[MARGEM DE DESCONTO]])</f>
        <v/>
      </c>
      <c r="X575" s="64">
        <f>(Table_1[[#This Row],[PREÇO JUSTO GRAHAM]]-Table_1[[#This Row],[PREÇO]])/Table_1[[#This Row],[PREÇO JUSTO GRAHAM]]</f>
        <v/>
      </c>
      <c r="Y575" s="129">
        <f>(22.5*Table_1[[#This Row],[LPA]]*Table_1[[#This Row],[VPA]])^0.5</f>
        <v/>
      </c>
      <c r="Z575" s="129">
        <f>Table_1[[#This Row],[PREÇO JUSTO GRAHAM]]/(1+Table_1[[#This Row],[MARGEM DE DESCONTO]])</f>
        <v/>
      </c>
      <c r="AA575" s="64">
        <f>(Table_1[[#This Row],[PREÇO JUSTO GORDON]]-Table_1[[#This Row],[PREÇO]])/Table_1[[#This Row],[PREÇO JUSTO GORDON]]</f>
        <v/>
      </c>
      <c r="AB575" s="130">
        <f>Table_1[[#This Row],[DPA]]*(1+Table_1[[#This Row],[MÉDIA DE CRESCIMENTO]])</f>
        <v/>
      </c>
      <c r="AC575" s="130">
        <f>Table_1[[#This Row],[D1]]/(Table_1[[#This Row],[RISCO]]-Table_1[[#This Row],[MÉDIA DE CRESCIMENTO]])</f>
        <v/>
      </c>
      <c r="AD575" s="130">
        <f>Table_1[[#This Row],[PREÇO JUSTO GORDON]]/(1+Table_1[[#This Row],[MARGEM DE DESCONTO]])</f>
        <v/>
      </c>
      <c r="AE575" s="78">
        <f>Table_1[[#This Row],[P/L]]/Table_1[[#This Row],[MÉDIA DE CRESCIMENTO]]</f>
        <v/>
      </c>
    </row>
    <row r="576" ht="15.75" customHeight="1">
      <c r="B576" s="77">
        <f>'Dados Status Invest'!A562</f>
        <v/>
      </c>
      <c r="C576" s="60">
        <f>VLOOKUP(Table_1[[#This Row],[AÇÕES]],'Classificação B3'!A:B,2,0)</f>
        <v/>
      </c>
      <c r="D576" s="60">
        <f>VLOOKUP(Table_1[[#This Row],[AÇÕES]],'Classificação B3'!A:D,4,0)</f>
        <v/>
      </c>
      <c r="E576" s="60">
        <f>VLOOKUP(Table_1[[#This Row],[AÇÕES]],'Classificação B3'!A:F,6,0)</f>
        <v/>
      </c>
      <c r="F576" s="60">
        <f>VLOOKUP(Table_1[[#This Row],[AÇÕES]],'Classificação B3'!A:G,7,0)</f>
        <v/>
      </c>
      <c r="G576" s="61">
        <f>VLOOKUP(Table_1[[#This Row],[AÇÕES]],'Dados Status Invest'!A:B,2,0)</f>
        <v/>
      </c>
      <c r="H576" s="62">
        <f>VLOOKUP(Table_1[[#This Row],[AÇÕES]],'Dados Status Invest'!A:C,3,0)/100</f>
        <v/>
      </c>
      <c r="I576" s="62">
        <f>VLOOKUP(Table_1[[#This Row],[AÇÕES]],'Dados Status Invest'!A:D,4,0)/100</f>
        <v/>
      </c>
      <c r="J576" s="63">
        <f>VLOOKUP(Table_1[[#This Row],[AÇÕES]],'Dados Status Invest'!A:AB,28,0)</f>
        <v/>
      </c>
      <c r="K576" s="63">
        <f>VLOOKUP(Table_1[[#This Row],[AÇÕES]],'Dados Status Invest'!A:AA,27,0)</f>
        <v/>
      </c>
      <c r="L576" s="63">
        <f>Table_1[[#This Row],[PREÇO]]*Table_1[[#This Row],[DY]]</f>
        <v/>
      </c>
      <c r="M576" s="62">
        <f>$E$13</f>
        <v/>
      </c>
      <c r="N576" s="62" t="n">
        <v>0.3</v>
      </c>
      <c r="O576" s="62">
        <f>Table_1[[#This Row],[DPA]]/Table_1[[#This Row],[LPA]]</f>
        <v/>
      </c>
      <c r="P576" s="62">
        <f>IF(Table_1[[#This Row],[PAYOUT]]&lt;=40%,"CRESCIMENTO",IF(Table_1[[#This Row],[PAYOUT]]&lt;=60%,"INDEFINIDO","DIVIDENDOS"))</f>
        <v/>
      </c>
      <c r="Q576" s="62">
        <f>VLOOKUP(Table_1[[#This Row],[AÇÕES]],'Dados Status Invest'!A:R,18,0)/100</f>
        <v/>
      </c>
      <c r="R576" s="62">
        <f>VLOOKUP(Table_1[[#This Row],[AÇÕES]],'Dados Status Invest'!A:Y,25,0)/100</f>
        <v/>
      </c>
      <c r="S576" s="62">
        <f>(1-Table_1[[#This Row],[PAYOUT]])*Table_1[[#This Row],[ROE]]</f>
        <v/>
      </c>
      <c r="T576" s="98">
        <f>AVERAGE(Table_1[[#This Row],[CAGR LUCRO 5A]],Table_1[[#This Row],[CRESCIMENTO DAMODARAN]])</f>
        <v/>
      </c>
      <c r="U576" s="64">
        <f>(Table_1[[#This Row],[PREÇO JUSTO BAZIN]]-Table_1[[#This Row],[PREÇO]])/Table_1[[#This Row],[PREÇO JUSTO BAZIN]]</f>
        <v/>
      </c>
      <c r="V576" s="129">
        <f>Table_1[[#This Row],[DPA]]/6%</f>
        <v/>
      </c>
      <c r="W576" s="129">
        <f>Table_1[[#This Row],[PREÇO JUSTO BAZIN]]/(1+Table_1[[#This Row],[MARGEM DE DESCONTO]])</f>
        <v/>
      </c>
      <c r="X576" s="64">
        <f>(Table_1[[#This Row],[PREÇO JUSTO GRAHAM]]-Table_1[[#This Row],[PREÇO]])/Table_1[[#This Row],[PREÇO JUSTO GRAHAM]]</f>
        <v/>
      </c>
      <c r="Y576" s="129">
        <f>(22.5*Table_1[[#This Row],[LPA]]*Table_1[[#This Row],[VPA]])^0.5</f>
        <v/>
      </c>
      <c r="Z576" s="129">
        <f>Table_1[[#This Row],[PREÇO JUSTO GRAHAM]]/(1+Table_1[[#This Row],[MARGEM DE DESCONTO]])</f>
        <v/>
      </c>
      <c r="AA576" s="64">
        <f>(Table_1[[#This Row],[PREÇO JUSTO GORDON]]-Table_1[[#This Row],[PREÇO]])/Table_1[[#This Row],[PREÇO JUSTO GORDON]]</f>
        <v/>
      </c>
      <c r="AB576" s="130">
        <f>Table_1[[#This Row],[DPA]]*(1+Table_1[[#This Row],[MÉDIA DE CRESCIMENTO]])</f>
        <v/>
      </c>
      <c r="AC576" s="130">
        <f>Table_1[[#This Row],[D1]]/(Table_1[[#This Row],[RISCO]]-Table_1[[#This Row],[MÉDIA DE CRESCIMENTO]])</f>
        <v/>
      </c>
      <c r="AD576" s="130">
        <f>Table_1[[#This Row],[PREÇO JUSTO GORDON]]/(1+Table_1[[#This Row],[MARGEM DE DESCONTO]])</f>
        <v/>
      </c>
      <c r="AE576" s="78">
        <f>Table_1[[#This Row],[P/L]]/Table_1[[#This Row],[MÉDIA DE CRESCIMENTO]]</f>
        <v/>
      </c>
    </row>
    <row r="577" ht="15.75" customHeight="1">
      <c r="B577" s="77">
        <f>'Dados Status Invest'!A563</f>
        <v/>
      </c>
      <c r="C577" s="60">
        <f>VLOOKUP(Table_1[[#This Row],[AÇÕES]],'Classificação B3'!A:B,2,0)</f>
        <v/>
      </c>
      <c r="D577" s="60">
        <f>VLOOKUP(Table_1[[#This Row],[AÇÕES]],'Classificação B3'!A:D,4,0)</f>
        <v/>
      </c>
      <c r="E577" s="60">
        <f>VLOOKUP(Table_1[[#This Row],[AÇÕES]],'Classificação B3'!A:F,6,0)</f>
        <v/>
      </c>
      <c r="F577" s="60">
        <f>VLOOKUP(Table_1[[#This Row],[AÇÕES]],'Classificação B3'!A:G,7,0)</f>
        <v/>
      </c>
      <c r="G577" s="61">
        <f>VLOOKUP(Table_1[[#This Row],[AÇÕES]],'Dados Status Invest'!A:B,2,0)</f>
        <v/>
      </c>
      <c r="H577" s="62">
        <f>VLOOKUP(Table_1[[#This Row],[AÇÕES]],'Dados Status Invest'!A:C,3,0)/100</f>
        <v/>
      </c>
      <c r="I577" s="62">
        <f>VLOOKUP(Table_1[[#This Row],[AÇÕES]],'Dados Status Invest'!A:D,4,0)/100</f>
        <v/>
      </c>
      <c r="J577" s="63">
        <f>VLOOKUP(Table_1[[#This Row],[AÇÕES]],'Dados Status Invest'!A:AB,28,0)</f>
        <v/>
      </c>
      <c r="K577" s="63">
        <f>VLOOKUP(Table_1[[#This Row],[AÇÕES]],'Dados Status Invest'!A:AA,27,0)</f>
        <v/>
      </c>
      <c r="L577" s="63">
        <f>Table_1[[#This Row],[PREÇO]]*Table_1[[#This Row],[DY]]</f>
        <v/>
      </c>
      <c r="M577" s="62">
        <f>$E$13</f>
        <v/>
      </c>
      <c r="N577" s="62" t="n">
        <v>0.3</v>
      </c>
      <c r="O577" s="62">
        <f>Table_1[[#This Row],[DPA]]/Table_1[[#This Row],[LPA]]</f>
        <v/>
      </c>
      <c r="P577" s="62">
        <f>IF(Table_1[[#This Row],[PAYOUT]]&lt;=40%,"CRESCIMENTO",IF(Table_1[[#This Row],[PAYOUT]]&lt;=60%,"INDEFINIDO","DIVIDENDOS"))</f>
        <v/>
      </c>
      <c r="Q577" s="62">
        <f>VLOOKUP(Table_1[[#This Row],[AÇÕES]],'Dados Status Invest'!A:R,18,0)/100</f>
        <v/>
      </c>
      <c r="R577" s="62">
        <f>VLOOKUP(Table_1[[#This Row],[AÇÕES]],'Dados Status Invest'!A:Y,25,0)/100</f>
        <v/>
      </c>
      <c r="S577" s="62">
        <f>(1-Table_1[[#This Row],[PAYOUT]])*Table_1[[#This Row],[ROE]]</f>
        <v/>
      </c>
      <c r="T577" s="98">
        <f>AVERAGE(Table_1[[#This Row],[CAGR LUCRO 5A]],Table_1[[#This Row],[CRESCIMENTO DAMODARAN]])</f>
        <v/>
      </c>
      <c r="U577" s="64">
        <f>(Table_1[[#This Row],[PREÇO JUSTO BAZIN]]-Table_1[[#This Row],[PREÇO]])/Table_1[[#This Row],[PREÇO JUSTO BAZIN]]</f>
        <v/>
      </c>
      <c r="V577" s="129">
        <f>Table_1[[#This Row],[DPA]]/6%</f>
        <v/>
      </c>
      <c r="W577" s="129">
        <f>Table_1[[#This Row],[PREÇO JUSTO BAZIN]]/(1+Table_1[[#This Row],[MARGEM DE DESCONTO]])</f>
        <v/>
      </c>
      <c r="X577" s="64">
        <f>(Table_1[[#This Row],[PREÇO JUSTO GRAHAM]]-Table_1[[#This Row],[PREÇO]])/Table_1[[#This Row],[PREÇO JUSTO GRAHAM]]</f>
        <v/>
      </c>
      <c r="Y577" s="129">
        <f>(22.5*Table_1[[#This Row],[LPA]]*Table_1[[#This Row],[VPA]])^0.5</f>
        <v/>
      </c>
      <c r="Z577" s="129">
        <f>Table_1[[#This Row],[PREÇO JUSTO GRAHAM]]/(1+Table_1[[#This Row],[MARGEM DE DESCONTO]])</f>
        <v/>
      </c>
      <c r="AA577" s="64">
        <f>(Table_1[[#This Row],[PREÇO JUSTO GORDON]]-Table_1[[#This Row],[PREÇO]])/Table_1[[#This Row],[PREÇO JUSTO GORDON]]</f>
        <v/>
      </c>
      <c r="AB577" s="130">
        <f>Table_1[[#This Row],[DPA]]*(1+Table_1[[#This Row],[MÉDIA DE CRESCIMENTO]])</f>
        <v/>
      </c>
      <c r="AC577" s="130">
        <f>Table_1[[#This Row],[D1]]/(Table_1[[#This Row],[RISCO]]-Table_1[[#This Row],[MÉDIA DE CRESCIMENTO]])</f>
        <v/>
      </c>
      <c r="AD577" s="130">
        <f>Table_1[[#This Row],[PREÇO JUSTO GORDON]]/(1+Table_1[[#This Row],[MARGEM DE DESCONTO]])</f>
        <v/>
      </c>
      <c r="AE577" s="78">
        <f>Table_1[[#This Row],[P/L]]/Table_1[[#This Row],[MÉDIA DE CRESCIMENTO]]</f>
        <v/>
      </c>
    </row>
    <row r="578" ht="15.75" customHeight="1">
      <c r="B578" s="77">
        <f>'Dados Status Invest'!A564</f>
        <v/>
      </c>
      <c r="C578" s="60">
        <f>VLOOKUP(Table_1[[#This Row],[AÇÕES]],'Classificação B3'!A:B,2,0)</f>
        <v/>
      </c>
      <c r="D578" s="60">
        <f>VLOOKUP(Table_1[[#This Row],[AÇÕES]],'Classificação B3'!A:D,4,0)</f>
        <v/>
      </c>
      <c r="E578" s="60">
        <f>VLOOKUP(Table_1[[#This Row],[AÇÕES]],'Classificação B3'!A:F,6,0)</f>
        <v/>
      </c>
      <c r="F578" s="60">
        <f>VLOOKUP(Table_1[[#This Row],[AÇÕES]],'Classificação B3'!A:G,7,0)</f>
        <v/>
      </c>
      <c r="G578" s="61">
        <f>VLOOKUP(Table_1[[#This Row],[AÇÕES]],'Dados Status Invest'!A:B,2,0)</f>
        <v/>
      </c>
      <c r="H578" s="62">
        <f>VLOOKUP(Table_1[[#This Row],[AÇÕES]],'Dados Status Invest'!A:C,3,0)/100</f>
        <v/>
      </c>
      <c r="I578" s="62">
        <f>VLOOKUP(Table_1[[#This Row],[AÇÕES]],'Dados Status Invest'!A:D,4,0)/100</f>
        <v/>
      </c>
      <c r="J578" s="63">
        <f>VLOOKUP(Table_1[[#This Row],[AÇÕES]],'Dados Status Invest'!A:AB,28,0)</f>
        <v/>
      </c>
      <c r="K578" s="63">
        <f>VLOOKUP(Table_1[[#This Row],[AÇÕES]],'Dados Status Invest'!A:AA,27,0)</f>
        <v/>
      </c>
      <c r="L578" s="63">
        <f>Table_1[[#This Row],[PREÇO]]*Table_1[[#This Row],[DY]]</f>
        <v/>
      </c>
      <c r="M578" s="62">
        <f>$E$13</f>
        <v/>
      </c>
      <c r="N578" s="62" t="n">
        <v>0.3</v>
      </c>
      <c r="O578" s="62">
        <f>Table_1[[#This Row],[DPA]]/Table_1[[#This Row],[LPA]]</f>
        <v/>
      </c>
      <c r="P578" s="62">
        <f>IF(Table_1[[#This Row],[PAYOUT]]&lt;=40%,"CRESCIMENTO",IF(Table_1[[#This Row],[PAYOUT]]&lt;=60%,"INDEFINIDO","DIVIDENDOS"))</f>
        <v/>
      </c>
      <c r="Q578" s="62">
        <f>VLOOKUP(Table_1[[#This Row],[AÇÕES]],'Dados Status Invest'!A:R,18,0)/100</f>
        <v/>
      </c>
      <c r="R578" s="62">
        <f>VLOOKUP(Table_1[[#This Row],[AÇÕES]],'Dados Status Invest'!A:Y,25,0)/100</f>
        <v/>
      </c>
      <c r="S578" s="62">
        <f>(1-Table_1[[#This Row],[PAYOUT]])*Table_1[[#This Row],[ROE]]</f>
        <v/>
      </c>
      <c r="T578" s="98">
        <f>AVERAGE(Table_1[[#This Row],[CAGR LUCRO 5A]],Table_1[[#This Row],[CRESCIMENTO DAMODARAN]])</f>
        <v/>
      </c>
      <c r="U578" s="64">
        <f>(Table_1[[#This Row],[PREÇO JUSTO BAZIN]]-Table_1[[#This Row],[PREÇO]])/Table_1[[#This Row],[PREÇO JUSTO BAZIN]]</f>
        <v/>
      </c>
      <c r="V578" s="129">
        <f>Table_1[[#This Row],[DPA]]/6%</f>
        <v/>
      </c>
      <c r="W578" s="129">
        <f>Table_1[[#This Row],[PREÇO JUSTO BAZIN]]/(1+Table_1[[#This Row],[MARGEM DE DESCONTO]])</f>
        <v/>
      </c>
      <c r="X578" s="64">
        <f>(Table_1[[#This Row],[PREÇO JUSTO GRAHAM]]-Table_1[[#This Row],[PREÇO]])/Table_1[[#This Row],[PREÇO JUSTO GRAHAM]]</f>
        <v/>
      </c>
      <c r="Y578" s="129">
        <f>(22.5*Table_1[[#This Row],[LPA]]*Table_1[[#This Row],[VPA]])^0.5</f>
        <v/>
      </c>
      <c r="Z578" s="129">
        <f>Table_1[[#This Row],[PREÇO JUSTO GRAHAM]]/(1+Table_1[[#This Row],[MARGEM DE DESCONTO]])</f>
        <v/>
      </c>
      <c r="AA578" s="64">
        <f>(Table_1[[#This Row],[PREÇO JUSTO GORDON]]-Table_1[[#This Row],[PREÇO]])/Table_1[[#This Row],[PREÇO JUSTO GORDON]]</f>
        <v/>
      </c>
      <c r="AB578" s="130">
        <f>Table_1[[#This Row],[DPA]]*(1+Table_1[[#This Row],[MÉDIA DE CRESCIMENTO]])</f>
        <v/>
      </c>
      <c r="AC578" s="130">
        <f>Table_1[[#This Row],[D1]]/(Table_1[[#This Row],[RISCO]]-Table_1[[#This Row],[MÉDIA DE CRESCIMENTO]])</f>
        <v/>
      </c>
      <c r="AD578" s="130">
        <f>Table_1[[#This Row],[PREÇO JUSTO GORDON]]/(1+Table_1[[#This Row],[MARGEM DE DESCONTO]])</f>
        <v/>
      </c>
      <c r="AE578" s="78">
        <f>Table_1[[#This Row],[P/L]]/Table_1[[#This Row],[MÉDIA DE CRESCIMENTO]]</f>
        <v/>
      </c>
    </row>
    <row r="579" ht="15.75" customHeight="1">
      <c r="B579" s="77">
        <f>'Dados Status Invest'!A565</f>
        <v/>
      </c>
      <c r="C579" s="60">
        <f>VLOOKUP(Table_1[[#This Row],[AÇÕES]],'Classificação B3'!A:B,2,0)</f>
        <v/>
      </c>
      <c r="D579" s="60">
        <f>VLOOKUP(Table_1[[#This Row],[AÇÕES]],'Classificação B3'!A:D,4,0)</f>
        <v/>
      </c>
      <c r="E579" s="60">
        <f>VLOOKUP(Table_1[[#This Row],[AÇÕES]],'Classificação B3'!A:F,6,0)</f>
        <v/>
      </c>
      <c r="F579" s="60">
        <f>VLOOKUP(Table_1[[#This Row],[AÇÕES]],'Classificação B3'!A:G,7,0)</f>
        <v/>
      </c>
      <c r="G579" s="61">
        <f>VLOOKUP(Table_1[[#This Row],[AÇÕES]],'Dados Status Invest'!A:B,2,0)</f>
        <v/>
      </c>
      <c r="H579" s="62">
        <f>VLOOKUP(Table_1[[#This Row],[AÇÕES]],'Dados Status Invest'!A:C,3,0)/100</f>
        <v/>
      </c>
      <c r="I579" s="62">
        <f>VLOOKUP(Table_1[[#This Row],[AÇÕES]],'Dados Status Invest'!A:D,4,0)/100</f>
        <v/>
      </c>
      <c r="J579" s="63">
        <f>VLOOKUP(Table_1[[#This Row],[AÇÕES]],'Dados Status Invest'!A:AB,28,0)</f>
        <v/>
      </c>
      <c r="K579" s="63">
        <f>VLOOKUP(Table_1[[#This Row],[AÇÕES]],'Dados Status Invest'!A:AA,27,0)</f>
        <v/>
      </c>
      <c r="L579" s="63">
        <f>Table_1[[#This Row],[PREÇO]]*Table_1[[#This Row],[DY]]</f>
        <v/>
      </c>
      <c r="M579" s="62">
        <f>$E$13</f>
        <v/>
      </c>
      <c r="N579" s="62" t="n">
        <v>0.3</v>
      </c>
      <c r="O579" s="62">
        <f>Table_1[[#This Row],[DPA]]/Table_1[[#This Row],[LPA]]</f>
        <v/>
      </c>
      <c r="P579" s="62">
        <f>IF(Table_1[[#This Row],[PAYOUT]]&lt;=40%,"CRESCIMENTO",IF(Table_1[[#This Row],[PAYOUT]]&lt;=60%,"INDEFINIDO","DIVIDENDOS"))</f>
        <v/>
      </c>
      <c r="Q579" s="62">
        <f>VLOOKUP(Table_1[[#This Row],[AÇÕES]],'Dados Status Invest'!A:R,18,0)/100</f>
        <v/>
      </c>
      <c r="R579" s="62">
        <f>VLOOKUP(Table_1[[#This Row],[AÇÕES]],'Dados Status Invest'!A:Y,25,0)/100</f>
        <v/>
      </c>
      <c r="S579" s="62">
        <f>(1-Table_1[[#This Row],[PAYOUT]])*Table_1[[#This Row],[ROE]]</f>
        <v/>
      </c>
      <c r="T579" s="98">
        <f>AVERAGE(Table_1[[#This Row],[CAGR LUCRO 5A]],Table_1[[#This Row],[CRESCIMENTO DAMODARAN]])</f>
        <v/>
      </c>
      <c r="U579" s="64">
        <f>(Table_1[[#This Row],[PREÇO JUSTO BAZIN]]-Table_1[[#This Row],[PREÇO]])/Table_1[[#This Row],[PREÇO JUSTO BAZIN]]</f>
        <v/>
      </c>
      <c r="V579" s="129">
        <f>Table_1[[#This Row],[DPA]]/6%</f>
        <v/>
      </c>
      <c r="W579" s="129">
        <f>Table_1[[#This Row],[PREÇO JUSTO BAZIN]]/(1+Table_1[[#This Row],[MARGEM DE DESCONTO]])</f>
        <v/>
      </c>
      <c r="X579" s="64">
        <f>(Table_1[[#This Row],[PREÇO JUSTO GRAHAM]]-Table_1[[#This Row],[PREÇO]])/Table_1[[#This Row],[PREÇO JUSTO GRAHAM]]</f>
        <v/>
      </c>
      <c r="Y579" s="129">
        <f>(22.5*Table_1[[#This Row],[LPA]]*Table_1[[#This Row],[VPA]])^0.5</f>
        <v/>
      </c>
      <c r="Z579" s="129">
        <f>Table_1[[#This Row],[PREÇO JUSTO GRAHAM]]/(1+Table_1[[#This Row],[MARGEM DE DESCONTO]])</f>
        <v/>
      </c>
      <c r="AA579" s="64">
        <f>(Table_1[[#This Row],[PREÇO JUSTO GORDON]]-Table_1[[#This Row],[PREÇO]])/Table_1[[#This Row],[PREÇO JUSTO GORDON]]</f>
        <v/>
      </c>
      <c r="AB579" s="130">
        <f>Table_1[[#This Row],[DPA]]*(1+Table_1[[#This Row],[MÉDIA DE CRESCIMENTO]])</f>
        <v/>
      </c>
      <c r="AC579" s="130">
        <f>Table_1[[#This Row],[D1]]/(Table_1[[#This Row],[RISCO]]-Table_1[[#This Row],[MÉDIA DE CRESCIMENTO]])</f>
        <v/>
      </c>
      <c r="AD579" s="130">
        <f>Table_1[[#This Row],[PREÇO JUSTO GORDON]]/(1+Table_1[[#This Row],[MARGEM DE DESCONTO]])</f>
        <v/>
      </c>
      <c r="AE579" s="78">
        <f>Table_1[[#This Row],[P/L]]/Table_1[[#This Row],[MÉDIA DE CRESCIMENTO]]</f>
        <v/>
      </c>
    </row>
    <row r="580" ht="15.75" customHeight="1">
      <c r="B580" s="77">
        <f>'Dados Status Invest'!A566</f>
        <v/>
      </c>
      <c r="C580" s="60">
        <f>VLOOKUP(Table_1[[#This Row],[AÇÕES]],'Classificação B3'!A:B,2,0)</f>
        <v/>
      </c>
      <c r="D580" s="60">
        <f>VLOOKUP(Table_1[[#This Row],[AÇÕES]],'Classificação B3'!A:D,4,0)</f>
        <v/>
      </c>
      <c r="E580" s="60">
        <f>VLOOKUP(Table_1[[#This Row],[AÇÕES]],'Classificação B3'!A:F,6,0)</f>
        <v/>
      </c>
      <c r="F580" s="60">
        <f>VLOOKUP(Table_1[[#This Row],[AÇÕES]],'Classificação B3'!A:G,7,0)</f>
        <v/>
      </c>
      <c r="G580" s="61">
        <f>VLOOKUP(Table_1[[#This Row],[AÇÕES]],'Dados Status Invest'!A:B,2,0)</f>
        <v/>
      </c>
      <c r="H580" s="62">
        <f>VLOOKUP(Table_1[[#This Row],[AÇÕES]],'Dados Status Invest'!A:C,3,0)/100</f>
        <v/>
      </c>
      <c r="I580" s="62">
        <f>VLOOKUP(Table_1[[#This Row],[AÇÕES]],'Dados Status Invest'!A:D,4,0)/100</f>
        <v/>
      </c>
      <c r="J580" s="63">
        <f>VLOOKUP(Table_1[[#This Row],[AÇÕES]],'Dados Status Invest'!A:AB,28,0)</f>
        <v/>
      </c>
      <c r="K580" s="63">
        <f>VLOOKUP(Table_1[[#This Row],[AÇÕES]],'Dados Status Invest'!A:AA,27,0)</f>
        <v/>
      </c>
      <c r="L580" s="63">
        <f>Table_1[[#This Row],[PREÇO]]*Table_1[[#This Row],[DY]]</f>
        <v/>
      </c>
      <c r="M580" s="62">
        <f>$E$13</f>
        <v/>
      </c>
      <c r="N580" s="62" t="n">
        <v>0.3</v>
      </c>
      <c r="O580" s="62">
        <f>Table_1[[#This Row],[DPA]]/Table_1[[#This Row],[LPA]]</f>
        <v/>
      </c>
      <c r="P580" s="62">
        <f>IF(Table_1[[#This Row],[PAYOUT]]&lt;=40%,"CRESCIMENTO",IF(Table_1[[#This Row],[PAYOUT]]&lt;=60%,"INDEFINIDO","DIVIDENDOS"))</f>
        <v/>
      </c>
      <c r="Q580" s="62">
        <f>VLOOKUP(Table_1[[#This Row],[AÇÕES]],'Dados Status Invest'!A:R,18,0)/100</f>
        <v/>
      </c>
      <c r="R580" s="62">
        <f>VLOOKUP(Table_1[[#This Row],[AÇÕES]],'Dados Status Invest'!A:Y,25,0)/100</f>
        <v/>
      </c>
      <c r="S580" s="62">
        <f>(1-Table_1[[#This Row],[PAYOUT]])*Table_1[[#This Row],[ROE]]</f>
        <v/>
      </c>
      <c r="T580" s="98">
        <f>AVERAGE(Table_1[[#This Row],[CAGR LUCRO 5A]],Table_1[[#This Row],[CRESCIMENTO DAMODARAN]])</f>
        <v/>
      </c>
      <c r="U580" s="64">
        <f>(Table_1[[#This Row],[PREÇO JUSTO BAZIN]]-Table_1[[#This Row],[PREÇO]])/Table_1[[#This Row],[PREÇO JUSTO BAZIN]]</f>
        <v/>
      </c>
      <c r="V580" s="129">
        <f>Table_1[[#This Row],[DPA]]/6%</f>
        <v/>
      </c>
      <c r="W580" s="129">
        <f>Table_1[[#This Row],[PREÇO JUSTO BAZIN]]/(1+Table_1[[#This Row],[MARGEM DE DESCONTO]])</f>
        <v/>
      </c>
      <c r="X580" s="64">
        <f>(Table_1[[#This Row],[PREÇO JUSTO GRAHAM]]-Table_1[[#This Row],[PREÇO]])/Table_1[[#This Row],[PREÇO JUSTO GRAHAM]]</f>
        <v/>
      </c>
      <c r="Y580" s="129">
        <f>(22.5*Table_1[[#This Row],[LPA]]*Table_1[[#This Row],[VPA]])^0.5</f>
        <v/>
      </c>
      <c r="Z580" s="129">
        <f>Table_1[[#This Row],[PREÇO JUSTO GRAHAM]]/(1+Table_1[[#This Row],[MARGEM DE DESCONTO]])</f>
        <v/>
      </c>
      <c r="AA580" s="64">
        <f>(Table_1[[#This Row],[PREÇO JUSTO GORDON]]-Table_1[[#This Row],[PREÇO]])/Table_1[[#This Row],[PREÇO JUSTO GORDON]]</f>
        <v/>
      </c>
      <c r="AB580" s="130">
        <f>Table_1[[#This Row],[DPA]]*(1+Table_1[[#This Row],[MÉDIA DE CRESCIMENTO]])</f>
        <v/>
      </c>
      <c r="AC580" s="130">
        <f>Table_1[[#This Row],[D1]]/(Table_1[[#This Row],[RISCO]]-Table_1[[#This Row],[MÉDIA DE CRESCIMENTO]])</f>
        <v/>
      </c>
      <c r="AD580" s="130">
        <f>Table_1[[#This Row],[PREÇO JUSTO GORDON]]/(1+Table_1[[#This Row],[MARGEM DE DESCONTO]])</f>
        <v/>
      </c>
      <c r="AE580" s="78">
        <f>Table_1[[#This Row],[P/L]]/Table_1[[#This Row],[MÉDIA DE CRESCIMENTO]]</f>
        <v/>
      </c>
    </row>
    <row r="581" ht="15.75" customHeight="1">
      <c r="B581" s="77">
        <f>'Dados Status Invest'!A567</f>
        <v/>
      </c>
      <c r="C581" s="60">
        <f>VLOOKUP(Table_1[[#This Row],[AÇÕES]],'Classificação B3'!A:B,2,0)</f>
        <v/>
      </c>
      <c r="D581" s="60">
        <f>VLOOKUP(Table_1[[#This Row],[AÇÕES]],'Classificação B3'!A:D,4,0)</f>
        <v/>
      </c>
      <c r="E581" s="60">
        <f>VLOOKUP(Table_1[[#This Row],[AÇÕES]],'Classificação B3'!A:F,6,0)</f>
        <v/>
      </c>
      <c r="F581" s="60">
        <f>VLOOKUP(Table_1[[#This Row],[AÇÕES]],'Classificação B3'!A:G,7,0)</f>
        <v/>
      </c>
      <c r="G581" s="61">
        <f>VLOOKUP(Table_1[[#This Row],[AÇÕES]],'Dados Status Invest'!A:B,2,0)</f>
        <v/>
      </c>
      <c r="H581" s="62">
        <f>VLOOKUP(Table_1[[#This Row],[AÇÕES]],'Dados Status Invest'!A:C,3,0)/100</f>
        <v/>
      </c>
      <c r="I581" s="62">
        <f>VLOOKUP(Table_1[[#This Row],[AÇÕES]],'Dados Status Invest'!A:D,4,0)/100</f>
        <v/>
      </c>
      <c r="J581" s="63">
        <f>VLOOKUP(Table_1[[#This Row],[AÇÕES]],'Dados Status Invest'!A:AB,28,0)</f>
        <v/>
      </c>
      <c r="K581" s="63">
        <f>VLOOKUP(Table_1[[#This Row],[AÇÕES]],'Dados Status Invest'!A:AA,27,0)</f>
        <v/>
      </c>
      <c r="L581" s="63">
        <f>Table_1[[#This Row],[PREÇO]]*Table_1[[#This Row],[DY]]</f>
        <v/>
      </c>
      <c r="M581" s="62">
        <f>$E$13</f>
        <v/>
      </c>
      <c r="N581" s="62" t="n">
        <v>0.3</v>
      </c>
      <c r="O581" s="62">
        <f>Table_1[[#This Row],[DPA]]/Table_1[[#This Row],[LPA]]</f>
        <v/>
      </c>
      <c r="P581" s="62">
        <f>IF(Table_1[[#This Row],[PAYOUT]]&lt;=40%,"CRESCIMENTO",IF(Table_1[[#This Row],[PAYOUT]]&lt;=60%,"INDEFINIDO","DIVIDENDOS"))</f>
        <v/>
      </c>
      <c r="Q581" s="62">
        <f>VLOOKUP(Table_1[[#This Row],[AÇÕES]],'Dados Status Invest'!A:R,18,0)/100</f>
        <v/>
      </c>
      <c r="R581" s="62">
        <f>VLOOKUP(Table_1[[#This Row],[AÇÕES]],'Dados Status Invest'!A:Y,25,0)/100</f>
        <v/>
      </c>
      <c r="S581" s="62">
        <f>(1-Table_1[[#This Row],[PAYOUT]])*Table_1[[#This Row],[ROE]]</f>
        <v/>
      </c>
      <c r="T581" s="98">
        <f>AVERAGE(Table_1[[#This Row],[CAGR LUCRO 5A]],Table_1[[#This Row],[CRESCIMENTO DAMODARAN]])</f>
        <v/>
      </c>
      <c r="U581" s="64">
        <f>(Table_1[[#This Row],[PREÇO JUSTO BAZIN]]-Table_1[[#This Row],[PREÇO]])/Table_1[[#This Row],[PREÇO JUSTO BAZIN]]</f>
        <v/>
      </c>
      <c r="V581" s="129">
        <f>Table_1[[#This Row],[DPA]]/6%</f>
        <v/>
      </c>
      <c r="W581" s="129">
        <f>Table_1[[#This Row],[PREÇO JUSTO BAZIN]]/(1+Table_1[[#This Row],[MARGEM DE DESCONTO]])</f>
        <v/>
      </c>
      <c r="X581" s="64">
        <f>(Table_1[[#This Row],[PREÇO JUSTO GRAHAM]]-Table_1[[#This Row],[PREÇO]])/Table_1[[#This Row],[PREÇO JUSTO GRAHAM]]</f>
        <v/>
      </c>
      <c r="Y581" s="129">
        <f>(22.5*Table_1[[#This Row],[LPA]]*Table_1[[#This Row],[VPA]])^0.5</f>
        <v/>
      </c>
      <c r="Z581" s="129">
        <f>Table_1[[#This Row],[PREÇO JUSTO GRAHAM]]/(1+Table_1[[#This Row],[MARGEM DE DESCONTO]])</f>
        <v/>
      </c>
      <c r="AA581" s="64">
        <f>(Table_1[[#This Row],[PREÇO JUSTO GORDON]]-Table_1[[#This Row],[PREÇO]])/Table_1[[#This Row],[PREÇO JUSTO GORDON]]</f>
        <v/>
      </c>
      <c r="AB581" s="130">
        <f>Table_1[[#This Row],[DPA]]*(1+Table_1[[#This Row],[MÉDIA DE CRESCIMENTO]])</f>
        <v/>
      </c>
      <c r="AC581" s="130">
        <f>Table_1[[#This Row],[D1]]/(Table_1[[#This Row],[RISCO]]-Table_1[[#This Row],[MÉDIA DE CRESCIMENTO]])</f>
        <v/>
      </c>
      <c r="AD581" s="130">
        <f>Table_1[[#This Row],[PREÇO JUSTO GORDON]]/(1+Table_1[[#This Row],[MARGEM DE DESCONTO]])</f>
        <v/>
      </c>
      <c r="AE581" s="78">
        <f>Table_1[[#This Row],[P/L]]/Table_1[[#This Row],[MÉDIA DE CRESCIMENTO]]</f>
        <v/>
      </c>
    </row>
    <row r="582" ht="15.75" customHeight="1">
      <c r="B582" s="77">
        <f>'Dados Status Invest'!A568</f>
        <v/>
      </c>
      <c r="C582" s="60">
        <f>VLOOKUP(Table_1[[#This Row],[AÇÕES]],'Classificação B3'!A:B,2,0)</f>
        <v/>
      </c>
      <c r="D582" s="60">
        <f>VLOOKUP(Table_1[[#This Row],[AÇÕES]],'Classificação B3'!A:D,4,0)</f>
        <v/>
      </c>
      <c r="E582" s="60">
        <f>VLOOKUP(Table_1[[#This Row],[AÇÕES]],'Classificação B3'!A:F,6,0)</f>
        <v/>
      </c>
      <c r="F582" s="60">
        <f>VLOOKUP(Table_1[[#This Row],[AÇÕES]],'Classificação B3'!A:G,7,0)</f>
        <v/>
      </c>
      <c r="G582" s="61">
        <f>VLOOKUP(Table_1[[#This Row],[AÇÕES]],'Dados Status Invest'!A:B,2,0)</f>
        <v/>
      </c>
      <c r="H582" s="62">
        <f>VLOOKUP(Table_1[[#This Row],[AÇÕES]],'Dados Status Invest'!A:C,3,0)/100</f>
        <v/>
      </c>
      <c r="I582" s="62">
        <f>VLOOKUP(Table_1[[#This Row],[AÇÕES]],'Dados Status Invest'!A:D,4,0)/100</f>
        <v/>
      </c>
      <c r="J582" s="63">
        <f>VLOOKUP(Table_1[[#This Row],[AÇÕES]],'Dados Status Invest'!A:AB,28,0)</f>
        <v/>
      </c>
      <c r="K582" s="63">
        <f>VLOOKUP(Table_1[[#This Row],[AÇÕES]],'Dados Status Invest'!A:AA,27,0)</f>
        <v/>
      </c>
      <c r="L582" s="63">
        <f>Table_1[[#This Row],[PREÇO]]*Table_1[[#This Row],[DY]]</f>
        <v/>
      </c>
      <c r="M582" s="62">
        <f>$E$13</f>
        <v/>
      </c>
      <c r="N582" s="62" t="n">
        <v>0.3</v>
      </c>
      <c r="O582" s="62">
        <f>Table_1[[#This Row],[DPA]]/Table_1[[#This Row],[LPA]]</f>
        <v/>
      </c>
      <c r="P582" s="62">
        <f>IF(Table_1[[#This Row],[PAYOUT]]&lt;=40%,"CRESCIMENTO",IF(Table_1[[#This Row],[PAYOUT]]&lt;=60%,"INDEFINIDO","DIVIDENDOS"))</f>
        <v/>
      </c>
      <c r="Q582" s="62">
        <f>VLOOKUP(Table_1[[#This Row],[AÇÕES]],'Dados Status Invest'!A:R,18,0)/100</f>
        <v/>
      </c>
      <c r="R582" s="62">
        <f>VLOOKUP(Table_1[[#This Row],[AÇÕES]],'Dados Status Invest'!A:Y,25,0)/100</f>
        <v/>
      </c>
      <c r="S582" s="62">
        <f>(1-Table_1[[#This Row],[PAYOUT]])*Table_1[[#This Row],[ROE]]</f>
        <v/>
      </c>
      <c r="T582" s="98">
        <f>AVERAGE(Table_1[[#This Row],[CAGR LUCRO 5A]],Table_1[[#This Row],[CRESCIMENTO DAMODARAN]])</f>
        <v/>
      </c>
      <c r="U582" s="64">
        <f>(Table_1[[#This Row],[PREÇO JUSTO BAZIN]]-Table_1[[#This Row],[PREÇO]])/Table_1[[#This Row],[PREÇO JUSTO BAZIN]]</f>
        <v/>
      </c>
      <c r="V582" s="129">
        <f>Table_1[[#This Row],[DPA]]/6%</f>
        <v/>
      </c>
      <c r="W582" s="129">
        <f>Table_1[[#This Row],[PREÇO JUSTO BAZIN]]/(1+Table_1[[#This Row],[MARGEM DE DESCONTO]])</f>
        <v/>
      </c>
      <c r="X582" s="64">
        <f>(Table_1[[#This Row],[PREÇO JUSTO GRAHAM]]-Table_1[[#This Row],[PREÇO]])/Table_1[[#This Row],[PREÇO JUSTO GRAHAM]]</f>
        <v/>
      </c>
      <c r="Y582" s="129">
        <f>(22.5*Table_1[[#This Row],[LPA]]*Table_1[[#This Row],[VPA]])^0.5</f>
        <v/>
      </c>
      <c r="Z582" s="129">
        <f>Table_1[[#This Row],[PREÇO JUSTO GRAHAM]]/(1+Table_1[[#This Row],[MARGEM DE DESCONTO]])</f>
        <v/>
      </c>
      <c r="AA582" s="64">
        <f>(Table_1[[#This Row],[PREÇO JUSTO GORDON]]-Table_1[[#This Row],[PREÇO]])/Table_1[[#This Row],[PREÇO JUSTO GORDON]]</f>
        <v/>
      </c>
      <c r="AB582" s="130">
        <f>Table_1[[#This Row],[DPA]]*(1+Table_1[[#This Row],[MÉDIA DE CRESCIMENTO]])</f>
        <v/>
      </c>
      <c r="AC582" s="130">
        <f>Table_1[[#This Row],[D1]]/(Table_1[[#This Row],[RISCO]]-Table_1[[#This Row],[MÉDIA DE CRESCIMENTO]])</f>
        <v/>
      </c>
      <c r="AD582" s="130">
        <f>Table_1[[#This Row],[PREÇO JUSTO GORDON]]/(1+Table_1[[#This Row],[MARGEM DE DESCONTO]])</f>
        <v/>
      </c>
      <c r="AE582" s="78">
        <f>Table_1[[#This Row],[P/L]]/Table_1[[#This Row],[MÉDIA DE CRESCIMENTO]]</f>
        <v/>
      </c>
    </row>
    <row r="583" ht="15.75" customHeight="1">
      <c r="B583" s="77">
        <f>'Dados Status Invest'!A569</f>
        <v/>
      </c>
      <c r="C583" s="60">
        <f>VLOOKUP(Table_1[[#This Row],[AÇÕES]],'Classificação B3'!A:B,2,0)</f>
        <v/>
      </c>
      <c r="D583" s="60">
        <f>VLOOKUP(Table_1[[#This Row],[AÇÕES]],'Classificação B3'!A:D,4,0)</f>
        <v/>
      </c>
      <c r="E583" s="60">
        <f>VLOOKUP(Table_1[[#This Row],[AÇÕES]],'Classificação B3'!A:F,6,0)</f>
        <v/>
      </c>
      <c r="F583" s="60">
        <f>VLOOKUP(Table_1[[#This Row],[AÇÕES]],'Classificação B3'!A:G,7,0)</f>
        <v/>
      </c>
      <c r="G583" s="61">
        <f>VLOOKUP(Table_1[[#This Row],[AÇÕES]],'Dados Status Invest'!A:B,2,0)</f>
        <v/>
      </c>
      <c r="H583" s="62">
        <f>VLOOKUP(Table_1[[#This Row],[AÇÕES]],'Dados Status Invest'!A:C,3,0)/100</f>
        <v/>
      </c>
      <c r="I583" s="62">
        <f>VLOOKUP(Table_1[[#This Row],[AÇÕES]],'Dados Status Invest'!A:D,4,0)/100</f>
        <v/>
      </c>
      <c r="J583" s="63">
        <f>VLOOKUP(Table_1[[#This Row],[AÇÕES]],'Dados Status Invest'!A:AB,28,0)</f>
        <v/>
      </c>
      <c r="K583" s="63">
        <f>VLOOKUP(Table_1[[#This Row],[AÇÕES]],'Dados Status Invest'!A:AA,27,0)</f>
        <v/>
      </c>
      <c r="L583" s="63">
        <f>Table_1[[#This Row],[PREÇO]]*Table_1[[#This Row],[DY]]</f>
        <v/>
      </c>
      <c r="M583" s="62">
        <f>$E$13</f>
        <v/>
      </c>
      <c r="N583" s="62" t="n">
        <v>0.3</v>
      </c>
      <c r="O583" s="62">
        <f>Table_1[[#This Row],[DPA]]/Table_1[[#This Row],[LPA]]</f>
        <v/>
      </c>
      <c r="P583" s="62">
        <f>IF(Table_1[[#This Row],[PAYOUT]]&lt;=40%,"CRESCIMENTO",IF(Table_1[[#This Row],[PAYOUT]]&lt;=60%,"INDEFINIDO","DIVIDENDOS"))</f>
        <v/>
      </c>
      <c r="Q583" s="62">
        <f>VLOOKUP(Table_1[[#This Row],[AÇÕES]],'Dados Status Invest'!A:R,18,0)/100</f>
        <v/>
      </c>
      <c r="R583" s="62">
        <f>VLOOKUP(Table_1[[#This Row],[AÇÕES]],'Dados Status Invest'!A:Y,25,0)/100</f>
        <v/>
      </c>
      <c r="S583" s="62">
        <f>(1-Table_1[[#This Row],[PAYOUT]])*Table_1[[#This Row],[ROE]]</f>
        <v/>
      </c>
      <c r="T583" s="98">
        <f>AVERAGE(Table_1[[#This Row],[CAGR LUCRO 5A]],Table_1[[#This Row],[CRESCIMENTO DAMODARAN]])</f>
        <v/>
      </c>
      <c r="U583" s="64">
        <f>(Table_1[[#This Row],[PREÇO JUSTO BAZIN]]-Table_1[[#This Row],[PREÇO]])/Table_1[[#This Row],[PREÇO JUSTO BAZIN]]</f>
        <v/>
      </c>
      <c r="V583" s="129">
        <f>Table_1[[#This Row],[DPA]]/6%</f>
        <v/>
      </c>
      <c r="W583" s="129">
        <f>Table_1[[#This Row],[PREÇO JUSTO BAZIN]]/(1+Table_1[[#This Row],[MARGEM DE DESCONTO]])</f>
        <v/>
      </c>
      <c r="X583" s="64">
        <f>(Table_1[[#This Row],[PREÇO JUSTO GRAHAM]]-Table_1[[#This Row],[PREÇO]])/Table_1[[#This Row],[PREÇO JUSTO GRAHAM]]</f>
        <v/>
      </c>
      <c r="Y583" s="129">
        <f>(22.5*Table_1[[#This Row],[LPA]]*Table_1[[#This Row],[VPA]])^0.5</f>
        <v/>
      </c>
      <c r="Z583" s="129">
        <f>Table_1[[#This Row],[PREÇO JUSTO GRAHAM]]/(1+Table_1[[#This Row],[MARGEM DE DESCONTO]])</f>
        <v/>
      </c>
      <c r="AA583" s="64">
        <f>(Table_1[[#This Row],[PREÇO JUSTO GORDON]]-Table_1[[#This Row],[PREÇO]])/Table_1[[#This Row],[PREÇO JUSTO GORDON]]</f>
        <v/>
      </c>
      <c r="AB583" s="130">
        <f>Table_1[[#This Row],[DPA]]*(1+Table_1[[#This Row],[MÉDIA DE CRESCIMENTO]])</f>
        <v/>
      </c>
      <c r="AC583" s="130">
        <f>Table_1[[#This Row],[D1]]/(Table_1[[#This Row],[RISCO]]-Table_1[[#This Row],[MÉDIA DE CRESCIMENTO]])</f>
        <v/>
      </c>
      <c r="AD583" s="130">
        <f>Table_1[[#This Row],[PREÇO JUSTO GORDON]]/(1+Table_1[[#This Row],[MARGEM DE DESCONTO]])</f>
        <v/>
      </c>
      <c r="AE583" s="78">
        <f>Table_1[[#This Row],[P/L]]/Table_1[[#This Row],[MÉDIA DE CRESCIMENTO]]</f>
        <v/>
      </c>
    </row>
    <row r="584" ht="15.75" customHeight="1">
      <c r="B584" s="77">
        <f>'Dados Status Invest'!A570</f>
        <v/>
      </c>
      <c r="C584" s="60">
        <f>VLOOKUP(Table_1[[#This Row],[AÇÕES]],'Classificação B3'!A:B,2,0)</f>
        <v/>
      </c>
      <c r="D584" s="60">
        <f>VLOOKUP(Table_1[[#This Row],[AÇÕES]],'Classificação B3'!A:D,4,0)</f>
        <v/>
      </c>
      <c r="E584" s="60">
        <f>VLOOKUP(Table_1[[#This Row],[AÇÕES]],'Classificação B3'!A:F,6,0)</f>
        <v/>
      </c>
      <c r="F584" s="60">
        <f>VLOOKUP(Table_1[[#This Row],[AÇÕES]],'Classificação B3'!A:G,7,0)</f>
        <v/>
      </c>
      <c r="G584" s="61">
        <f>VLOOKUP(Table_1[[#This Row],[AÇÕES]],'Dados Status Invest'!A:B,2,0)</f>
        <v/>
      </c>
      <c r="H584" s="62">
        <f>VLOOKUP(Table_1[[#This Row],[AÇÕES]],'Dados Status Invest'!A:C,3,0)/100</f>
        <v/>
      </c>
      <c r="I584" s="62">
        <f>VLOOKUP(Table_1[[#This Row],[AÇÕES]],'Dados Status Invest'!A:D,4,0)/100</f>
        <v/>
      </c>
      <c r="J584" s="63">
        <f>VLOOKUP(Table_1[[#This Row],[AÇÕES]],'Dados Status Invest'!A:AB,28,0)</f>
        <v/>
      </c>
      <c r="K584" s="63">
        <f>VLOOKUP(Table_1[[#This Row],[AÇÕES]],'Dados Status Invest'!A:AA,27,0)</f>
        <v/>
      </c>
      <c r="L584" s="63">
        <f>Table_1[[#This Row],[PREÇO]]*Table_1[[#This Row],[DY]]</f>
        <v/>
      </c>
      <c r="M584" s="62">
        <f>$E$13</f>
        <v/>
      </c>
      <c r="N584" s="62" t="n">
        <v>0.3</v>
      </c>
      <c r="O584" s="62">
        <f>Table_1[[#This Row],[DPA]]/Table_1[[#This Row],[LPA]]</f>
        <v/>
      </c>
      <c r="P584" s="62">
        <f>IF(Table_1[[#This Row],[PAYOUT]]&lt;=40%,"CRESCIMENTO",IF(Table_1[[#This Row],[PAYOUT]]&lt;=60%,"INDEFINIDO","DIVIDENDOS"))</f>
        <v/>
      </c>
      <c r="Q584" s="62">
        <f>VLOOKUP(Table_1[[#This Row],[AÇÕES]],'Dados Status Invest'!A:R,18,0)/100</f>
        <v/>
      </c>
      <c r="R584" s="62">
        <f>VLOOKUP(Table_1[[#This Row],[AÇÕES]],'Dados Status Invest'!A:Y,25,0)/100</f>
        <v/>
      </c>
      <c r="S584" s="62">
        <f>(1-Table_1[[#This Row],[PAYOUT]])*Table_1[[#This Row],[ROE]]</f>
        <v/>
      </c>
      <c r="T584" s="98">
        <f>AVERAGE(Table_1[[#This Row],[CAGR LUCRO 5A]],Table_1[[#This Row],[CRESCIMENTO DAMODARAN]])</f>
        <v/>
      </c>
      <c r="U584" s="64">
        <f>(Table_1[[#This Row],[PREÇO JUSTO BAZIN]]-Table_1[[#This Row],[PREÇO]])/Table_1[[#This Row],[PREÇO JUSTO BAZIN]]</f>
        <v/>
      </c>
      <c r="V584" s="129">
        <f>Table_1[[#This Row],[DPA]]/6%</f>
        <v/>
      </c>
      <c r="W584" s="129">
        <f>Table_1[[#This Row],[PREÇO JUSTO BAZIN]]/(1+Table_1[[#This Row],[MARGEM DE DESCONTO]])</f>
        <v/>
      </c>
      <c r="X584" s="64">
        <f>(Table_1[[#This Row],[PREÇO JUSTO GRAHAM]]-Table_1[[#This Row],[PREÇO]])/Table_1[[#This Row],[PREÇO JUSTO GRAHAM]]</f>
        <v/>
      </c>
      <c r="Y584" s="129">
        <f>(22.5*Table_1[[#This Row],[LPA]]*Table_1[[#This Row],[VPA]])^0.5</f>
        <v/>
      </c>
      <c r="Z584" s="129">
        <f>Table_1[[#This Row],[PREÇO JUSTO GRAHAM]]/(1+Table_1[[#This Row],[MARGEM DE DESCONTO]])</f>
        <v/>
      </c>
      <c r="AA584" s="64">
        <f>(Table_1[[#This Row],[PREÇO JUSTO GORDON]]-Table_1[[#This Row],[PREÇO]])/Table_1[[#This Row],[PREÇO JUSTO GORDON]]</f>
        <v/>
      </c>
      <c r="AB584" s="130">
        <f>Table_1[[#This Row],[DPA]]*(1+Table_1[[#This Row],[MÉDIA DE CRESCIMENTO]])</f>
        <v/>
      </c>
      <c r="AC584" s="130">
        <f>Table_1[[#This Row],[D1]]/(Table_1[[#This Row],[RISCO]]-Table_1[[#This Row],[MÉDIA DE CRESCIMENTO]])</f>
        <v/>
      </c>
      <c r="AD584" s="130">
        <f>Table_1[[#This Row],[PREÇO JUSTO GORDON]]/(1+Table_1[[#This Row],[MARGEM DE DESCONTO]])</f>
        <v/>
      </c>
      <c r="AE584" s="78">
        <f>Table_1[[#This Row],[P/L]]/Table_1[[#This Row],[MÉDIA DE CRESCIMENTO]]</f>
        <v/>
      </c>
    </row>
    <row r="585" ht="15.75" customHeight="1">
      <c r="B585" s="77">
        <f>'Dados Status Invest'!A571</f>
        <v/>
      </c>
      <c r="C585" s="60">
        <f>VLOOKUP(Table_1[[#This Row],[AÇÕES]],'Classificação B3'!A:B,2,0)</f>
        <v/>
      </c>
      <c r="D585" s="60">
        <f>VLOOKUP(Table_1[[#This Row],[AÇÕES]],'Classificação B3'!A:D,4,0)</f>
        <v/>
      </c>
      <c r="E585" s="60">
        <f>VLOOKUP(Table_1[[#This Row],[AÇÕES]],'Classificação B3'!A:F,6,0)</f>
        <v/>
      </c>
      <c r="F585" s="60">
        <f>VLOOKUP(Table_1[[#This Row],[AÇÕES]],'Classificação B3'!A:G,7,0)</f>
        <v/>
      </c>
      <c r="G585" s="61">
        <f>VLOOKUP(Table_1[[#This Row],[AÇÕES]],'Dados Status Invest'!A:B,2,0)</f>
        <v/>
      </c>
      <c r="H585" s="62">
        <f>VLOOKUP(Table_1[[#This Row],[AÇÕES]],'Dados Status Invest'!A:C,3,0)/100</f>
        <v/>
      </c>
      <c r="I585" s="62">
        <f>VLOOKUP(Table_1[[#This Row],[AÇÕES]],'Dados Status Invest'!A:D,4,0)/100</f>
        <v/>
      </c>
      <c r="J585" s="63">
        <f>VLOOKUP(Table_1[[#This Row],[AÇÕES]],'Dados Status Invest'!A:AB,28,0)</f>
        <v/>
      </c>
      <c r="K585" s="63">
        <f>VLOOKUP(Table_1[[#This Row],[AÇÕES]],'Dados Status Invest'!A:AA,27,0)</f>
        <v/>
      </c>
      <c r="L585" s="63">
        <f>Table_1[[#This Row],[PREÇO]]*Table_1[[#This Row],[DY]]</f>
        <v/>
      </c>
      <c r="M585" s="62">
        <f>$E$13</f>
        <v/>
      </c>
      <c r="N585" s="62" t="n">
        <v>0.3</v>
      </c>
      <c r="O585" s="62">
        <f>Table_1[[#This Row],[DPA]]/Table_1[[#This Row],[LPA]]</f>
        <v/>
      </c>
      <c r="P585" s="62">
        <f>IF(Table_1[[#This Row],[PAYOUT]]&lt;=40%,"CRESCIMENTO",IF(Table_1[[#This Row],[PAYOUT]]&lt;=60%,"INDEFINIDO","DIVIDENDOS"))</f>
        <v/>
      </c>
      <c r="Q585" s="62">
        <f>VLOOKUP(Table_1[[#This Row],[AÇÕES]],'Dados Status Invest'!A:R,18,0)/100</f>
        <v/>
      </c>
      <c r="R585" s="62">
        <f>VLOOKUP(Table_1[[#This Row],[AÇÕES]],'Dados Status Invest'!A:Y,25,0)/100</f>
        <v/>
      </c>
      <c r="S585" s="62">
        <f>(1-Table_1[[#This Row],[PAYOUT]])*Table_1[[#This Row],[ROE]]</f>
        <v/>
      </c>
      <c r="T585" s="98">
        <f>AVERAGE(Table_1[[#This Row],[CAGR LUCRO 5A]],Table_1[[#This Row],[CRESCIMENTO DAMODARAN]])</f>
        <v/>
      </c>
      <c r="U585" s="64">
        <f>(Table_1[[#This Row],[PREÇO JUSTO BAZIN]]-Table_1[[#This Row],[PREÇO]])/Table_1[[#This Row],[PREÇO JUSTO BAZIN]]</f>
        <v/>
      </c>
      <c r="V585" s="129">
        <f>Table_1[[#This Row],[DPA]]/6%</f>
        <v/>
      </c>
      <c r="W585" s="129">
        <f>Table_1[[#This Row],[PREÇO JUSTO BAZIN]]/(1+Table_1[[#This Row],[MARGEM DE DESCONTO]])</f>
        <v/>
      </c>
      <c r="X585" s="64">
        <f>(Table_1[[#This Row],[PREÇO JUSTO GRAHAM]]-Table_1[[#This Row],[PREÇO]])/Table_1[[#This Row],[PREÇO JUSTO GRAHAM]]</f>
        <v/>
      </c>
      <c r="Y585" s="129">
        <f>(22.5*Table_1[[#This Row],[LPA]]*Table_1[[#This Row],[VPA]])^0.5</f>
        <v/>
      </c>
      <c r="Z585" s="129">
        <f>Table_1[[#This Row],[PREÇO JUSTO GRAHAM]]/(1+Table_1[[#This Row],[MARGEM DE DESCONTO]])</f>
        <v/>
      </c>
      <c r="AA585" s="64">
        <f>(Table_1[[#This Row],[PREÇO JUSTO GORDON]]-Table_1[[#This Row],[PREÇO]])/Table_1[[#This Row],[PREÇO JUSTO GORDON]]</f>
        <v/>
      </c>
      <c r="AB585" s="130">
        <f>Table_1[[#This Row],[DPA]]*(1+Table_1[[#This Row],[MÉDIA DE CRESCIMENTO]])</f>
        <v/>
      </c>
      <c r="AC585" s="130">
        <f>Table_1[[#This Row],[D1]]/(Table_1[[#This Row],[RISCO]]-Table_1[[#This Row],[MÉDIA DE CRESCIMENTO]])</f>
        <v/>
      </c>
      <c r="AD585" s="130">
        <f>Table_1[[#This Row],[PREÇO JUSTO GORDON]]/(1+Table_1[[#This Row],[MARGEM DE DESCONTO]])</f>
        <v/>
      </c>
      <c r="AE585" s="78">
        <f>Table_1[[#This Row],[P/L]]/Table_1[[#This Row],[MÉDIA DE CRESCIMENTO]]</f>
        <v/>
      </c>
    </row>
    <row r="586" ht="15.75" customHeight="1">
      <c r="B586" s="77">
        <f>'Dados Status Invest'!A572</f>
        <v/>
      </c>
      <c r="C586" s="60">
        <f>VLOOKUP(Table_1[[#This Row],[AÇÕES]],'Classificação B3'!A:B,2,0)</f>
        <v/>
      </c>
      <c r="D586" s="60">
        <f>VLOOKUP(Table_1[[#This Row],[AÇÕES]],'Classificação B3'!A:D,4,0)</f>
        <v/>
      </c>
      <c r="E586" s="60">
        <f>VLOOKUP(Table_1[[#This Row],[AÇÕES]],'Classificação B3'!A:F,6,0)</f>
        <v/>
      </c>
      <c r="F586" s="60">
        <f>VLOOKUP(Table_1[[#This Row],[AÇÕES]],'Classificação B3'!A:G,7,0)</f>
        <v/>
      </c>
      <c r="G586" s="61">
        <f>VLOOKUP(Table_1[[#This Row],[AÇÕES]],'Dados Status Invest'!A:B,2,0)</f>
        <v/>
      </c>
      <c r="H586" s="62">
        <f>VLOOKUP(Table_1[[#This Row],[AÇÕES]],'Dados Status Invest'!A:C,3,0)/100</f>
        <v/>
      </c>
      <c r="I586" s="62">
        <f>VLOOKUP(Table_1[[#This Row],[AÇÕES]],'Dados Status Invest'!A:D,4,0)/100</f>
        <v/>
      </c>
      <c r="J586" s="63">
        <f>VLOOKUP(Table_1[[#This Row],[AÇÕES]],'Dados Status Invest'!A:AB,28,0)</f>
        <v/>
      </c>
      <c r="K586" s="63">
        <f>VLOOKUP(Table_1[[#This Row],[AÇÕES]],'Dados Status Invest'!A:AA,27,0)</f>
        <v/>
      </c>
      <c r="L586" s="63">
        <f>Table_1[[#This Row],[PREÇO]]*Table_1[[#This Row],[DY]]</f>
        <v/>
      </c>
      <c r="M586" s="62">
        <f>$E$13</f>
        <v/>
      </c>
      <c r="N586" s="62" t="n">
        <v>0.3</v>
      </c>
      <c r="O586" s="62">
        <f>Table_1[[#This Row],[DPA]]/Table_1[[#This Row],[LPA]]</f>
        <v/>
      </c>
      <c r="P586" s="62">
        <f>IF(Table_1[[#This Row],[PAYOUT]]&lt;=40%,"CRESCIMENTO",IF(Table_1[[#This Row],[PAYOUT]]&lt;=60%,"INDEFINIDO","DIVIDENDOS"))</f>
        <v/>
      </c>
      <c r="Q586" s="62">
        <f>VLOOKUP(Table_1[[#This Row],[AÇÕES]],'Dados Status Invest'!A:R,18,0)/100</f>
        <v/>
      </c>
      <c r="R586" s="62">
        <f>VLOOKUP(Table_1[[#This Row],[AÇÕES]],'Dados Status Invest'!A:Y,25,0)/100</f>
        <v/>
      </c>
      <c r="S586" s="62">
        <f>(1-Table_1[[#This Row],[PAYOUT]])*Table_1[[#This Row],[ROE]]</f>
        <v/>
      </c>
      <c r="T586" s="98">
        <f>AVERAGE(Table_1[[#This Row],[CAGR LUCRO 5A]],Table_1[[#This Row],[CRESCIMENTO DAMODARAN]])</f>
        <v/>
      </c>
      <c r="U586" s="64">
        <f>(Table_1[[#This Row],[PREÇO JUSTO BAZIN]]-Table_1[[#This Row],[PREÇO]])/Table_1[[#This Row],[PREÇO JUSTO BAZIN]]</f>
        <v/>
      </c>
      <c r="V586" s="129">
        <f>Table_1[[#This Row],[DPA]]/6%</f>
        <v/>
      </c>
      <c r="W586" s="129">
        <f>Table_1[[#This Row],[PREÇO JUSTO BAZIN]]/(1+Table_1[[#This Row],[MARGEM DE DESCONTO]])</f>
        <v/>
      </c>
      <c r="X586" s="64">
        <f>(Table_1[[#This Row],[PREÇO JUSTO GRAHAM]]-Table_1[[#This Row],[PREÇO]])/Table_1[[#This Row],[PREÇO JUSTO GRAHAM]]</f>
        <v/>
      </c>
      <c r="Y586" s="129">
        <f>(22.5*Table_1[[#This Row],[LPA]]*Table_1[[#This Row],[VPA]])^0.5</f>
        <v/>
      </c>
      <c r="Z586" s="129">
        <f>Table_1[[#This Row],[PREÇO JUSTO GRAHAM]]/(1+Table_1[[#This Row],[MARGEM DE DESCONTO]])</f>
        <v/>
      </c>
      <c r="AA586" s="64">
        <f>(Table_1[[#This Row],[PREÇO JUSTO GORDON]]-Table_1[[#This Row],[PREÇO]])/Table_1[[#This Row],[PREÇO JUSTO GORDON]]</f>
        <v/>
      </c>
      <c r="AB586" s="130">
        <f>Table_1[[#This Row],[DPA]]*(1+Table_1[[#This Row],[MÉDIA DE CRESCIMENTO]])</f>
        <v/>
      </c>
      <c r="AC586" s="130">
        <f>Table_1[[#This Row],[D1]]/(Table_1[[#This Row],[RISCO]]-Table_1[[#This Row],[MÉDIA DE CRESCIMENTO]])</f>
        <v/>
      </c>
      <c r="AD586" s="130">
        <f>Table_1[[#This Row],[PREÇO JUSTO GORDON]]/(1+Table_1[[#This Row],[MARGEM DE DESCONTO]])</f>
        <v/>
      </c>
      <c r="AE586" s="78">
        <f>Table_1[[#This Row],[P/L]]/Table_1[[#This Row],[MÉDIA DE CRESCIMENTO]]</f>
        <v/>
      </c>
    </row>
    <row r="587" ht="15.75" customHeight="1">
      <c r="B587" s="77">
        <f>'Dados Status Invest'!A573</f>
        <v/>
      </c>
      <c r="C587" s="60">
        <f>VLOOKUP(Table_1[[#This Row],[AÇÕES]],'Classificação B3'!A:B,2,0)</f>
        <v/>
      </c>
      <c r="D587" s="60">
        <f>VLOOKUP(Table_1[[#This Row],[AÇÕES]],'Classificação B3'!A:D,4,0)</f>
        <v/>
      </c>
      <c r="E587" s="60">
        <f>VLOOKUP(Table_1[[#This Row],[AÇÕES]],'Classificação B3'!A:F,6,0)</f>
        <v/>
      </c>
      <c r="F587" s="60">
        <f>VLOOKUP(Table_1[[#This Row],[AÇÕES]],'Classificação B3'!A:G,7,0)</f>
        <v/>
      </c>
      <c r="G587" s="61">
        <f>VLOOKUP(Table_1[[#This Row],[AÇÕES]],'Dados Status Invest'!A:B,2,0)</f>
        <v/>
      </c>
      <c r="H587" s="62">
        <f>VLOOKUP(Table_1[[#This Row],[AÇÕES]],'Dados Status Invest'!A:C,3,0)/100</f>
        <v/>
      </c>
      <c r="I587" s="62">
        <f>VLOOKUP(Table_1[[#This Row],[AÇÕES]],'Dados Status Invest'!A:D,4,0)/100</f>
        <v/>
      </c>
      <c r="J587" s="63">
        <f>VLOOKUP(Table_1[[#This Row],[AÇÕES]],'Dados Status Invest'!A:AB,28,0)</f>
        <v/>
      </c>
      <c r="K587" s="63">
        <f>VLOOKUP(Table_1[[#This Row],[AÇÕES]],'Dados Status Invest'!A:AA,27,0)</f>
        <v/>
      </c>
      <c r="L587" s="63">
        <f>Table_1[[#This Row],[PREÇO]]*Table_1[[#This Row],[DY]]</f>
        <v/>
      </c>
      <c r="M587" s="62">
        <f>$E$13</f>
        <v/>
      </c>
      <c r="N587" s="62" t="n">
        <v>0.3</v>
      </c>
      <c r="O587" s="62">
        <f>Table_1[[#This Row],[DPA]]/Table_1[[#This Row],[LPA]]</f>
        <v/>
      </c>
      <c r="P587" s="62">
        <f>IF(Table_1[[#This Row],[PAYOUT]]&lt;=40%,"CRESCIMENTO",IF(Table_1[[#This Row],[PAYOUT]]&lt;=60%,"INDEFINIDO","DIVIDENDOS"))</f>
        <v/>
      </c>
      <c r="Q587" s="62">
        <f>VLOOKUP(Table_1[[#This Row],[AÇÕES]],'Dados Status Invest'!A:R,18,0)/100</f>
        <v/>
      </c>
      <c r="R587" s="62">
        <f>VLOOKUP(Table_1[[#This Row],[AÇÕES]],'Dados Status Invest'!A:Y,25,0)/100</f>
        <v/>
      </c>
      <c r="S587" s="62">
        <f>(1-Table_1[[#This Row],[PAYOUT]])*Table_1[[#This Row],[ROE]]</f>
        <v/>
      </c>
      <c r="T587" s="98">
        <f>AVERAGE(Table_1[[#This Row],[CAGR LUCRO 5A]],Table_1[[#This Row],[CRESCIMENTO DAMODARAN]])</f>
        <v/>
      </c>
      <c r="U587" s="64">
        <f>(Table_1[[#This Row],[PREÇO JUSTO BAZIN]]-Table_1[[#This Row],[PREÇO]])/Table_1[[#This Row],[PREÇO JUSTO BAZIN]]</f>
        <v/>
      </c>
      <c r="V587" s="129">
        <f>Table_1[[#This Row],[DPA]]/6%</f>
        <v/>
      </c>
      <c r="W587" s="129">
        <f>Table_1[[#This Row],[PREÇO JUSTO BAZIN]]/(1+Table_1[[#This Row],[MARGEM DE DESCONTO]])</f>
        <v/>
      </c>
      <c r="X587" s="64">
        <f>(Table_1[[#This Row],[PREÇO JUSTO GRAHAM]]-Table_1[[#This Row],[PREÇO]])/Table_1[[#This Row],[PREÇO JUSTO GRAHAM]]</f>
        <v/>
      </c>
      <c r="Y587" s="129">
        <f>(22.5*Table_1[[#This Row],[LPA]]*Table_1[[#This Row],[VPA]])^0.5</f>
        <v/>
      </c>
      <c r="Z587" s="129">
        <f>Table_1[[#This Row],[PREÇO JUSTO GRAHAM]]/(1+Table_1[[#This Row],[MARGEM DE DESCONTO]])</f>
        <v/>
      </c>
      <c r="AA587" s="64">
        <f>(Table_1[[#This Row],[PREÇO JUSTO GORDON]]-Table_1[[#This Row],[PREÇO]])/Table_1[[#This Row],[PREÇO JUSTO GORDON]]</f>
        <v/>
      </c>
      <c r="AB587" s="130">
        <f>Table_1[[#This Row],[DPA]]*(1+Table_1[[#This Row],[MÉDIA DE CRESCIMENTO]])</f>
        <v/>
      </c>
      <c r="AC587" s="130">
        <f>Table_1[[#This Row],[D1]]/(Table_1[[#This Row],[RISCO]]-Table_1[[#This Row],[MÉDIA DE CRESCIMENTO]])</f>
        <v/>
      </c>
      <c r="AD587" s="130">
        <f>Table_1[[#This Row],[PREÇO JUSTO GORDON]]/(1+Table_1[[#This Row],[MARGEM DE DESCONTO]])</f>
        <v/>
      </c>
      <c r="AE587" s="78">
        <f>Table_1[[#This Row],[P/L]]/Table_1[[#This Row],[MÉDIA DE CRESCIMENTO]]</f>
        <v/>
      </c>
    </row>
    <row r="588" ht="15.75" customHeight="1">
      <c r="B588" s="77">
        <f>'Dados Status Invest'!A574</f>
        <v/>
      </c>
      <c r="C588" s="60">
        <f>VLOOKUP(Table_1[[#This Row],[AÇÕES]],'Classificação B3'!A:B,2,0)</f>
        <v/>
      </c>
      <c r="D588" s="60">
        <f>VLOOKUP(Table_1[[#This Row],[AÇÕES]],'Classificação B3'!A:D,4,0)</f>
        <v/>
      </c>
      <c r="E588" s="60">
        <f>VLOOKUP(Table_1[[#This Row],[AÇÕES]],'Classificação B3'!A:F,6,0)</f>
        <v/>
      </c>
      <c r="F588" s="60">
        <f>VLOOKUP(Table_1[[#This Row],[AÇÕES]],'Classificação B3'!A:G,7,0)</f>
        <v/>
      </c>
      <c r="G588" s="61">
        <f>VLOOKUP(Table_1[[#This Row],[AÇÕES]],'Dados Status Invest'!A:B,2,0)</f>
        <v/>
      </c>
      <c r="H588" s="62">
        <f>VLOOKUP(Table_1[[#This Row],[AÇÕES]],'Dados Status Invest'!A:C,3,0)/100</f>
        <v/>
      </c>
      <c r="I588" s="62">
        <f>VLOOKUP(Table_1[[#This Row],[AÇÕES]],'Dados Status Invest'!A:D,4,0)/100</f>
        <v/>
      </c>
      <c r="J588" s="63">
        <f>VLOOKUP(Table_1[[#This Row],[AÇÕES]],'Dados Status Invest'!A:AB,28,0)</f>
        <v/>
      </c>
      <c r="K588" s="63">
        <f>VLOOKUP(Table_1[[#This Row],[AÇÕES]],'Dados Status Invest'!A:AA,27,0)</f>
        <v/>
      </c>
      <c r="L588" s="63">
        <f>Table_1[[#This Row],[PREÇO]]*Table_1[[#This Row],[DY]]</f>
        <v/>
      </c>
      <c r="M588" s="62">
        <f>$E$13</f>
        <v/>
      </c>
      <c r="N588" s="62" t="n">
        <v>0.3</v>
      </c>
      <c r="O588" s="62">
        <f>Table_1[[#This Row],[DPA]]/Table_1[[#This Row],[LPA]]</f>
        <v/>
      </c>
      <c r="P588" s="62">
        <f>IF(Table_1[[#This Row],[PAYOUT]]&lt;=40%,"CRESCIMENTO",IF(Table_1[[#This Row],[PAYOUT]]&lt;=60%,"INDEFINIDO","DIVIDENDOS"))</f>
        <v/>
      </c>
      <c r="Q588" s="62">
        <f>VLOOKUP(Table_1[[#This Row],[AÇÕES]],'Dados Status Invest'!A:R,18,0)/100</f>
        <v/>
      </c>
      <c r="R588" s="62">
        <f>VLOOKUP(Table_1[[#This Row],[AÇÕES]],'Dados Status Invest'!A:Y,25,0)/100</f>
        <v/>
      </c>
      <c r="S588" s="62">
        <f>(1-Table_1[[#This Row],[PAYOUT]])*Table_1[[#This Row],[ROE]]</f>
        <v/>
      </c>
      <c r="T588" s="98">
        <f>AVERAGE(Table_1[[#This Row],[CAGR LUCRO 5A]],Table_1[[#This Row],[CRESCIMENTO DAMODARAN]])</f>
        <v/>
      </c>
      <c r="U588" s="64">
        <f>(Table_1[[#This Row],[PREÇO JUSTO BAZIN]]-Table_1[[#This Row],[PREÇO]])/Table_1[[#This Row],[PREÇO JUSTO BAZIN]]</f>
        <v/>
      </c>
      <c r="V588" s="129">
        <f>Table_1[[#This Row],[DPA]]/6%</f>
        <v/>
      </c>
      <c r="W588" s="129">
        <f>Table_1[[#This Row],[PREÇO JUSTO BAZIN]]/(1+Table_1[[#This Row],[MARGEM DE DESCONTO]])</f>
        <v/>
      </c>
      <c r="X588" s="64">
        <f>(Table_1[[#This Row],[PREÇO JUSTO GRAHAM]]-Table_1[[#This Row],[PREÇO]])/Table_1[[#This Row],[PREÇO JUSTO GRAHAM]]</f>
        <v/>
      </c>
      <c r="Y588" s="129">
        <f>(22.5*Table_1[[#This Row],[LPA]]*Table_1[[#This Row],[VPA]])^0.5</f>
        <v/>
      </c>
      <c r="Z588" s="129">
        <f>Table_1[[#This Row],[PREÇO JUSTO GRAHAM]]/(1+Table_1[[#This Row],[MARGEM DE DESCONTO]])</f>
        <v/>
      </c>
      <c r="AA588" s="64">
        <f>(Table_1[[#This Row],[PREÇO JUSTO GORDON]]-Table_1[[#This Row],[PREÇO]])/Table_1[[#This Row],[PREÇO JUSTO GORDON]]</f>
        <v/>
      </c>
      <c r="AB588" s="130">
        <f>Table_1[[#This Row],[DPA]]*(1+Table_1[[#This Row],[MÉDIA DE CRESCIMENTO]])</f>
        <v/>
      </c>
      <c r="AC588" s="130">
        <f>Table_1[[#This Row],[D1]]/(Table_1[[#This Row],[RISCO]]-Table_1[[#This Row],[MÉDIA DE CRESCIMENTO]])</f>
        <v/>
      </c>
      <c r="AD588" s="130">
        <f>Table_1[[#This Row],[PREÇO JUSTO GORDON]]/(1+Table_1[[#This Row],[MARGEM DE DESCONTO]])</f>
        <v/>
      </c>
      <c r="AE588" s="78">
        <f>Table_1[[#This Row],[P/L]]/Table_1[[#This Row],[MÉDIA DE CRESCIMENTO]]</f>
        <v/>
      </c>
    </row>
    <row r="589" ht="15.75" customHeight="1">
      <c r="B589" s="77">
        <f>'Dados Status Invest'!A575</f>
        <v/>
      </c>
      <c r="C589" s="60">
        <f>VLOOKUP(Table_1[[#This Row],[AÇÕES]],'Classificação B3'!A:B,2,0)</f>
        <v/>
      </c>
      <c r="D589" s="60">
        <f>VLOOKUP(Table_1[[#This Row],[AÇÕES]],'Classificação B3'!A:D,4,0)</f>
        <v/>
      </c>
      <c r="E589" s="60">
        <f>VLOOKUP(Table_1[[#This Row],[AÇÕES]],'Classificação B3'!A:F,6,0)</f>
        <v/>
      </c>
      <c r="F589" s="60">
        <f>VLOOKUP(Table_1[[#This Row],[AÇÕES]],'Classificação B3'!A:G,7,0)</f>
        <v/>
      </c>
      <c r="G589" s="61">
        <f>VLOOKUP(Table_1[[#This Row],[AÇÕES]],'Dados Status Invest'!A:B,2,0)</f>
        <v/>
      </c>
      <c r="H589" s="62">
        <f>VLOOKUP(Table_1[[#This Row],[AÇÕES]],'Dados Status Invest'!A:C,3,0)/100</f>
        <v/>
      </c>
      <c r="I589" s="62">
        <f>VLOOKUP(Table_1[[#This Row],[AÇÕES]],'Dados Status Invest'!A:D,4,0)/100</f>
        <v/>
      </c>
      <c r="J589" s="63">
        <f>VLOOKUP(Table_1[[#This Row],[AÇÕES]],'Dados Status Invest'!A:AB,28,0)</f>
        <v/>
      </c>
      <c r="K589" s="63">
        <f>VLOOKUP(Table_1[[#This Row],[AÇÕES]],'Dados Status Invest'!A:AA,27,0)</f>
        <v/>
      </c>
      <c r="L589" s="63">
        <f>Table_1[[#This Row],[PREÇO]]*Table_1[[#This Row],[DY]]</f>
        <v/>
      </c>
      <c r="M589" s="62">
        <f>$E$13</f>
        <v/>
      </c>
      <c r="N589" s="62" t="n">
        <v>0.3</v>
      </c>
      <c r="O589" s="62">
        <f>Table_1[[#This Row],[DPA]]/Table_1[[#This Row],[LPA]]</f>
        <v/>
      </c>
      <c r="P589" s="62">
        <f>IF(Table_1[[#This Row],[PAYOUT]]&lt;=40%,"CRESCIMENTO",IF(Table_1[[#This Row],[PAYOUT]]&lt;=60%,"INDEFINIDO","DIVIDENDOS"))</f>
        <v/>
      </c>
      <c r="Q589" s="62">
        <f>VLOOKUP(Table_1[[#This Row],[AÇÕES]],'Dados Status Invest'!A:R,18,0)/100</f>
        <v/>
      </c>
      <c r="R589" s="62">
        <f>VLOOKUP(Table_1[[#This Row],[AÇÕES]],'Dados Status Invest'!A:Y,25,0)/100</f>
        <v/>
      </c>
      <c r="S589" s="62">
        <f>(1-Table_1[[#This Row],[PAYOUT]])*Table_1[[#This Row],[ROE]]</f>
        <v/>
      </c>
      <c r="T589" s="98">
        <f>AVERAGE(Table_1[[#This Row],[CAGR LUCRO 5A]],Table_1[[#This Row],[CRESCIMENTO DAMODARAN]])</f>
        <v/>
      </c>
      <c r="U589" s="64">
        <f>(Table_1[[#This Row],[PREÇO JUSTO BAZIN]]-Table_1[[#This Row],[PREÇO]])/Table_1[[#This Row],[PREÇO JUSTO BAZIN]]</f>
        <v/>
      </c>
      <c r="V589" s="129">
        <f>Table_1[[#This Row],[DPA]]/6%</f>
        <v/>
      </c>
      <c r="W589" s="129">
        <f>Table_1[[#This Row],[PREÇO JUSTO BAZIN]]/(1+Table_1[[#This Row],[MARGEM DE DESCONTO]])</f>
        <v/>
      </c>
      <c r="X589" s="64">
        <f>(Table_1[[#This Row],[PREÇO JUSTO GRAHAM]]-Table_1[[#This Row],[PREÇO]])/Table_1[[#This Row],[PREÇO JUSTO GRAHAM]]</f>
        <v/>
      </c>
      <c r="Y589" s="129">
        <f>(22.5*Table_1[[#This Row],[LPA]]*Table_1[[#This Row],[VPA]])^0.5</f>
        <v/>
      </c>
      <c r="Z589" s="129">
        <f>Table_1[[#This Row],[PREÇO JUSTO GRAHAM]]/(1+Table_1[[#This Row],[MARGEM DE DESCONTO]])</f>
        <v/>
      </c>
      <c r="AA589" s="64">
        <f>(Table_1[[#This Row],[PREÇO JUSTO GORDON]]-Table_1[[#This Row],[PREÇO]])/Table_1[[#This Row],[PREÇO JUSTO GORDON]]</f>
        <v/>
      </c>
      <c r="AB589" s="130">
        <f>Table_1[[#This Row],[DPA]]*(1+Table_1[[#This Row],[MÉDIA DE CRESCIMENTO]])</f>
        <v/>
      </c>
      <c r="AC589" s="130">
        <f>Table_1[[#This Row],[D1]]/(Table_1[[#This Row],[RISCO]]-Table_1[[#This Row],[MÉDIA DE CRESCIMENTO]])</f>
        <v/>
      </c>
      <c r="AD589" s="130">
        <f>Table_1[[#This Row],[PREÇO JUSTO GORDON]]/(1+Table_1[[#This Row],[MARGEM DE DESCONTO]])</f>
        <v/>
      </c>
      <c r="AE589" s="78">
        <f>Table_1[[#This Row],[P/L]]/Table_1[[#This Row],[MÉDIA DE CRESCIMENTO]]</f>
        <v/>
      </c>
    </row>
    <row r="590" ht="15.75" customHeight="1">
      <c r="B590" s="77">
        <f>'Dados Status Invest'!A576</f>
        <v/>
      </c>
      <c r="C590" s="60">
        <f>VLOOKUP(Table_1[[#This Row],[AÇÕES]],'Classificação B3'!A:B,2,0)</f>
        <v/>
      </c>
      <c r="D590" s="60">
        <f>VLOOKUP(Table_1[[#This Row],[AÇÕES]],'Classificação B3'!A:D,4,0)</f>
        <v/>
      </c>
      <c r="E590" s="60">
        <f>VLOOKUP(Table_1[[#This Row],[AÇÕES]],'Classificação B3'!A:F,6,0)</f>
        <v/>
      </c>
      <c r="F590" s="60">
        <f>VLOOKUP(Table_1[[#This Row],[AÇÕES]],'Classificação B3'!A:G,7,0)</f>
        <v/>
      </c>
      <c r="G590" s="61">
        <f>VLOOKUP(Table_1[[#This Row],[AÇÕES]],'Dados Status Invest'!A:B,2,0)</f>
        <v/>
      </c>
      <c r="H590" s="62">
        <f>VLOOKUP(Table_1[[#This Row],[AÇÕES]],'Dados Status Invest'!A:C,3,0)/100</f>
        <v/>
      </c>
      <c r="I590" s="62">
        <f>VLOOKUP(Table_1[[#This Row],[AÇÕES]],'Dados Status Invest'!A:D,4,0)/100</f>
        <v/>
      </c>
      <c r="J590" s="63">
        <f>VLOOKUP(Table_1[[#This Row],[AÇÕES]],'Dados Status Invest'!A:AB,28,0)</f>
        <v/>
      </c>
      <c r="K590" s="63">
        <f>VLOOKUP(Table_1[[#This Row],[AÇÕES]],'Dados Status Invest'!A:AA,27,0)</f>
        <v/>
      </c>
      <c r="L590" s="63">
        <f>Table_1[[#This Row],[PREÇO]]*Table_1[[#This Row],[DY]]</f>
        <v/>
      </c>
      <c r="M590" s="62">
        <f>$E$13</f>
        <v/>
      </c>
      <c r="N590" s="62" t="n">
        <v>0.3</v>
      </c>
      <c r="O590" s="62">
        <f>Table_1[[#This Row],[DPA]]/Table_1[[#This Row],[LPA]]</f>
        <v/>
      </c>
      <c r="P590" s="62">
        <f>IF(Table_1[[#This Row],[PAYOUT]]&lt;=40%,"CRESCIMENTO",IF(Table_1[[#This Row],[PAYOUT]]&lt;=60%,"INDEFINIDO","DIVIDENDOS"))</f>
        <v/>
      </c>
      <c r="Q590" s="62">
        <f>VLOOKUP(Table_1[[#This Row],[AÇÕES]],'Dados Status Invest'!A:R,18,0)/100</f>
        <v/>
      </c>
      <c r="R590" s="62">
        <f>VLOOKUP(Table_1[[#This Row],[AÇÕES]],'Dados Status Invest'!A:Y,25,0)/100</f>
        <v/>
      </c>
      <c r="S590" s="62">
        <f>(1-Table_1[[#This Row],[PAYOUT]])*Table_1[[#This Row],[ROE]]</f>
        <v/>
      </c>
      <c r="T590" s="98">
        <f>AVERAGE(Table_1[[#This Row],[CAGR LUCRO 5A]],Table_1[[#This Row],[CRESCIMENTO DAMODARAN]])</f>
        <v/>
      </c>
      <c r="U590" s="64">
        <f>(Table_1[[#This Row],[PREÇO JUSTO BAZIN]]-Table_1[[#This Row],[PREÇO]])/Table_1[[#This Row],[PREÇO JUSTO BAZIN]]</f>
        <v/>
      </c>
      <c r="V590" s="129">
        <f>Table_1[[#This Row],[DPA]]/6%</f>
        <v/>
      </c>
      <c r="W590" s="129">
        <f>Table_1[[#This Row],[PREÇO JUSTO BAZIN]]/(1+Table_1[[#This Row],[MARGEM DE DESCONTO]])</f>
        <v/>
      </c>
      <c r="X590" s="64">
        <f>(Table_1[[#This Row],[PREÇO JUSTO GRAHAM]]-Table_1[[#This Row],[PREÇO]])/Table_1[[#This Row],[PREÇO JUSTO GRAHAM]]</f>
        <v/>
      </c>
      <c r="Y590" s="129">
        <f>(22.5*Table_1[[#This Row],[LPA]]*Table_1[[#This Row],[VPA]])^0.5</f>
        <v/>
      </c>
      <c r="Z590" s="129">
        <f>Table_1[[#This Row],[PREÇO JUSTO GRAHAM]]/(1+Table_1[[#This Row],[MARGEM DE DESCONTO]])</f>
        <v/>
      </c>
      <c r="AA590" s="64">
        <f>(Table_1[[#This Row],[PREÇO JUSTO GORDON]]-Table_1[[#This Row],[PREÇO]])/Table_1[[#This Row],[PREÇO JUSTO GORDON]]</f>
        <v/>
      </c>
      <c r="AB590" s="130">
        <f>Table_1[[#This Row],[DPA]]*(1+Table_1[[#This Row],[MÉDIA DE CRESCIMENTO]])</f>
        <v/>
      </c>
      <c r="AC590" s="130">
        <f>Table_1[[#This Row],[D1]]/(Table_1[[#This Row],[RISCO]]-Table_1[[#This Row],[MÉDIA DE CRESCIMENTO]])</f>
        <v/>
      </c>
      <c r="AD590" s="130">
        <f>Table_1[[#This Row],[PREÇO JUSTO GORDON]]/(1+Table_1[[#This Row],[MARGEM DE DESCONTO]])</f>
        <v/>
      </c>
      <c r="AE590" s="78">
        <f>Table_1[[#This Row],[P/L]]/Table_1[[#This Row],[MÉDIA DE CRESCIMENTO]]</f>
        <v/>
      </c>
    </row>
    <row r="591" ht="15.75" customHeight="1">
      <c r="B591" s="77">
        <f>'Dados Status Invest'!A577</f>
        <v/>
      </c>
      <c r="C591" s="60">
        <f>VLOOKUP(Table_1[[#This Row],[AÇÕES]],'Classificação B3'!A:B,2,0)</f>
        <v/>
      </c>
      <c r="D591" s="60">
        <f>VLOOKUP(Table_1[[#This Row],[AÇÕES]],'Classificação B3'!A:D,4,0)</f>
        <v/>
      </c>
      <c r="E591" s="60">
        <f>VLOOKUP(Table_1[[#This Row],[AÇÕES]],'Classificação B3'!A:F,6,0)</f>
        <v/>
      </c>
      <c r="F591" s="60">
        <f>VLOOKUP(Table_1[[#This Row],[AÇÕES]],'Classificação B3'!A:G,7,0)</f>
        <v/>
      </c>
      <c r="G591" s="61">
        <f>VLOOKUP(Table_1[[#This Row],[AÇÕES]],'Dados Status Invest'!A:B,2,0)</f>
        <v/>
      </c>
      <c r="H591" s="62">
        <f>VLOOKUP(Table_1[[#This Row],[AÇÕES]],'Dados Status Invest'!A:C,3,0)/100</f>
        <v/>
      </c>
      <c r="I591" s="62">
        <f>VLOOKUP(Table_1[[#This Row],[AÇÕES]],'Dados Status Invest'!A:D,4,0)/100</f>
        <v/>
      </c>
      <c r="J591" s="63">
        <f>VLOOKUP(Table_1[[#This Row],[AÇÕES]],'Dados Status Invest'!A:AB,28,0)</f>
        <v/>
      </c>
      <c r="K591" s="63">
        <f>VLOOKUP(Table_1[[#This Row],[AÇÕES]],'Dados Status Invest'!A:AA,27,0)</f>
        <v/>
      </c>
      <c r="L591" s="63">
        <f>Table_1[[#This Row],[PREÇO]]*Table_1[[#This Row],[DY]]</f>
        <v/>
      </c>
      <c r="M591" s="62">
        <f>$E$13</f>
        <v/>
      </c>
      <c r="N591" s="62" t="n">
        <v>0.3</v>
      </c>
      <c r="O591" s="62">
        <f>Table_1[[#This Row],[DPA]]/Table_1[[#This Row],[LPA]]</f>
        <v/>
      </c>
      <c r="P591" s="62">
        <f>IF(Table_1[[#This Row],[PAYOUT]]&lt;=40%,"CRESCIMENTO",IF(Table_1[[#This Row],[PAYOUT]]&lt;=60%,"INDEFINIDO","DIVIDENDOS"))</f>
        <v/>
      </c>
      <c r="Q591" s="62">
        <f>VLOOKUP(Table_1[[#This Row],[AÇÕES]],'Dados Status Invest'!A:R,18,0)/100</f>
        <v/>
      </c>
      <c r="R591" s="62">
        <f>VLOOKUP(Table_1[[#This Row],[AÇÕES]],'Dados Status Invest'!A:Y,25,0)/100</f>
        <v/>
      </c>
      <c r="S591" s="62">
        <f>(1-Table_1[[#This Row],[PAYOUT]])*Table_1[[#This Row],[ROE]]</f>
        <v/>
      </c>
      <c r="T591" s="98">
        <f>AVERAGE(Table_1[[#This Row],[CAGR LUCRO 5A]],Table_1[[#This Row],[CRESCIMENTO DAMODARAN]])</f>
        <v/>
      </c>
      <c r="U591" s="64">
        <f>(Table_1[[#This Row],[PREÇO JUSTO BAZIN]]-Table_1[[#This Row],[PREÇO]])/Table_1[[#This Row],[PREÇO JUSTO BAZIN]]</f>
        <v/>
      </c>
      <c r="V591" s="129">
        <f>Table_1[[#This Row],[DPA]]/6%</f>
        <v/>
      </c>
      <c r="W591" s="129">
        <f>Table_1[[#This Row],[PREÇO JUSTO BAZIN]]/(1+Table_1[[#This Row],[MARGEM DE DESCONTO]])</f>
        <v/>
      </c>
      <c r="X591" s="64">
        <f>(Table_1[[#This Row],[PREÇO JUSTO GRAHAM]]-Table_1[[#This Row],[PREÇO]])/Table_1[[#This Row],[PREÇO JUSTO GRAHAM]]</f>
        <v/>
      </c>
      <c r="Y591" s="129">
        <f>(22.5*Table_1[[#This Row],[LPA]]*Table_1[[#This Row],[VPA]])^0.5</f>
        <v/>
      </c>
      <c r="Z591" s="129">
        <f>Table_1[[#This Row],[PREÇO JUSTO GRAHAM]]/(1+Table_1[[#This Row],[MARGEM DE DESCONTO]])</f>
        <v/>
      </c>
      <c r="AA591" s="64">
        <f>(Table_1[[#This Row],[PREÇO JUSTO GORDON]]-Table_1[[#This Row],[PREÇO]])/Table_1[[#This Row],[PREÇO JUSTO GORDON]]</f>
        <v/>
      </c>
      <c r="AB591" s="130">
        <f>Table_1[[#This Row],[DPA]]*(1+Table_1[[#This Row],[MÉDIA DE CRESCIMENTO]])</f>
        <v/>
      </c>
      <c r="AC591" s="130">
        <f>Table_1[[#This Row],[D1]]/(Table_1[[#This Row],[RISCO]]-Table_1[[#This Row],[MÉDIA DE CRESCIMENTO]])</f>
        <v/>
      </c>
      <c r="AD591" s="130">
        <f>Table_1[[#This Row],[PREÇO JUSTO GORDON]]/(1+Table_1[[#This Row],[MARGEM DE DESCONTO]])</f>
        <v/>
      </c>
      <c r="AE591" s="78">
        <f>Table_1[[#This Row],[P/L]]/Table_1[[#This Row],[MÉDIA DE CRESCIMENTO]]</f>
        <v/>
      </c>
    </row>
    <row r="592" ht="15.75" customHeight="1">
      <c r="B592" s="77">
        <f>'Dados Status Invest'!A578</f>
        <v/>
      </c>
      <c r="C592" s="60">
        <f>VLOOKUP(Table_1[[#This Row],[AÇÕES]],'Classificação B3'!A:B,2,0)</f>
        <v/>
      </c>
      <c r="D592" s="60">
        <f>VLOOKUP(Table_1[[#This Row],[AÇÕES]],'Classificação B3'!A:D,4,0)</f>
        <v/>
      </c>
      <c r="E592" s="60">
        <f>VLOOKUP(Table_1[[#This Row],[AÇÕES]],'Classificação B3'!A:F,6,0)</f>
        <v/>
      </c>
      <c r="F592" s="60">
        <f>VLOOKUP(Table_1[[#This Row],[AÇÕES]],'Classificação B3'!A:G,7,0)</f>
        <v/>
      </c>
      <c r="G592" s="61">
        <f>VLOOKUP(Table_1[[#This Row],[AÇÕES]],'Dados Status Invest'!A:B,2,0)</f>
        <v/>
      </c>
      <c r="H592" s="62">
        <f>VLOOKUP(Table_1[[#This Row],[AÇÕES]],'Dados Status Invest'!A:C,3,0)/100</f>
        <v/>
      </c>
      <c r="I592" s="62">
        <f>VLOOKUP(Table_1[[#This Row],[AÇÕES]],'Dados Status Invest'!A:D,4,0)/100</f>
        <v/>
      </c>
      <c r="J592" s="63">
        <f>VLOOKUP(Table_1[[#This Row],[AÇÕES]],'Dados Status Invest'!A:AB,28,0)</f>
        <v/>
      </c>
      <c r="K592" s="63">
        <f>VLOOKUP(Table_1[[#This Row],[AÇÕES]],'Dados Status Invest'!A:AA,27,0)</f>
        <v/>
      </c>
      <c r="L592" s="63">
        <f>Table_1[[#This Row],[PREÇO]]*Table_1[[#This Row],[DY]]</f>
        <v/>
      </c>
      <c r="M592" s="62">
        <f>$E$13</f>
        <v/>
      </c>
      <c r="N592" s="62" t="n">
        <v>0.3</v>
      </c>
      <c r="O592" s="62">
        <f>Table_1[[#This Row],[DPA]]/Table_1[[#This Row],[LPA]]</f>
        <v/>
      </c>
      <c r="P592" s="62">
        <f>IF(Table_1[[#This Row],[PAYOUT]]&lt;=40%,"CRESCIMENTO",IF(Table_1[[#This Row],[PAYOUT]]&lt;=60%,"INDEFINIDO","DIVIDENDOS"))</f>
        <v/>
      </c>
      <c r="Q592" s="62">
        <f>VLOOKUP(Table_1[[#This Row],[AÇÕES]],'Dados Status Invest'!A:R,18,0)/100</f>
        <v/>
      </c>
      <c r="R592" s="62">
        <f>VLOOKUP(Table_1[[#This Row],[AÇÕES]],'Dados Status Invest'!A:Y,25,0)/100</f>
        <v/>
      </c>
      <c r="S592" s="62">
        <f>(1-Table_1[[#This Row],[PAYOUT]])*Table_1[[#This Row],[ROE]]</f>
        <v/>
      </c>
      <c r="T592" s="98">
        <f>AVERAGE(Table_1[[#This Row],[CAGR LUCRO 5A]],Table_1[[#This Row],[CRESCIMENTO DAMODARAN]])</f>
        <v/>
      </c>
      <c r="U592" s="64">
        <f>(Table_1[[#This Row],[PREÇO JUSTO BAZIN]]-Table_1[[#This Row],[PREÇO]])/Table_1[[#This Row],[PREÇO JUSTO BAZIN]]</f>
        <v/>
      </c>
      <c r="V592" s="129">
        <f>Table_1[[#This Row],[DPA]]/6%</f>
        <v/>
      </c>
      <c r="W592" s="129">
        <f>Table_1[[#This Row],[PREÇO JUSTO BAZIN]]/(1+Table_1[[#This Row],[MARGEM DE DESCONTO]])</f>
        <v/>
      </c>
      <c r="X592" s="64">
        <f>(Table_1[[#This Row],[PREÇO JUSTO GRAHAM]]-Table_1[[#This Row],[PREÇO]])/Table_1[[#This Row],[PREÇO JUSTO GRAHAM]]</f>
        <v/>
      </c>
      <c r="Y592" s="129">
        <f>(22.5*Table_1[[#This Row],[LPA]]*Table_1[[#This Row],[VPA]])^0.5</f>
        <v/>
      </c>
      <c r="Z592" s="129">
        <f>Table_1[[#This Row],[PREÇO JUSTO GRAHAM]]/(1+Table_1[[#This Row],[MARGEM DE DESCONTO]])</f>
        <v/>
      </c>
      <c r="AA592" s="64">
        <f>(Table_1[[#This Row],[PREÇO JUSTO GORDON]]-Table_1[[#This Row],[PREÇO]])/Table_1[[#This Row],[PREÇO JUSTO GORDON]]</f>
        <v/>
      </c>
      <c r="AB592" s="130">
        <f>Table_1[[#This Row],[DPA]]*(1+Table_1[[#This Row],[MÉDIA DE CRESCIMENTO]])</f>
        <v/>
      </c>
      <c r="AC592" s="130">
        <f>Table_1[[#This Row],[D1]]/(Table_1[[#This Row],[RISCO]]-Table_1[[#This Row],[MÉDIA DE CRESCIMENTO]])</f>
        <v/>
      </c>
      <c r="AD592" s="130">
        <f>Table_1[[#This Row],[PREÇO JUSTO GORDON]]/(1+Table_1[[#This Row],[MARGEM DE DESCONTO]])</f>
        <v/>
      </c>
      <c r="AE592" s="78">
        <f>Table_1[[#This Row],[P/L]]/Table_1[[#This Row],[MÉDIA DE CRESCIMENTO]]</f>
        <v/>
      </c>
    </row>
    <row r="593" ht="15.75" customHeight="1">
      <c r="B593" s="77">
        <f>'Dados Status Invest'!A579</f>
        <v/>
      </c>
      <c r="C593" s="60">
        <f>VLOOKUP(Table_1[[#This Row],[AÇÕES]],'Classificação B3'!A:B,2,0)</f>
        <v/>
      </c>
      <c r="D593" s="60">
        <f>VLOOKUP(Table_1[[#This Row],[AÇÕES]],'Classificação B3'!A:D,4,0)</f>
        <v/>
      </c>
      <c r="E593" s="60">
        <f>VLOOKUP(Table_1[[#This Row],[AÇÕES]],'Classificação B3'!A:F,6,0)</f>
        <v/>
      </c>
      <c r="F593" s="60">
        <f>VLOOKUP(Table_1[[#This Row],[AÇÕES]],'Classificação B3'!A:G,7,0)</f>
        <v/>
      </c>
      <c r="G593" s="61">
        <f>VLOOKUP(Table_1[[#This Row],[AÇÕES]],'Dados Status Invest'!A:B,2,0)</f>
        <v/>
      </c>
      <c r="H593" s="62">
        <f>VLOOKUP(Table_1[[#This Row],[AÇÕES]],'Dados Status Invest'!A:C,3,0)/100</f>
        <v/>
      </c>
      <c r="I593" s="62">
        <f>VLOOKUP(Table_1[[#This Row],[AÇÕES]],'Dados Status Invest'!A:D,4,0)/100</f>
        <v/>
      </c>
      <c r="J593" s="63">
        <f>VLOOKUP(Table_1[[#This Row],[AÇÕES]],'Dados Status Invest'!A:AB,28,0)</f>
        <v/>
      </c>
      <c r="K593" s="63">
        <f>VLOOKUP(Table_1[[#This Row],[AÇÕES]],'Dados Status Invest'!A:AA,27,0)</f>
        <v/>
      </c>
      <c r="L593" s="63">
        <f>Table_1[[#This Row],[PREÇO]]*Table_1[[#This Row],[DY]]</f>
        <v/>
      </c>
      <c r="M593" s="62">
        <f>$E$13</f>
        <v/>
      </c>
      <c r="N593" s="62" t="n">
        <v>0.3</v>
      </c>
      <c r="O593" s="62">
        <f>Table_1[[#This Row],[DPA]]/Table_1[[#This Row],[LPA]]</f>
        <v/>
      </c>
      <c r="P593" s="62">
        <f>IF(Table_1[[#This Row],[PAYOUT]]&lt;=40%,"CRESCIMENTO",IF(Table_1[[#This Row],[PAYOUT]]&lt;=60%,"INDEFINIDO","DIVIDENDOS"))</f>
        <v/>
      </c>
      <c r="Q593" s="62">
        <f>VLOOKUP(Table_1[[#This Row],[AÇÕES]],'Dados Status Invest'!A:R,18,0)/100</f>
        <v/>
      </c>
      <c r="R593" s="62">
        <f>VLOOKUP(Table_1[[#This Row],[AÇÕES]],'Dados Status Invest'!A:Y,25,0)/100</f>
        <v/>
      </c>
      <c r="S593" s="62">
        <f>(1-Table_1[[#This Row],[PAYOUT]])*Table_1[[#This Row],[ROE]]</f>
        <v/>
      </c>
      <c r="T593" s="98">
        <f>AVERAGE(Table_1[[#This Row],[CAGR LUCRO 5A]],Table_1[[#This Row],[CRESCIMENTO DAMODARAN]])</f>
        <v/>
      </c>
      <c r="U593" s="64">
        <f>(Table_1[[#This Row],[PREÇO JUSTO BAZIN]]-Table_1[[#This Row],[PREÇO]])/Table_1[[#This Row],[PREÇO JUSTO BAZIN]]</f>
        <v/>
      </c>
      <c r="V593" s="129">
        <f>Table_1[[#This Row],[DPA]]/6%</f>
        <v/>
      </c>
      <c r="W593" s="129">
        <f>Table_1[[#This Row],[PREÇO JUSTO BAZIN]]/(1+Table_1[[#This Row],[MARGEM DE DESCONTO]])</f>
        <v/>
      </c>
      <c r="X593" s="64">
        <f>(Table_1[[#This Row],[PREÇO JUSTO GRAHAM]]-Table_1[[#This Row],[PREÇO]])/Table_1[[#This Row],[PREÇO JUSTO GRAHAM]]</f>
        <v/>
      </c>
      <c r="Y593" s="129">
        <f>(22.5*Table_1[[#This Row],[LPA]]*Table_1[[#This Row],[VPA]])^0.5</f>
        <v/>
      </c>
      <c r="Z593" s="129">
        <f>Table_1[[#This Row],[PREÇO JUSTO GRAHAM]]/(1+Table_1[[#This Row],[MARGEM DE DESCONTO]])</f>
        <v/>
      </c>
      <c r="AA593" s="64">
        <f>(Table_1[[#This Row],[PREÇO JUSTO GORDON]]-Table_1[[#This Row],[PREÇO]])/Table_1[[#This Row],[PREÇO JUSTO GORDON]]</f>
        <v/>
      </c>
      <c r="AB593" s="130">
        <f>Table_1[[#This Row],[DPA]]*(1+Table_1[[#This Row],[MÉDIA DE CRESCIMENTO]])</f>
        <v/>
      </c>
      <c r="AC593" s="130">
        <f>Table_1[[#This Row],[D1]]/(Table_1[[#This Row],[RISCO]]-Table_1[[#This Row],[MÉDIA DE CRESCIMENTO]])</f>
        <v/>
      </c>
      <c r="AD593" s="130">
        <f>Table_1[[#This Row],[PREÇO JUSTO GORDON]]/(1+Table_1[[#This Row],[MARGEM DE DESCONTO]])</f>
        <v/>
      </c>
      <c r="AE593" s="78">
        <f>Table_1[[#This Row],[P/L]]/Table_1[[#This Row],[MÉDIA DE CRESCIMENTO]]</f>
        <v/>
      </c>
    </row>
    <row r="594" ht="15.75" customHeight="1">
      <c r="B594" s="77">
        <f>'Dados Status Invest'!A580</f>
        <v/>
      </c>
      <c r="C594" s="60">
        <f>VLOOKUP(Table_1[[#This Row],[AÇÕES]],'Classificação B3'!A:B,2,0)</f>
        <v/>
      </c>
      <c r="D594" s="60">
        <f>VLOOKUP(Table_1[[#This Row],[AÇÕES]],'Classificação B3'!A:D,4,0)</f>
        <v/>
      </c>
      <c r="E594" s="60">
        <f>VLOOKUP(Table_1[[#This Row],[AÇÕES]],'Classificação B3'!A:F,6,0)</f>
        <v/>
      </c>
      <c r="F594" s="60">
        <f>VLOOKUP(Table_1[[#This Row],[AÇÕES]],'Classificação B3'!A:G,7,0)</f>
        <v/>
      </c>
      <c r="G594" s="61">
        <f>VLOOKUP(Table_1[[#This Row],[AÇÕES]],'Dados Status Invest'!A:B,2,0)</f>
        <v/>
      </c>
      <c r="H594" s="62">
        <f>VLOOKUP(Table_1[[#This Row],[AÇÕES]],'Dados Status Invest'!A:C,3,0)/100</f>
        <v/>
      </c>
      <c r="I594" s="62">
        <f>VLOOKUP(Table_1[[#This Row],[AÇÕES]],'Dados Status Invest'!A:D,4,0)/100</f>
        <v/>
      </c>
      <c r="J594" s="63">
        <f>VLOOKUP(Table_1[[#This Row],[AÇÕES]],'Dados Status Invest'!A:AB,28,0)</f>
        <v/>
      </c>
      <c r="K594" s="63">
        <f>VLOOKUP(Table_1[[#This Row],[AÇÕES]],'Dados Status Invest'!A:AA,27,0)</f>
        <v/>
      </c>
      <c r="L594" s="63">
        <f>Table_1[[#This Row],[PREÇO]]*Table_1[[#This Row],[DY]]</f>
        <v/>
      </c>
      <c r="M594" s="62">
        <f>$E$13</f>
        <v/>
      </c>
      <c r="N594" s="62" t="n">
        <v>0.3</v>
      </c>
      <c r="O594" s="62">
        <f>Table_1[[#This Row],[DPA]]/Table_1[[#This Row],[LPA]]</f>
        <v/>
      </c>
      <c r="P594" s="62">
        <f>IF(Table_1[[#This Row],[PAYOUT]]&lt;=40%,"CRESCIMENTO",IF(Table_1[[#This Row],[PAYOUT]]&lt;=60%,"INDEFINIDO","DIVIDENDOS"))</f>
        <v/>
      </c>
      <c r="Q594" s="62">
        <f>VLOOKUP(Table_1[[#This Row],[AÇÕES]],'Dados Status Invest'!A:R,18,0)/100</f>
        <v/>
      </c>
      <c r="R594" s="62">
        <f>VLOOKUP(Table_1[[#This Row],[AÇÕES]],'Dados Status Invest'!A:Y,25,0)/100</f>
        <v/>
      </c>
      <c r="S594" s="62">
        <f>(1-Table_1[[#This Row],[PAYOUT]])*Table_1[[#This Row],[ROE]]</f>
        <v/>
      </c>
      <c r="T594" s="98">
        <f>AVERAGE(Table_1[[#This Row],[CAGR LUCRO 5A]],Table_1[[#This Row],[CRESCIMENTO DAMODARAN]])</f>
        <v/>
      </c>
      <c r="U594" s="64">
        <f>(Table_1[[#This Row],[PREÇO JUSTO BAZIN]]-Table_1[[#This Row],[PREÇO]])/Table_1[[#This Row],[PREÇO JUSTO BAZIN]]</f>
        <v/>
      </c>
      <c r="V594" s="129">
        <f>Table_1[[#This Row],[DPA]]/6%</f>
        <v/>
      </c>
      <c r="W594" s="129">
        <f>Table_1[[#This Row],[PREÇO JUSTO BAZIN]]/(1+Table_1[[#This Row],[MARGEM DE DESCONTO]])</f>
        <v/>
      </c>
      <c r="X594" s="64">
        <f>(Table_1[[#This Row],[PREÇO JUSTO GRAHAM]]-Table_1[[#This Row],[PREÇO]])/Table_1[[#This Row],[PREÇO JUSTO GRAHAM]]</f>
        <v/>
      </c>
      <c r="Y594" s="129">
        <f>(22.5*Table_1[[#This Row],[LPA]]*Table_1[[#This Row],[VPA]])^0.5</f>
        <v/>
      </c>
      <c r="Z594" s="129">
        <f>Table_1[[#This Row],[PREÇO JUSTO GRAHAM]]/(1+Table_1[[#This Row],[MARGEM DE DESCONTO]])</f>
        <v/>
      </c>
      <c r="AA594" s="64">
        <f>(Table_1[[#This Row],[PREÇO JUSTO GORDON]]-Table_1[[#This Row],[PREÇO]])/Table_1[[#This Row],[PREÇO JUSTO GORDON]]</f>
        <v/>
      </c>
      <c r="AB594" s="130">
        <f>Table_1[[#This Row],[DPA]]*(1+Table_1[[#This Row],[MÉDIA DE CRESCIMENTO]])</f>
        <v/>
      </c>
      <c r="AC594" s="130">
        <f>Table_1[[#This Row],[D1]]/(Table_1[[#This Row],[RISCO]]-Table_1[[#This Row],[MÉDIA DE CRESCIMENTO]])</f>
        <v/>
      </c>
      <c r="AD594" s="130">
        <f>Table_1[[#This Row],[PREÇO JUSTO GORDON]]/(1+Table_1[[#This Row],[MARGEM DE DESCONTO]])</f>
        <v/>
      </c>
      <c r="AE594" s="78">
        <f>Table_1[[#This Row],[P/L]]/Table_1[[#This Row],[MÉDIA DE CRESCIMENTO]]</f>
        <v/>
      </c>
    </row>
    <row r="595" ht="15.75" customHeight="1">
      <c r="B595" s="77">
        <f>'Dados Status Invest'!A581</f>
        <v/>
      </c>
      <c r="C595" s="60">
        <f>VLOOKUP(Table_1[[#This Row],[AÇÕES]],'Classificação B3'!A:B,2,0)</f>
        <v/>
      </c>
      <c r="D595" s="60">
        <f>VLOOKUP(Table_1[[#This Row],[AÇÕES]],'Classificação B3'!A:D,4,0)</f>
        <v/>
      </c>
      <c r="E595" s="60">
        <f>VLOOKUP(Table_1[[#This Row],[AÇÕES]],'Classificação B3'!A:F,6,0)</f>
        <v/>
      </c>
      <c r="F595" s="60">
        <f>VLOOKUP(Table_1[[#This Row],[AÇÕES]],'Classificação B3'!A:G,7,0)</f>
        <v/>
      </c>
      <c r="G595" s="61">
        <f>VLOOKUP(Table_1[[#This Row],[AÇÕES]],'Dados Status Invest'!A:B,2,0)</f>
        <v/>
      </c>
      <c r="H595" s="62">
        <f>VLOOKUP(Table_1[[#This Row],[AÇÕES]],'Dados Status Invest'!A:C,3,0)/100</f>
        <v/>
      </c>
      <c r="I595" s="62">
        <f>VLOOKUP(Table_1[[#This Row],[AÇÕES]],'Dados Status Invest'!A:D,4,0)/100</f>
        <v/>
      </c>
      <c r="J595" s="63">
        <f>VLOOKUP(Table_1[[#This Row],[AÇÕES]],'Dados Status Invest'!A:AB,28,0)</f>
        <v/>
      </c>
      <c r="K595" s="63">
        <f>VLOOKUP(Table_1[[#This Row],[AÇÕES]],'Dados Status Invest'!A:AA,27,0)</f>
        <v/>
      </c>
      <c r="L595" s="63">
        <f>Table_1[[#This Row],[PREÇO]]*Table_1[[#This Row],[DY]]</f>
        <v/>
      </c>
      <c r="M595" s="62">
        <f>$E$13</f>
        <v/>
      </c>
      <c r="N595" s="62" t="n">
        <v>0.3</v>
      </c>
      <c r="O595" s="62">
        <f>Table_1[[#This Row],[DPA]]/Table_1[[#This Row],[LPA]]</f>
        <v/>
      </c>
      <c r="P595" s="62">
        <f>IF(Table_1[[#This Row],[PAYOUT]]&lt;=40%,"CRESCIMENTO",IF(Table_1[[#This Row],[PAYOUT]]&lt;=60%,"INDEFINIDO","DIVIDENDOS"))</f>
        <v/>
      </c>
      <c r="Q595" s="62">
        <f>VLOOKUP(Table_1[[#This Row],[AÇÕES]],'Dados Status Invest'!A:R,18,0)/100</f>
        <v/>
      </c>
      <c r="R595" s="62">
        <f>VLOOKUP(Table_1[[#This Row],[AÇÕES]],'Dados Status Invest'!A:Y,25,0)/100</f>
        <v/>
      </c>
      <c r="S595" s="62">
        <f>(1-Table_1[[#This Row],[PAYOUT]])*Table_1[[#This Row],[ROE]]</f>
        <v/>
      </c>
      <c r="T595" s="98">
        <f>AVERAGE(Table_1[[#This Row],[CAGR LUCRO 5A]],Table_1[[#This Row],[CRESCIMENTO DAMODARAN]])</f>
        <v/>
      </c>
      <c r="U595" s="64">
        <f>(Table_1[[#This Row],[PREÇO JUSTO BAZIN]]-Table_1[[#This Row],[PREÇO]])/Table_1[[#This Row],[PREÇO JUSTO BAZIN]]</f>
        <v/>
      </c>
      <c r="V595" s="129">
        <f>Table_1[[#This Row],[DPA]]/6%</f>
        <v/>
      </c>
      <c r="W595" s="129">
        <f>Table_1[[#This Row],[PREÇO JUSTO BAZIN]]/(1+Table_1[[#This Row],[MARGEM DE DESCONTO]])</f>
        <v/>
      </c>
      <c r="X595" s="64">
        <f>(Table_1[[#This Row],[PREÇO JUSTO GRAHAM]]-Table_1[[#This Row],[PREÇO]])/Table_1[[#This Row],[PREÇO JUSTO GRAHAM]]</f>
        <v/>
      </c>
      <c r="Y595" s="129">
        <f>(22.5*Table_1[[#This Row],[LPA]]*Table_1[[#This Row],[VPA]])^0.5</f>
        <v/>
      </c>
      <c r="Z595" s="129">
        <f>Table_1[[#This Row],[PREÇO JUSTO GRAHAM]]/(1+Table_1[[#This Row],[MARGEM DE DESCONTO]])</f>
        <v/>
      </c>
      <c r="AA595" s="64">
        <f>(Table_1[[#This Row],[PREÇO JUSTO GORDON]]-Table_1[[#This Row],[PREÇO]])/Table_1[[#This Row],[PREÇO JUSTO GORDON]]</f>
        <v/>
      </c>
      <c r="AB595" s="130">
        <f>Table_1[[#This Row],[DPA]]*(1+Table_1[[#This Row],[MÉDIA DE CRESCIMENTO]])</f>
        <v/>
      </c>
      <c r="AC595" s="130">
        <f>Table_1[[#This Row],[D1]]/(Table_1[[#This Row],[RISCO]]-Table_1[[#This Row],[MÉDIA DE CRESCIMENTO]])</f>
        <v/>
      </c>
      <c r="AD595" s="130">
        <f>Table_1[[#This Row],[PREÇO JUSTO GORDON]]/(1+Table_1[[#This Row],[MARGEM DE DESCONTO]])</f>
        <v/>
      </c>
      <c r="AE595" s="78">
        <f>Table_1[[#This Row],[P/L]]/Table_1[[#This Row],[MÉDIA DE CRESCIMENTO]]</f>
        <v/>
      </c>
    </row>
    <row r="596" ht="15.75" customHeight="1">
      <c r="B596" s="77">
        <f>'Dados Status Invest'!A582</f>
        <v/>
      </c>
      <c r="C596" s="60">
        <f>VLOOKUP(Table_1[[#This Row],[AÇÕES]],'Classificação B3'!A:B,2,0)</f>
        <v/>
      </c>
      <c r="D596" s="60">
        <f>VLOOKUP(Table_1[[#This Row],[AÇÕES]],'Classificação B3'!A:D,4,0)</f>
        <v/>
      </c>
      <c r="E596" s="60">
        <f>VLOOKUP(Table_1[[#This Row],[AÇÕES]],'Classificação B3'!A:F,6,0)</f>
        <v/>
      </c>
      <c r="F596" s="60">
        <f>VLOOKUP(Table_1[[#This Row],[AÇÕES]],'Classificação B3'!A:G,7,0)</f>
        <v/>
      </c>
      <c r="G596" s="61">
        <f>VLOOKUP(Table_1[[#This Row],[AÇÕES]],'Dados Status Invest'!A:B,2,0)</f>
        <v/>
      </c>
      <c r="H596" s="62">
        <f>VLOOKUP(Table_1[[#This Row],[AÇÕES]],'Dados Status Invest'!A:C,3,0)/100</f>
        <v/>
      </c>
      <c r="I596" s="62">
        <f>VLOOKUP(Table_1[[#This Row],[AÇÕES]],'Dados Status Invest'!A:D,4,0)/100</f>
        <v/>
      </c>
      <c r="J596" s="63">
        <f>VLOOKUP(Table_1[[#This Row],[AÇÕES]],'Dados Status Invest'!A:AB,28,0)</f>
        <v/>
      </c>
      <c r="K596" s="63">
        <f>VLOOKUP(Table_1[[#This Row],[AÇÕES]],'Dados Status Invest'!A:AA,27,0)</f>
        <v/>
      </c>
      <c r="L596" s="63">
        <f>Table_1[[#This Row],[PREÇO]]*Table_1[[#This Row],[DY]]</f>
        <v/>
      </c>
      <c r="M596" s="62">
        <f>$E$13</f>
        <v/>
      </c>
      <c r="N596" s="62" t="n">
        <v>0.3</v>
      </c>
      <c r="O596" s="62">
        <f>Table_1[[#This Row],[DPA]]/Table_1[[#This Row],[LPA]]</f>
        <v/>
      </c>
      <c r="P596" s="62">
        <f>IF(Table_1[[#This Row],[PAYOUT]]&lt;=40%,"CRESCIMENTO",IF(Table_1[[#This Row],[PAYOUT]]&lt;=60%,"INDEFINIDO","DIVIDENDOS"))</f>
        <v/>
      </c>
      <c r="Q596" s="62">
        <f>VLOOKUP(Table_1[[#This Row],[AÇÕES]],'Dados Status Invest'!A:R,18,0)/100</f>
        <v/>
      </c>
      <c r="R596" s="62">
        <f>VLOOKUP(Table_1[[#This Row],[AÇÕES]],'Dados Status Invest'!A:Y,25,0)/100</f>
        <v/>
      </c>
      <c r="S596" s="62">
        <f>(1-Table_1[[#This Row],[PAYOUT]])*Table_1[[#This Row],[ROE]]</f>
        <v/>
      </c>
      <c r="T596" s="98">
        <f>AVERAGE(Table_1[[#This Row],[CAGR LUCRO 5A]],Table_1[[#This Row],[CRESCIMENTO DAMODARAN]])</f>
        <v/>
      </c>
      <c r="U596" s="64">
        <f>(Table_1[[#This Row],[PREÇO JUSTO BAZIN]]-Table_1[[#This Row],[PREÇO]])/Table_1[[#This Row],[PREÇO JUSTO BAZIN]]</f>
        <v/>
      </c>
      <c r="V596" s="129">
        <f>Table_1[[#This Row],[DPA]]/6%</f>
        <v/>
      </c>
      <c r="W596" s="129">
        <f>Table_1[[#This Row],[PREÇO JUSTO BAZIN]]/(1+Table_1[[#This Row],[MARGEM DE DESCONTO]])</f>
        <v/>
      </c>
      <c r="X596" s="64">
        <f>(Table_1[[#This Row],[PREÇO JUSTO GRAHAM]]-Table_1[[#This Row],[PREÇO]])/Table_1[[#This Row],[PREÇO JUSTO GRAHAM]]</f>
        <v/>
      </c>
      <c r="Y596" s="129">
        <f>(22.5*Table_1[[#This Row],[LPA]]*Table_1[[#This Row],[VPA]])^0.5</f>
        <v/>
      </c>
      <c r="Z596" s="129">
        <f>Table_1[[#This Row],[PREÇO JUSTO GRAHAM]]/(1+Table_1[[#This Row],[MARGEM DE DESCONTO]])</f>
        <v/>
      </c>
      <c r="AA596" s="64">
        <f>(Table_1[[#This Row],[PREÇO JUSTO GORDON]]-Table_1[[#This Row],[PREÇO]])/Table_1[[#This Row],[PREÇO JUSTO GORDON]]</f>
        <v/>
      </c>
      <c r="AB596" s="130">
        <f>Table_1[[#This Row],[DPA]]*(1+Table_1[[#This Row],[MÉDIA DE CRESCIMENTO]])</f>
        <v/>
      </c>
      <c r="AC596" s="130">
        <f>Table_1[[#This Row],[D1]]/(Table_1[[#This Row],[RISCO]]-Table_1[[#This Row],[MÉDIA DE CRESCIMENTO]])</f>
        <v/>
      </c>
      <c r="AD596" s="130">
        <f>Table_1[[#This Row],[PREÇO JUSTO GORDON]]/(1+Table_1[[#This Row],[MARGEM DE DESCONTO]])</f>
        <v/>
      </c>
      <c r="AE596" s="78">
        <f>Table_1[[#This Row],[P/L]]/Table_1[[#This Row],[MÉDIA DE CRESCIMENTO]]</f>
        <v/>
      </c>
    </row>
    <row r="597" ht="15.75" customHeight="1">
      <c r="B597" s="77">
        <f>'Dados Status Invest'!A583</f>
        <v/>
      </c>
      <c r="C597" s="60">
        <f>VLOOKUP(Table_1[[#This Row],[AÇÕES]],'Classificação B3'!A:B,2,0)</f>
        <v/>
      </c>
      <c r="D597" s="60">
        <f>VLOOKUP(Table_1[[#This Row],[AÇÕES]],'Classificação B3'!A:D,4,0)</f>
        <v/>
      </c>
      <c r="E597" s="60">
        <f>VLOOKUP(Table_1[[#This Row],[AÇÕES]],'Classificação B3'!A:F,6,0)</f>
        <v/>
      </c>
      <c r="F597" s="60">
        <f>VLOOKUP(Table_1[[#This Row],[AÇÕES]],'Classificação B3'!A:G,7,0)</f>
        <v/>
      </c>
      <c r="G597" s="61">
        <f>VLOOKUP(Table_1[[#This Row],[AÇÕES]],'Dados Status Invest'!A:B,2,0)</f>
        <v/>
      </c>
      <c r="H597" s="62">
        <f>VLOOKUP(Table_1[[#This Row],[AÇÕES]],'Dados Status Invest'!A:C,3,0)/100</f>
        <v/>
      </c>
      <c r="I597" s="62">
        <f>VLOOKUP(Table_1[[#This Row],[AÇÕES]],'Dados Status Invest'!A:D,4,0)/100</f>
        <v/>
      </c>
      <c r="J597" s="63">
        <f>VLOOKUP(Table_1[[#This Row],[AÇÕES]],'Dados Status Invest'!A:AB,28,0)</f>
        <v/>
      </c>
      <c r="K597" s="63">
        <f>VLOOKUP(Table_1[[#This Row],[AÇÕES]],'Dados Status Invest'!A:AA,27,0)</f>
        <v/>
      </c>
      <c r="L597" s="63">
        <f>Table_1[[#This Row],[PREÇO]]*Table_1[[#This Row],[DY]]</f>
        <v/>
      </c>
      <c r="M597" s="62">
        <f>$E$13</f>
        <v/>
      </c>
      <c r="N597" s="62" t="n">
        <v>0.3</v>
      </c>
      <c r="O597" s="62">
        <f>Table_1[[#This Row],[DPA]]/Table_1[[#This Row],[LPA]]</f>
        <v/>
      </c>
      <c r="P597" s="62">
        <f>IF(Table_1[[#This Row],[PAYOUT]]&lt;=40%,"CRESCIMENTO",IF(Table_1[[#This Row],[PAYOUT]]&lt;=60%,"INDEFINIDO","DIVIDENDOS"))</f>
        <v/>
      </c>
      <c r="Q597" s="62">
        <f>VLOOKUP(Table_1[[#This Row],[AÇÕES]],'Dados Status Invest'!A:R,18,0)/100</f>
        <v/>
      </c>
      <c r="R597" s="62">
        <f>VLOOKUP(Table_1[[#This Row],[AÇÕES]],'Dados Status Invest'!A:Y,25,0)/100</f>
        <v/>
      </c>
      <c r="S597" s="62">
        <f>(1-Table_1[[#This Row],[PAYOUT]])*Table_1[[#This Row],[ROE]]</f>
        <v/>
      </c>
      <c r="T597" s="98">
        <f>AVERAGE(Table_1[[#This Row],[CAGR LUCRO 5A]],Table_1[[#This Row],[CRESCIMENTO DAMODARAN]])</f>
        <v/>
      </c>
      <c r="U597" s="64">
        <f>(Table_1[[#This Row],[PREÇO JUSTO BAZIN]]-Table_1[[#This Row],[PREÇO]])/Table_1[[#This Row],[PREÇO JUSTO BAZIN]]</f>
        <v/>
      </c>
      <c r="V597" s="129">
        <f>Table_1[[#This Row],[DPA]]/6%</f>
        <v/>
      </c>
      <c r="W597" s="129">
        <f>Table_1[[#This Row],[PREÇO JUSTO BAZIN]]/(1+Table_1[[#This Row],[MARGEM DE DESCONTO]])</f>
        <v/>
      </c>
      <c r="X597" s="64">
        <f>(Table_1[[#This Row],[PREÇO JUSTO GRAHAM]]-Table_1[[#This Row],[PREÇO]])/Table_1[[#This Row],[PREÇO JUSTO GRAHAM]]</f>
        <v/>
      </c>
      <c r="Y597" s="129">
        <f>(22.5*Table_1[[#This Row],[LPA]]*Table_1[[#This Row],[VPA]])^0.5</f>
        <v/>
      </c>
      <c r="Z597" s="129">
        <f>Table_1[[#This Row],[PREÇO JUSTO GRAHAM]]/(1+Table_1[[#This Row],[MARGEM DE DESCONTO]])</f>
        <v/>
      </c>
      <c r="AA597" s="64">
        <f>(Table_1[[#This Row],[PREÇO JUSTO GORDON]]-Table_1[[#This Row],[PREÇO]])/Table_1[[#This Row],[PREÇO JUSTO GORDON]]</f>
        <v/>
      </c>
      <c r="AB597" s="130">
        <f>Table_1[[#This Row],[DPA]]*(1+Table_1[[#This Row],[MÉDIA DE CRESCIMENTO]])</f>
        <v/>
      </c>
      <c r="AC597" s="130">
        <f>Table_1[[#This Row],[D1]]/(Table_1[[#This Row],[RISCO]]-Table_1[[#This Row],[MÉDIA DE CRESCIMENTO]])</f>
        <v/>
      </c>
      <c r="AD597" s="130">
        <f>Table_1[[#This Row],[PREÇO JUSTO GORDON]]/(1+Table_1[[#This Row],[MARGEM DE DESCONTO]])</f>
        <v/>
      </c>
      <c r="AE597" s="78">
        <f>Table_1[[#This Row],[P/L]]/Table_1[[#This Row],[MÉDIA DE CRESCIMENTO]]</f>
        <v/>
      </c>
    </row>
    <row r="598" ht="15.75" customHeight="1">
      <c r="B598" s="77">
        <f>'Dados Status Invest'!A584</f>
        <v/>
      </c>
      <c r="C598" s="60">
        <f>VLOOKUP(Table_1[[#This Row],[AÇÕES]],'Classificação B3'!A:B,2,0)</f>
        <v/>
      </c>
      <c r="D598" s="60">
        <f>VLOOKUP(Table_1[[#This Row],[AÇÕES]],'Classificação B3'!A:D,4,0)</f>
        <v/>
      </c>
      <c r="E598" s="60">
        <f>VLOOKUP(Table_1[[#This Row],[AÇÕES]],'Classificação B3'!A:F,6,0)</f>
        <v/>
      </c>
      <c r="F598" s="60">
        <f>VLOOKUP(Table_1[[#This Row],[AÇÕES]],'Classificação B3'!A:G,7,0)</f>
        <v/>
      </c>
      <c r="G598" s="61">
        <f>VLOOKUP(Table_1[[#This Row],[AÇÕES]],'Dados Status Invest'!A:B,2,0)</f>
        <v/>
      </c>
      <c r="H598" s="62">
        <f>VLOOKUP(Table_1[[#This Row],[AÇÕES]],'Dados Status Invest'!A:C,3,0)/100</f>
        <v/>
      </c>
      <c r="I598" s="62">
        <f>VLOOKUP(Table_1[[#This Row],[AÇÕES]],'Dados Status Invest'!A:D,4,0)/100</f>
        <v/>
      </c>
      <c r="J598" s="63">
        <f>VLOOKUP(Table_1[[#This Row],[AÇÕES]],'Dados Status Invest'!A:AB,28,0)</f>
        <v/>
      </c>
      <c r="K598" s="63">
        <f>VLOOKUP(Table_1[[#This Row],[AÇÕES]],'Dados Status Invest'!A:AA,27,0)</f>
        <v/>
      </c>
      <c r="L598" s="63">
        <f>Table_1[[#This Row],[PREÇO]]*Table_1[[#This Row],[DY]]</f>
        <v/>
      </c>
      <c r="M598" s="62">
        <f>$E$13</f>
        <v/>
      </c>
      <c r="N598" s="62" t="n">
        <v>0.3</v>
      </c>
      <c r="O598" s="62">
        <f>Table_1[[#This Row],[DPA]]/Table_1[[#This Row],[LPA]]</f>
        <v/>
      </c>
      <c r="P598" s="62">
        <f>IF(Table_1[[#This Row],[PAYOUT]]&lt;=40%,"CRESCIMENTO",IF(Table_1[[#This Row],[PAYOUT]]&lt;=60%,"INDEFINIDO","DIVIDENDOS"))</f>
        <v/>
      </c>
      <c r="Q598" s="62">
        <f>VLOOKUP(Table_1[[#This Row],[AÇÕES]],'Dados Status Invest'!A:R,18,0)/100</f>
        <v/>
      </c>
      <c r="R598" s="62">
        <f>VLOOKUP(Table_1[[#This Row],[AÇÕES]],'Dados Status Invest'!A:Y,25,0)/100</f>
        <v/>
      </c>
      <c r="S598" s="62">
        <f>(1-Table_1[[#This Row],[PAYOUT]])*Table_1[[#This Row],[ROE]]</f>
        <v/>
      </c>
      <c r="T598" s="98">
        <f>AVERAGE(Table_1[[#This Row],[CAGR LUCRO 5A]],Table_1[[#This Row],[CRESCIMENTO DAMODARAN]])</f>
        <v/>
      </c>
      <c r="U598" s="64">
        <f>(Table_1[[#This Row],[PREÇO JUSTO BAZIN]]-Table_1[[#This Row],[PREÇO]])/Table_1[[#This Row],[PREÇO JUSTO BAZIN]]</f>
        <v/>
      </c>
      <c r="V598" s="129">
        <f>Table_1[[#This Row],[DPA]]/6%</f>
        <v/>
      </c>
      <c r="W598" s="129">
        <f>Table_1[[#This Row],[PREÇO JUSTO BAZIN]]/(1+Table_1[[#This Row],[MARGEM DE DESCONTO]])</f>
        <v/>
      </c>
      <c r="X598" s="64">
        <f>(Table_1[[#This Row],[PREÇO JUSTO GRAHAM]]-Table_1[[#This Row],[PREÇO]])/Table_1[[#This Row],[PREÇO JUSTO GRAHAM]]</f>
        <v/>
      </c>
      <c r="Y598" s="129">
        <f>(22.5*Table_1[[#This Row],[LPA]]*Table_1[[#This Row],[VPA]])^0.5</f>
        <v/>
      </c>
      <c r="Z598" s="129">
        <f>Table_1[[#This Row],[PREÇO JUSTO GRAHAM]]/(1+Table_1[[#This Row],[MARGEM DE DESCONTO]])</f>
        <v/>
      </c>
      <c r="AA598" s="64">
        <f>(Table_1[[#This Row],[PREÇO JUSTO GORDON]]-Table_1[[#This Row],[PREÇO]])/Table_1[[#This Row],[PREÇO JUSTO GORDON]]</f>
        <v/>
      </c>
      <c r="AB598" s="130">
        <f>Table_1[[#This Row],[DPA]]*(1+Table_1[[#This Row],[MÉDIA DE CRESCIMENTO]])</f>
        <v/>
      </c>
      <c r="AC598" s="130">
        <f>Table_1[[#This Row],[D1]]/(Table_1[[#This Row],[RISCO]]-Table_1[[#This Row],[MÉDIA DE CRESCIMENTO]])</f>
        <v/>
      </c>
      <c r="AD598" s="130">
        <f>Table_1[[#This Row],[PREÇO JUSTO GORDON]]/(1+Table_1[[#This Row],[MARGEM DE DESCONTO]])</f>
        <v/>
      </c>
      <c r="AE598" s="78">
        <f>Table_1[[#This Row],[P/L]]/Table_1[[#This Row],[MÉDIA DE CRESCIMENTO]]</f>
        <v/>
      </c>
    </row>
    <row r="599" ht="15.75" customHeight="1">
      <c r="B599" s="77">
        <f>'Dados Status Invest'!A585</f>
        <v/>
      </c>
      <c r="C599" s="60">
        <f>VLOOKUP(Table_1[[#This Row],[AÇÕES]],'Classificação B3'!A:B,2,0)</f>
        <v/>
      </c>
      <c r="D599" s="60">
        <f>VLOOKUP(Table_1[[#This Row],[AÇÕES]],'Classificação B3'!A:D,4,0)</f>
        <v/>
      </c>
      <c r="E599" s="60">
        <f>VLOOKUP(Table_1[[#This Row],[AÇÕES]],'Classificação B3'!A:F,6,0)</f>
        <v/>
      </c>
      <c r="F599" s="60">
        <f>VLOOKUP(Table_1[[#This Row],[AÇÕES]],'Classificação B3'!A:G,7,0)</f>
        <v/>
      </c>
      <c r="G599" s="61">
        <f>VLOOKUP(Table_1[[#This Row],[AÇÕES]],'Dados Status Invest'!A:B,2,0)</f>
        <v/>
      </c>
      <c r="H599" s="62">
        <f>VLOOKUP(Table_1[[#This Row],[AÇÕES]],'Dados Status Invest'!A:C,3,0)/100</f>
        <v/>
      </c>
      <c r="I599" s="62">
        <f>VLOOKUP(Table_1[[#This Row],[AÇÕES]],'Dados Status Invest'!A:D,4,0)/100</f>
        <v/>
      </c>
      <c r="J599" s="63">
        <f>VLOOKUP(Table_1[[#This Row],[AÇÕES]],'Dados Status Invest'!A:AB,28,0)</f>
        <v/>
      </c>
      <c r="K599" s="63">
        <f>VLOOKUP(Table_1[[#This Row],[AÇÕES]],'Dados Status Invest'!A:AA,27,0)</f>
        <v/>
      </c>
      <c r="L599" s="63">
        <f>Table_1[[#This Row],[PREÇO]]*Table_1[[#This Row],[DY]]</f>
        <v/>
      </c>
      <c r="M599" s="62">
        <f>$E$13</f>
        <v/>
      </c>
      <c r="N599" s="62" t="n">
        <v>0.3</v>
      </c>
      <c r="O599" s="62">
        <f>Table_1[[#This Row],[DPA]]/Table_1[[#This Row],[LPA]]</f>
        <v/>
      </c>
      <c r="P599" s="62">
        <f>IF(Table_1[[#This Row],[PAYOUT]]&lt;=40%,"CRESCIMENTO",IF(Table_1[[#This Row],[PAYOUT]]&lt;=60%,"INDEFINIDO","DIVIDENDOS"))</f>
        <v/>
      </c>
      <c r="Q599" s="62">
        <f>VLOOKUP(Table_1[[#This Row],[AÇÕES]],'Dados Status Invest'!A:R,18,0)/100</f>
        <v/>
      </c>
      <c r="R599" s="62">
        <f>VLOOKUP(Table_1[[#This Row],[AÇÕES]],'Dados Status Invest'!A:Y,25,0)/100</f>
        <v/>
      </c>
      <c r="S599" s="62">
        <f>(1-Table_1[[#This Row],[PAYOUT]])*Table_1[[#This Row],[ROE]]</f>
        <v/>
      </c>
      <c r="T599" s="98">
        <f>AVERAGE(Table_1[[#This Row],[CAGR LUCRO 5A]],Table_1[[#This Row],[CRESCIMENTO DAMODARAN]])</f>
        <v/>
      </c>
      <c r="U599" s="64">
        <f>(Table_1[[#This Row],[PREÇO JUSTO BAZIN]]-Table_1[[#This Row],[PREÇO]])/Table_1[[#This Row],[PREÇO JUSTO BAZIN]]</f>
        <v/>
      </c>
      <c r="V599" s="129">
        <f>Table_1[[#This Row],[DPA]]/6%</f>
        <v/>
      </c>
      <c r="W599" s="129">
        <f>Table_1[[#This Row],[PREÇO JUSTO BAZIN]]/(1+Table_1[[#This Row],[MARGEM DE DESCONTO]])</f>
        <v/>
      </c>
      <c r="X599" s="64">
        <f>(Table_1[[#This Row],[PREÇO JUSTO GRAHAM]]-Table_1[[#This Row],[PREÇO]])/Table_1[[#This Row],[PREÇO JUSTO GRAHAM]]</f>
        <v/>
      </c>
      <c r="Y599" s="129">
        <f>(22.5*Table_1[[#This Row],[LPA]]*Table_1[[#This Row],[VPA]])^0.5</f>
        <v/>
      </c>
      <c r="Z599" s="129">
        <f>Table_1[[#This Row],[PREÇO JUSTO GRAHAM]]/(1+Table_1[[#This Row],[MARGEM DE DESCONTO]])</f>
        <v/>
      </c>
      <c r="AA599" s="64">
        <f>(Table_1[[#This Row],[PREÇO JUSTO GORDON]]-Table_1[[#This Row],[PREÇO]])/Table_1[[#This Row],[PREÇO JUSTO GORDON]]</f>
        <v/>
      </c>
      <c r="AB599" s="130">
        <f>Table_1[[#This Row],[DPA]]*(1+Table_1[[#This Row],[MÉDIA DE CRESCIMENTO]])</f>
        <v/>
      </c>
      <c r="AC599" s="130">
        <f>Table_1[[#This Row],[D1]]/(Table_1[[#This Row],[RISCO]]-Table_1[[#This Row],[MÉDIA DE CRESCIMENTO]])</f>
        <v/>
      </c>
      <c r="AD599" s="130">
        <f>Table_1[[#This Row],[PREÇO JUSTO GORDON]]/(1+Table_1[[#This Row],[MARGEM DE DESCONTO]])</f>
        <v/>
      </c>
      <c r="AE599" s="78">
        <f>Table_1[[#This Row],[P/L]]/Table_1[[#This Row],[MÉDIA DE CRESCIMENTO]]</f>
        <v/>
      </c>
    </row>
    <row r="600" ht="15.75" customHeight="1">
      <c r="B600" s="77">
        <f>'Dados Status Invest'!A586</f>
        <v/>
      </c>
      <c r="C600" s="60">
        <f>VLOOKUP(Table_1[[#This Row],[AÇÕES]],'Classificação B3'!A:B,2,0)</f>
        <v/>
      </c>
      <c r="D600" s="60">
        <f>VLOOKUP(Table_1[[#This Row],[AÇÕES]],'Classificação B3'!A:D,4,0)</f>
        <v/>
      </c>
      <c r="E600" s="60">
        <f>VLOOKUP(Table_1[[#This Row],[AÇÕES]],'Classificação B3'!A:F,6,0)</f>
        <v/>
      </c>
      <c r="F600" s="60">
        <f>VLOOKUP(Table_1[[#This Row],[AÇÕES]],'Classificação B3'!A:G,7,0)</f>
        <v/>
      </c>
      <c r="G600" s="61">
        <f>VLOOKUP(Table_1[[#This Row],[AÇÕES]],'Dados Status Invest'!A:B,2,0)</f>
        <v/>
      </c>
      <c r="H600" s="62">
        <f>VLOOKUP(Table_1[[#This Row],[AÇÕES]],'Dados Status Invest'!A:C,3,0)/100</f>
        <v/>
      </c>
      <c r="I600" s="62">
        <f>VLOOKUP(Table_1[[#This Row],[AÇÕES]],'Dados Status Invest'!A:D,4,0)/100</f>
        <v/>
      </c>
      <c r="J600" s="63">
        <f>VLOOKUP(Table_1[[#This Row],[AÇÕES]],'Dados Status Invest'!A:AB,28,0)</f>
        <v/>
      </c>
      <c r="K600" s="63">
        <f>VLOOKUP(Table_1[[#This Row],[AÇÕES]],'Dados Status Invest'!A:AA,27,0)</f>
        <v/>
      </c>
      <c r="L600" s="63">
        <f>Table_1[[#This Row],[PREÇO]]*Table_1[[#This Row],[DY]]</f>
        <v/>
      </c>
      <c r="M600" s="62">
        <f>$E$13</f>
        <v/>
      </c>
      <c r="N600" s="62" t="n">
        <v>0.3</v>
      </c>
      <c r="O600" s="62">
        <f>Table_1[[#This Row],[DPA]]/Table_1[[#This Row],[LPA]]</f>
        <v/>
      </c>
      <c r="P600" s="62">
        <f>IF(Table_1[[#This Row],[PAYOUT]]&lt;=40%,"CRESCIMENTO",IF(Table_1[[#This Row],[PAYOUT]]&lt;=60%,"INDEFINIDO","DIVIDENDOS"))</f>
        <v/>
      </c>
      <c r="Q600" s="62">
        <f>VLOOKUP(Table_1[[#This Row],[AÇÕES]],'Dados Status Invest'!A:R,18,0)/100</f>
        <v/>
      </c>
      <c r="R600" s="62">
        <f>VLOOKUP(Table_1[[#This Row],[AÇÕES]],'Dados Status Invest'!A:Y,25,0)/100</f>
        <v/>
      </c>
      <c r="S600" s="62">
        <f>(1-Table_1[[#This Row],[PAYOUT]])*Table_1[[#This Row],[ROE]]</f>
        <v/>
      </c>
      <c r="T600" s="98">
        <f>AVERAGE(Table_1[[#This Row],[CAGR LUCRO 5A]],Table_1[[#This Row],[CRESCIMENTO DAMODARAN]])</f>
        <v/>
      </c>
      <c r="U600" s="64">
        <f>(Table_1[[#This Row],[PREÇO JUSTO BAZIN]]-Table_1[[#This Row],[PREÇO]])/Table_1[[#This Row],[PREÇO JUSTO BAZIN]]</f>
        <v/>
      </c>
      <c r="V600" s="129">
        <f>Table_1[[#This Row],[DPA]]/6%</f>
        <v/>
      </c>
      <c r="W600" s="129">
        <f>Table_1[[#This Row],[PREÇO JUSTO BAZIN]]/(1+Table_1[[#This Row],[MARGEM DE DESCONTO]])</f>
        <v/>
      </c>
      <c r="X600" s="64">
        <f>(Table_1[[#This Row],[PREÇO JUSTO GRAHAM]]-Table_1[[#This Row],[PREÇO]])/Table_1[[#This Row],[PREÇO JUSTO GRAHAM]]</f>
        <v/>
      </c>
      <c r="Y600" s="129">
        <f>(22.5*Table_1[[#This Row],[LPA]]*Table_1[[#This Row],[VPA]])^0.5</f>
        <v/>
      </c>
      <c r="Z600" s="129">
        <f>Table_1[[#This Row],[PREÇO JUSTO GRAHAM]]/(1+Table_1[[#This Row],[MARGEM DE DESCONTO]])</f>
        <v/>
      </c>
      <c r="AA600" s="64">
        <f>(Table_1[[#This Row],[PREÇO JUSTO GORDON]]-Table_1[[#This Row],[PREÇO]])/Table_1[[#This Row],[PREÇO JUSTO GORDON]]</f>
        <v/>
      </c>
      <c r="AB600" s="130">
        <f>Table_1[[#This Row],[DPA]]*(1+Table_1[[#This Row],[MÉDIA DE CRESCIMENTO]])</f>
        <v/>
      </c>
      <c r="AC600" s="130">
        <f>Table_1[[#This Row],[D1]]/(Table_1[[#This Row],[RISCO]]-Table_1[[#This Row],[MÉDIA DE CRESCIMENTO]])</f>
        <v/>
      </c>
      <c r="AD600" s="130">
        <f>Table_1[[#This Row],[PREÇO JUSTO GORDON]]/(1+Table_1[[#This Row],[MARGEM DE DESCONTO]])</f>
        <v/>
      </c>
      <c r="AE600" s="78">
        <f>Table_1[[#This Row],[P/L]]/Table_1[[#This Row],[MÉDIA DE CRESCIMENTO]]</f>
        <v/>
      </c>
    </row>
    <row r="601" ht="15.75" customHeight="1">
      <c r="B601" s="77">
        <f>'Dados Status Invest'!A587</f>
        <v/>
      </c>
      <c r="C601" s="60">
        <f>VLOOKUP(Table_1[[#This Row],[AÇÕES]],'Classificação B3'!A:B,2,0)</f>
        <v/>
      </c>
      <c r="D601" s="60">
        <f>VLOOKUP(Table_1[[#This Row],[AÇÕES]],'Classificação B3'!A:D,4,0)</f>
        <v/>
      </c>
      <c r="E601" s="60">
        <f>VLOOKUP(Table_1[[#This Row],[AÇÕES]],'Classificação B3'!A:F,6,0)</f>
        <v/>
      </c>
      <c r="F601" s="60">
        <f>VLOOKUP(Table_1[[#This Row],[AÇÕES]],'Classificação B3'!A:G,7,0)</f>
        <v/>
      </c>
      <c r="G601" s="61">
        <f>VLOOKUP(Table_1[[#This Row],[AÇÕES]],'Dados Status Invest'!A:B,2,0)</f>
        <v/>
      </c>
      <c r="H601" s="62">
        <f>VLOOKUP(Table_1[[#This Row],[AÇÕES]],'Dados Status Invest'!A:C,3,0)/100</f>
        <v/>
      </c>
      <c r="I601" s="62">
        <f>VLOOKUP(Table_1[[#This Row],[AÇÕES]],'Dados Status Invest'!A:D,4,0)/100</f>
        <v/>
      </c>
      <c r="J601" s="63">
        <f>VLOOKUP(Table_1[[#This Row],[AÇÕES]],'Dados Status Invest'!A:AB,28,0)</f>
        <v/>
      </c>
      <c r="K601" s="63">
        <f>VLOOKUP(Table_1[[#This Row],[AÇÕES]],'Dados Status Invest'!A:AA,27,0)</f>
        <v/>
      </c>
      <c r="L601" s="63">
        <f>Table_1[[#This Row],[PREÇO]]*Table_1[[#This Row],[DY]]</f>
        <v/>
      </c>
      <c r="M601" s="62">
        <f>$E$13</f>
        <v/>
      </c>
      <c r="N601" s="62" t="n">
        <v>0.3</v>
      </c>
      <c r="O601" s="62">
        <f>Table_1[[#This Row],[DPA]]/Table_1[[#This Row],[LPA]]</f>
        <v/>
      </c>
      <c r="P601" s="62">
        <f>IF(Table_1[[#This Row],[PAYOUT]]&lt;=40%,"CRESCIMENTO",IF(Table_1[[#This Row],[PAYOUT]]&lt;=60%,"INDEFINIDO","DIVIDENDOS"))</f>
        <v/>
      </c>
      <c r="Q601" s="62">
        <f>VLOOKUP(Table_1[[#This Row],[AÇÕES]],'Dados Status Invest'!A:R,18,0)/100</f>
        <v/>
      </c>
      <c r="R601" s="62">
        <f>VLOOKUP(Table_1[[#This Row],[AÇÕES]],'Dados Status Invest'!A:Y,25,0)/100</f>
        <v/>
      </c>
      <c r="S601" s="62">
        <f>(1-Table_1[[#This Row],[PAYOUT]])*Table_1[[#This Row],[ROE]]</f>
        <v/>
      </c>
      <c r="T601" s="98">
        <f>AVERAGE(Table_1[[#This Row],[CAGR LUCRO 5A]],Table_1[[#This Row],[CRESCIMENTO DAMODARAN]])</f>
        <v/>
      </c>
      <c r="U601" s="64">
        <f>(Table_1[[#This Row],[PREÇO JUSTO BAZIN]]-Table_1[[#This Row],[PREÇO]])/Table_1[[#This Row],[PREÇO JUSTO BAZIN]]</f>
        <v/>
      </c>
      <c r="V601" s="129">
        <f>Table_1[[#This Row],[DPA]]/6%</f>
        <v/>
      </c>
      <c r="W601" s="129">
        <f>Table_1[[#This Row],[PREÇO JUSTO BAZIN]]/(1+Table_1[[#This Row],[MARGEM DE DESCONTO]])</f>
        <v/>
      </c>
      <c r="X601" s="64">
        <f>(Table_1[[#This Row],[PREÇO JUSTO GRAHAM]]-Table_1[[#This Row],[PREÇO]])/Table_1[[#This Row],[PREÇO JUSTO GRAHAM]]</f>
        <v/>
      </c>
      <c r="Y601" s="129">
        <f>(22.5*Table_1[[#This Row],[LPA]]*Table_1[[#This Row],[VPA]])^0.5</f>
        <v/>
      </c>
      <c r="Z601" s="129">
        <f>Table_1[[#This Row],[PREÇO JUSTO GRAHAM]]/(1+Table_1[[#This Row],[MARGEM DE DESCONTO]])</f>
        <v/>
      </c>
      <c r="AA601" s="64">
        <f>(Table_1[[#This Row],[PREÇO JUSTO GORDON]]-Table_1[[#This Row],[PREÇO]])/Table_1[[#This Row],[PREÇO JUSTO GORDON]]</f>
        <v/>
      </c>
      <c r="AB601" s="130">
        <f>Table_1[[#This Row],[DPA]]*(1+Table_1[[#This Row],[MÉDIA DE CRESCIMENTO]])</f>
        <v/>
      </c>
      <c r="AC601" s="130">
        <f>Table_1[[#This Row],[D1]]/(Table_1[[#This Row],[RISCO]]-Table_1[[#This Row],[MÉDIA DE CRESCIMENTO]])</f>
        <v/>
      </c>
      <c r="AD601" s="130">
        <f>Table_1[[#This Row],[PREÇO JUSTO GORDON]]/(1+Table_1[[#This Row],[MARGEM DE DESCONTO]])</f>
        <v/>
      </c>
      <c r="AE601" s="78">
        <f>Table_1[[#This Row],[P/L]]/Table_1[[#This Row],[MÉDIA DE CRESCIMENTO]]</f>
        <v/>
      </c>
    </row>
    <row r="602" ht="15.75" customHeight="1">
      <c r="B602" s="77">
        <f>'Dados Status Invest'!A588</f>
        <v/>
      </c>
      <c r="C602" s="60">
        <f>VLOOKUP(Table_1[[#This Row],[AÇÕES]],'Classificação B3'!A:B,2,0)</f>
        <v/>
      </c>
      <c r="D602" s="60">
        <f>VLOOKUP(Table_1[[#This Row],[AÇÕES]],'Classificação B3'!A:D,4,0)</f>
        <v/>
      </c>
      <c r="E602" s="60">
        <f>VLOOKUP(Table_1[[#This Row],[AÇÕES]],'Classificação B3'!A:F,6,0)</f>
        <v/>
      </c>
      <c r="F602" s="60">
        <f>VLOOKUP(Table_1[[#This Row],[AÇÕES]],'Classificação B3'!A:G,7,0)</f>
        <v/>
      </c>
      <c r="G602" s="61">
        <f>VLOOKUP(Table_1[[#This Row],[AÇÕES]],'Dados Status Invest'!A:B,2,0)</f>
        <v/>
      </c>
      <c r="H602" s="62">
        <f>VLOOKUP(Table_1[[#This Row],[AÇÕES]],'Dados Status Invest'!A:C,3,0)/100</f>
        <v/>
      </c>
      <c r="I602" s="62">
        <f>VLOOKUP(Table_1[[#This Row],[AÇÕES]],'Dados Status Invest'!A:D,4,0)/100</f>
        <v/>
      </c>
      <c r="J602" s="63">
        <f>VLOOKUP(Table_1[[#This Row],[AÇÕES]],'Dados Status Invest'!A:AB,28,0)</f>
        <v/>
      </c>
      <c r="K602" s="63">
        <f>VLOOKUP(Table_1[[#This Row],[AÇÕES]],'Dados Status Invest'!A:AA,27,0)</f>
        <v/>
      </c>
      <c r="L602" s="63">
        <f>Table_1[[#This Row],[PREÇO]]*Table_1[[#This Row],[DY]]</f>
        <v/>
      </c>
      <c r="M602" s="62">
        <f>$E$13</f>
        <v/>
      </c>
      <c r="N602" s="62" t="n">
        <v>0.3</v>
      </c>
      <c r="O602" s="62">
        <f>Table_1[[#This Row],[DPA]]/Table_1[[#This Row],[LPA]]</f>
        <v/>
      </c>
      <c r="P602" s="62">
        <f>IF(Table_1[[#This Row],[PAYOUT]]&lt;=40%,"CRESCIMENTO",IF(Table_1[[#This Row],[PAYOUT]]&lt;=60%,"INDEFINIDO","DIVIDENDOS"))</f>
        <v/>
      </c>
      <c r="Q602" s="62">
        <f>VLOOKUP(Table_1[[#This Row],[AÇÕES]],'Dados Status Invest'!A:R,18,0)/100</f>
        <v/>
      </c>
      <c r="R602" s="62">
        <f>VLOOKUP(Table_1[[#This Row],[AÇÕES]],'Dados Status Invest'!A:Y,25,0)/100</f>
        <v/>
      </c>
      <c r="S602" s="62">
        <f>(1-Table_1[[#This Row],[PAYOUT]])*Table_1[[#This Row],[ROE]]</f>
        <v/>
      </c>
      <c r="T602" s="98">
        <f>AVERAGE(Table_1[[#This Row],[CAGR LUCRO 5A]],Table_1[[#This Row],[CRESCIMENTO DAMODARAN]])</f>
        <v/>
      </c>
      <c r="U602" s="64">
        <f>(Table_1[[#This Row],[PREÇO JUSTO BAZIN]]-Table_1[[#This Row],[PREÇO]])/Table_1[[#This Row],[PREÇO JUSTO BAZIN]]</f>
        <v/>
      </c>
      <c r="V602" s="129">
        <f>Table_1[[#This Row],[DPA]]/6%</f>
        <v/>
      </c>
      <c r="W602" s="129">
        <f>Table_1[[#This Row],[PREÇO JUSTO BAZIN]]/(1+Table_1[[#This Row],[MARGEM DE DESCONTO]])</f>
        <v/>
      </c>
      <c r="X602" s="64">
        <f>(Table_1[[#This Row],[PREÇO JUSTO GRAHAM]]-Table_1[[#This Row],[PREÇO]])/Table_1[[#This Row],[PREÇO JUSTO GRAHAM]]</f>
        <v/>
      </c>
      <c r="Y602" s="129">
        <f>(22.5*Table_1[[#This Row],[LPA]]*Table_1[[#This Row],[VPA]])^0.5</f>
        <v/>
      </c>
      <c r="Z602" s="129">
        <f>Table_1[[#This Row],[PREÇO JUSTO GRAHAM]]/(1+Table_1[[#This Row],[MARGEM DE DESCONTO]])</f>
        <v/>
      </c>
      <c r="AA602" s="64">
        <f>(Table_1[[#This Row],[PREÇO JUSTO GORDON]]-Table_1[[#This Row],[PREÇO]])/Table_1[[#This Row],[PREÇO JUSTO GORDON]]</f>
        <v/>
      </c>
      <c r="AB602" s="130">
        <f>Table_1[[#This Row],[DPA]]*(1+Table_1[[#This Row],[MÉDIA DE CRESCIMENTO]])</f>
        <v/>
      </c>
      <c r="AC602" s="130">
        <f>Table_1[[#This Row],[D1]]/(Table_1[[#This Row],[RISCO]]-Table_1[[#This Row],[MÉDIA DE CRESCIMENTO]])</f>
        <v/>
      </c>
      <c r="AD602" s="130">
        <f>Table_1[[#This Row],[PREÇO JUSTO GORDON]]/(1+Table_1[[#This Row],[MARGEM DE DESCONTO]])</f>
        <v/>
      </c>
      <c r="AE602" s="78">
        <f>Table_1[[#This Row],[P/L]]/Table_1[[#This Row],[MÉDIA DE CRESCIMENTO]]</f>
        <v/>
      </c>
    </row>
    <row r="603" ht="15.75" customHeight="1">
      <c r="B603" s="77">
        <f>'Dados Status Invest'!A589</f>
        <v/>
      </c>
      <c r="C603" s="60">
        <f>VLOOKUP(Table_1[[#This Row],[AÇÕES]],'Classificação B3'!A:B,2,0)</f>
        <v/>
      </c>
      <c r="D603" s="60">
        <f>VLOOKUP(Table_1[[#This Row],[AÇÕES]],'Classificação B3'!A:D,4,0)</f>
        <v/>
      </c>
      <c r="E603" s="60">
        <f>VLOOKUP(Table_1[[#This Row],[AÇÕES]],'Classificação B3'!A:F,6,0)</f>
        <v/>
      </c>
      <c r="F603" s="60">
        <f>VLOOKUP(Table_1[[#This Row],[AÇÕES]],'Classificação B3'!A:G,7,0)</f>
        <v/>
      </c>
      <c r="G603" s="61">
        <f>VLOOKUP(Table_1[[#This Row],[AÇÕES]],'Dados Status Invest'!A:B,2,0)</f>
        <v/>
      </c>
      <c r="H603" s="62">
        <f>VLOOKUP(Table_1[[#This Row],[AÇÕES]],'Dados Status Invest'!A:C,3,0)/100</f>
        <v/>
      </c>
      <c r="I603" s="62">
        <f>VLOOKUP(Table_1[[#This Row],[AÇÕES]],'Dados Status Invest'!A:D,4,0)/100</f>
        <v/>
      </c>
      <c r="J603" s="63">
        <f>VLOOKUP(Table_1[[#This Row],[AÇÕES]],'Dados Status Invest'!A:AB,28,0)</f>
        <v/>
      </c>
      <c r="K603" s="63">
        <f>VLOOKUP(Table_1[[#This Row],[AÇÕES]],'Dados Status Invest'!A:AA,27,0)</f>
        <v/>
      </c>
      <c r="L603" s="63">
        <f>Table_1[[#This Row],[PREÇO]]*Table_1[[#This Row],[DY]]</f>
        <v/>
      </c>
      <c r="M603" s="62">
        <f>$E$13</f>
        <v/>
      </c>
      <c r="N603" s="62" t="n">
        <v>0.3</v>
      </c>
      <c r="O603" s="62">
        <f>Table_1[[#This Row],[DPA]]/Table_1[[#This Row],[LPA]]</f>
        <v/>
      </c>
      <c r="P603" s="62">
        <f>IF(Table_1[[#This Row],[PAYOUT]]&lt;=40%,"CRESCIMENTO",IF(Table_1[[#This Row],[PAYOUT]]&lt;=60%,"INDEFINIDO","DIVIDENDOS"))</f>
        <v/>
      </c>
      <c r="Q603" s="62">
        <f>VLOOKUP(Table_1[[#This Row],[AÇÕES]],'Dados Status Invest'!A:R,18,0)/100</f>
        <v/>
      </c>
      <c r="R603" s="62">
        <f>VLOOKUP(Table_1[[#This Row],[AÇÕES]],'Dados Status Invest'!A:Y,25,0)/100</f>
        <v/>
      </c>
      <c r="S603" s="62">
        <f>(1-Table_1[[#This Row],[PAYOUT]])*Table_1[[#This Row],[ROE]]</f>
        <v/>
      </c>
      <c r="T603" s="98">
        <f>AVERAGE(Table_1[[#This Row],[CAGR LUCRO 5A]],Table_1[[#This Row],[CRESCIMENTO DAMODARAN]])</f>
        <v/>
      </c>
      <c r="U603" s="64">
        <f>(Table_1[[#This Row],[PREÇO JUSTO BAZIN]]-Table_1[[#This Row],[PREÇO]])/Table_1[[#This Row],[PREÇO JUSTO BAZIN]]</f>
        <v/>
      </c>
      <c r="V603" s="129">
        <f>Table_1[[#This Row],[DPA]]/6%</f>
        <v/>
      </c>
      <c r="W603" s="129">
        <f>Table_1[[#This Row],[PREÇO JUSTO BAZIN]]/(1+Table_1[[#This Row],[MARGEM DE DESCONTO]])</f>
        <v/>
      </c>
      <c r="X603" s="64">
        <f>(Table_1[[#This Row],[PREÇO JUSTO GRAHAM]]-Table_1[[#This Row],[PREÇO]])/Table_1[[#This Row],[PREÇO JUSTO GRAHAM]]</f>
        <v/>
      </c>
      <c r="Y603" s="129">
        <f>(22.5*Table_1[[#This Row],[LPA]]*Table_1[[#This Row],[VPA]])^0.5</f>
        <v/>
      </c>
      <c r="Z603" s="129">
        <f>Table_1[[#This Row],[PREÇO JUSTO GRAHAM]]/(1+Table_1[[#This Row],[MARGEM DE DESCONTO]])</f>
        <v/>
      </c>
      <c r="AA603" s="64">
        <f>(Table_1[[#This Row],[PREÇO JUSTO GORDON]]-Table_1[[#This Row],[PREÇO]])/Table_1[[#This Row],[PREÇO JUSTO GORDON]]</f>
        <v/>
      </c>
      <c r="AB603" s="130">
        <f>Table_1[[#This Row],[DPA]]*(1+Table_1[[#This Row],[MÉDIA DE CRESCIMENTO]])</f>
        <v/>
      </c>
      <c r="AC603" s="130">
        <f>Table_1[[#This Row],[D1]]/(Table_1[[#This Row],[RISCO]]-Table_1[[#This Row],[MÉDIA DE CRESCIMENTO]])</f>
        <v/>
      </c>
      <c r="AD603" s="130">
        <f>Table_1[[#This Row],[PREÇO JUSTO GORDON]]/(1+Table_1[[#This Row],[MARGEM DE DESCONTO]])</f>
        <v/>
      </c>
      <c r="AE603" s="78">
        <f>Table_1[[#This Row],[P/L]]/Table_1[[#This Row],[MÉDIA DE CRESCIMENTO]]</f>
        <v/>
      </c>
    </row>
    <row r="604" ht="15.75" customHeight="1">
      <c r="B604" s="77">
        <f>'Dados Status Invest'!A590</f>
        <v/>
      </c>
      <c r="C604" s="60">
        <f>VLOOKUP(Table_1[[#This Row],[AÇÕES]],'Classificação B3'!A:B,2,0)</f>
        <v/>
      </c>
      <c r="D604" s="60">
        <f>VLOOKUP(Table_1[[#This Row],[AÇÕES]],'Classificação B3'!A:D,4,0)</f>
        <v/>
      </c>
      <c r="E604" s="60">
        <f>VLOOKUP(Table_1[[#This Row],[AÇÕES]],'Classificação B3'!A:F,6,0)</f>
        <v/>
      </c>
      <c r="F604" s="60">
        <f>VLOOKUP(Table_1[[#This Row],[AÇÕES]],'Classificação B3'!A:G,7,0)</f>
        <v/>
      </c>
      <c r="G604" s="61">
        <f>VLOOKUP(Table_1[[#This Row],[AÇÕES]],'Dados Status Invest'!A:B,2,0)</f>
        <v/>
      </c>
      <c r="H604" s="62">
        <f>VLOOKUP(Table_1[[#This Row],[AÇÕES]],'Dados Status Invest'!A:C,3,0)/100</f>
        <v/>
      </c>
      <c r="I604" s="62">
        <f>VLOOKUP(Table_1[[#This Row],[AÇÕES]],'Dados Status Invest'!A:D,4,0)/100</f>
        <v/>
      </c>
      <c r="J604" s="63">
        <f>VLOOKUP(Table_1[[#This Row],[AÇÕES]],'Dados Status Invest'!A:AB,28,0)</f>
        <v/>
      </c>
      <c r="K604" s="63">
        <f>VLOOKUP(Table_1[[#This Row],[AÇÕES]],'Dados Status Invest'!A:AA,27,0)</f>
        <v/>
      </c>
      <c r="L604" s="63">
        <f>Table_1[[#This Row],[PREÇO]]*Table_1[[#This Row],[DY]]</f>
        <v/>
      </c>
      <c r="M604" s="62">
        <f>$E$13</f>
        <v/>
      </c>
      <c r="N604" s="62" t="n">
        <v>0.3</v>
      </c>
      <c r="O604" s="62">
        <f>Table_1[[#This Row],[DPA]]/Table_1[[#This Row],[LPA]]</f>
        <v/>
      </c>
      <c r="P604" s="62">
        <f>IF(Table_1[[#This Row],[PAYOUT]]&lt;=40%,"CRESCIMENTO",IF(Table_1[[#This Row],[PAYOUT]]&lt;=60%,"INDEFINIDO","DIVIDENDOS"))</f>
        <v/>
      </c>
      <c r="Q604" s="62">
        <f>VLOOKUP(Table_1[[#This Row],[AÇÕES]],'Dados Status Invest'!A:R,18,0)/100</f>
        <v/>
      </c>
      <c r="R604" s="62">
        <f>VLOOKUP(Table_1[[#This Row],[AÇÕES]],'Dados Status Invest'!A:Y,25,0)/100</f>
        <v/>
      </c>
      <c r="S604" s="62">
        <f>(1-Table_1[[#This Row],[PAYOUT]])*Table_1[[#This Row],[ROE]]</f>
        <v/>
      </c>
      <c r="T604" s="98">
        <f>AVERAGE(Table_1[[#This Row],[CAGR LUCRO 5A]],Table_1[[#This Row],[CRESCIMENTO DAMODARAN]])</f>
        <v/>
      </c>
      <c r="U604" s="64">
        <f>(Table_1[[#This Row],[PREÇO JUSTO BAZIN]]-Table_1[[#This Row],[PREÇO]])/Table_1[[#This Row],[PREÇO JUSTO BAZIN]]</f>
        <v/>
      </c>
      <c r="V604" s="129">
        <f>Table_1[[#This Row],[DPA]]/6%</f>
        <v/>
      </c>
      <c r="W604" s="129">
        <f>Table_1[[#This Row],[PREÇO JUSTO BAZIN]]/(1+Table_1[[#This Row],[MARGEM DE DESCONTO]])</f>
        <v/>
      </c>
      <c r="X604" s="64">
        <f>(Table_1[[#This Row],[PREÇO JUSTO GRAHAM]]-Table_1[[#This Row],[PREÇO]])/Table_1[[#This Row],[PREÇO JUSTO GRAHAM]]</f>
        <v/>
      </c>
      <c r="Y604" s="129">
        <f>(22.5*Table_1[[#This Row],[LPA]]*Table_1[[#This Row],[VPA]])^0.5</f>
        <v/>
      </c>
      <c r="Z604" s="129">
        <f>Table_1[[#This Row],[PREÇO JUSTO GRAHAM]]/(1+Table_1[[#This Row],[MARGEM DE DESCONTO]])</f>
        <v/>
      </c>
      <c r="AA604" s="64">
        <f>(Table_1[[#This Row],[PREÇO JUSTO GORDON]]-Table_1[[#This Row],[PREÇO]])/Table_1[[#This Row],[PREÇO JUSTO GORDON]]</f>
        <v/>
      </c>
      <c r="AB604" s="130">
        <f>Table_1[[#This Row],[DPA]]*(1+Table_1[[#This Row],[MÉDIA DE CRESCIMENTO]])</f>
        <v/>
      </c>
      <c r="AC604" s="130">
        <f>Table_1[[#This Row],[D1]]/(Table_1[[#This Row],[RISCO]]-Table_1[[#This Row],[MÉDIA DE CRESCIMENTO]])</f>
        <v/>
      </c>
      <c r="AD604" s="130">
        <f>Table_1[[#This Row],[PREÇO JUSTO GORDON]]/(1+Table_1[[#This Row],[MARGEM DE DESCONTO]])</f>
        <v/>
      </c>
      <c r="AE604" s="78">
        <f>Table_1[[#This Row],[P/L]]/Table_1[[#This Row],[MÉDIA DE CRESCIMENTO]]</f>
        <v/>
      </c>
    </row>
    <row r="605" ht="15.75" customHeight="1">
      <c r="B605" s="77">
        <f>'Dados Status Invest'!A591</f>
        <v/>
      </c>
      <c r="C605" s="60">
        <f>VLOOKUP(Table_1[[#This Row],[AÇÕES]],'Classificação B3'!A:B,2,0)</f>
        <v/>
      </c>
      <c r="D605" s="60">
        <f>VLOOKUP(Table_1[[#This Row],[AÇÕES]],'Classificação B3'!A:D,4,0)</f>
        <v/>
      </c>
      <c r="E605" s="60">
        <f>VLOOKUP(Table_1[[#This Row],[AÇÕES]],'Classificação B3'!A:F,6,0)</f>
        <v/>
      </c>
      <c r="F605" s="60">
        <f>VLOOKUP(Table_1[[#This Row],[AÇÕES]],'Classificação B3'!A:G,7,0)</f>
        <v/>
      </c>
      <c r="G605" s="61">
        <f>VLOOKUP(Table_1[[#This Row],[AÇÕES]],'Dados Status Invest'!A:B,2,0)</f>
        <v/>
      </c>
      <c r="H605" s="62">
        <f>VLOOKUP(Table_1[[#This Row],[AÇÕES]],'Dados Status Invest'!A:C,3,0)/100</f>
        <v/>
      </c>
      <c r="I605" s="62">
        <f>VLOOKUP(Table_1[[#This Row],[AÇÕES]],'Dados Status Invest'!A:D,4,0)/100</f>
        <v/>
      </c>
      <c r="J605" s="63">
        <f>VLOOKUP(Table_1[[#This Row],[AÇÕES]],'Dados Status Invest'!A:AB,28,0)</f>
        <v/>
      </c>
      <c r="K605" s="63">
        <f>VLOOKUP(Table_1[[#This Row],[AÇÕES]],'Dados Status Invest'!A:AA,27,0)</f>
        <v/>
      </c>
      <c r="L605" s="63">
        <f>Table_1[[#This Row],[PREÇO]]*Table_1[[#This Row],[DY]]</f>
        <v/>
      </c>
      <c r="M605" s="62">
        <f>$E$13</f>
        <v/>
      </c>
      <c r="N605" s="62" t="n">
        <v>0.3</v>
      </c>
      <c r="O605" s="62">
        <f>Table_1[[#This Row],[DPA]]/Table_1[[#This Row],[LPA]]</f>
        <v/>
      </c>
      <c r="P605" s="62">
        <f>IF(Table_1[[#This Row],[PAYOUT]]&lt;=40%,"CRESCIMENTO",IF(Table_1[[#This Row],[PAYOUT]]&lt;=60%,"INDEFINIDO","DIVIDENDOS"))</f>
        <v/>
      </c>
      <c r="Q605" s="62">
        <f>VLOOKUP(Table_1[[#This Row],[AÇÕES]],'Dados Status Invest'!A:R,18,0)/100</f>
        <v/>
      </c>
      <c r="R605" s="62">
        <f>VLOOKUP(Table_1[[#This Row],[AÇÕES]],'Dados Status Invest'!A:Y,25,0)/100</f>
        <v/>
      </c>
      <c r="S605" s="62">
        <f>(1-Table_1[[#This Row],[PAYOUT]])*Table_1[[#This Row],[ROE]]</f>
        <v/>
      </c>
      <c r="T605" s="98">
        <f>AVERAGE(Table_1[[#This Row],[CAGR LUCRO 5A]],Table_1[[#This Row],[CRESCIMENTO DAMODARAN]])</f>
        <v/>
      </c>
      <c r="U605" s="64">
        <f>(Table_1[[#This Row],[PREÇO JUSTO BAZIN]]-Table_1[[#This Row],[PREÇO]])/Table_1[[#This Row],[PREÇO JUSTO BAZIN]]</f>
        <v/>
      </c>
      <c r="V605" s="129">
        <f>Table_1[[#This Row],[DPA]]/6%</f>
        <v/>
      </c>
      <c r="W605" s="129">
        <f>Table_1[[#This Row],[PREÇO JUSTO BAZIN]]/(1+Table_1[[#This Row],[MARGEM DE DESCONTO]])</f>
        <v/>
      </c>
      <c r="X605" s="64">
        <f>(Table_1[[#This Row],[PREÇO JUSTO GRAHAM]]-Table_1[[#This Row],[PREÇO]])/Table_1[[#This Row],[PREÇO JUSTO GRAHAM]]</f>
        <v/>
      </c>
      <c r="Y605" s="129">
        <f>(22.5*Table_1[[#This Row],[LPA]]*Table_1[[#This Row],[VPA]])^0.5</f>
        <v/>
      </c>
      <c r="Z605" s="129">
        <f>Table_1[[#This Row],[PREÇO JUSTO GRAHAM]]/(1+Table_1[[#This Row],[MARGEM DE DESCONTO]])</f>
        <v/>
      </c>
      <c r="AA605" s="64">
        <f>(Table_1[[#This Row],[PREÇO JUSTO GORDON]]-Table_1[[#This Row],[PREÇO]])/Table_1[[#This Row],[PREÇO JUSTO GORDON]]</f>
        <v/>
      </c>
      <c r="AB605" s="130">
        <f>Table_1[[#This Row],[DPA]]*(1+Table_1[[#This Row],[MÉDIA DE CRESCIMENTO]])</f>
        <v/>
      </c>
      <c r="AC605" s="130">
        <f>Table_1[[#This Row],[D1]]/(Table_1[[#This Row],[RISCO]]-Table_1[[#This Row],[MÉDIA DE CRESCIMENTO]])</f>
        <v/>
      </c>
      <c r="AD605" s="130">
        <f>Table_1[[#This Row],[PREÇO JUSTO GORDON]]/(1+Table_1[[#This Row],[MARGEM DE DESCONTO]])</f>
        <v/>
      </c>
      <c r="AE605" s="78">
        <f>Table_1[[#This Row],[P/L]]/Table_1[[#This Row],[MÉDIA DE CRESCIMENTO]]</f>
        <v/>
      </c>
    </row>
    <row r="606" ht="15.75" customHeight="1">
      <c r="B606" s="77">
        <f>'Dados Status Invest'!A592</f>
        <v/>
      </c>
      <c r="C606" s="60">
        <f>VLOOKUP(Table_1[[#This Row],[AÇÕES]],'Classificação B3'!A:B,2,0)</f>
        <v/>
      </c>
      <c r="D606" s="60">
        <f>VLOOKUP(Table_1[[#This Row],[AÇÕES]],'Classificação B3'!A:D,4,0)</f>
        <v/>
      </c>
      <c r="E606" s="60">
        <f>VLOOKUP(Table_1[[#This Row],[AÇÕES]],'Classificação B3'!A:F,6,0)</f>
        <v/>
      </c>
      <c r="F606" s="60">
        <f>VLOOKUP(Table_1[[#This Row],[AÇÕES]],'Classificação B3'!A:G,7,0)</f>
        <v/>
      </c>
      <c r="G606" s="61">
        <f>VLOOKUP(Table_1[[#This Row],[AÇÕES]],'Dados Status Invest'!A:B,2,0)</f>
        <v/>
      </c>
      <c r="H606" s="62">
        <f>VLOOKUP(Table_1[[#This Row],[AÇÕES]],'Dados Status Invest'!A:C,3,0)/100</f>
        <v/>
      </c>
      <c r="I606" s="62">
        <f>VLOOKUP(Table_1[[#This Row],[AÇÕES]],'Dados Status Invest'!A:D,4,0)/100</f>
        <v/>
      </c>
      <c r="J606" s="63">
        <f>VLOOKUP(Table_1[[#This Row],[AÇÕES]],'Dados Status Invest'!A:AB,28,0)</f>
        <v/>
      </c>
      <c r="K606" s="63">
        <f>VLOOKUP(Table_1[[#This Row],[AÇÕES]],'Dados Status Invest'!A:AA,27,0)</f>
        <v/>
      </c>
      <c r="L606" s="63">
        <f>Table_1[[#This Row],[PREÇO]]*Table_1[[#This Row],[DY]]</f>
        <v/>
      </c>
      <c r="M606" s="62">
        <f>$E$13</f>
        <v/>
      </c>
      <c r="N606" s="62" t="n">
        <v>0.3</v>
      </c>
      <c r="O606" s="62">
        <f>Table_1[[#This Row],[DPA]]/Table_1[[#This Row],[LPA]]</f>
        <v/>
      </c>
      <c r="P606" s="62">
        <f>IF(Table_1[[#This Row],[PAYOUT]]&lt;=40%,"CRESCIMENTO",IF(Table_1[[#This Row],[PAYOUT]]&lt;=60%,"INDEFINIDO","DIVIDENDOS"))</f>
        <v/>
      </c>
      <c r="Q606" s="62">
        <f>VLOOKUP(Table_1[[#This Row],[AÇÕES]],'Dados Status Invest'!A:R,18,0)/100</f>
        <v/>
      </c>
      <c r="R606" s="62">
        <f>VLOOKUP(Table_1[[#This Row],[AÇÕES]],'Dados Status Invest'!A:Y,25,0)/100</f>
        <v/>
      </c>
      <c r="S606" s="62">
        <f>(1-Table_1[[#This Row],[PAYOUT]])*Table_1[[#This Row],[ROE]]</f>
        <v/>
      </c>
      <c r="T606" s="98">
        <f>AVERAGE(Table_1[[#This Row],[CAGR LUCRO 5A]],Table_1[[#This Row],[CRESCIMENTO DAMODARAN]])</f>
        <v/>
      </c>
      <c r="U606" s="64">
        <f>(Table_1[[#This Row],[PREÇO JUSTO BAZIN]]-Table_1[[#This Row],[PREÇO]])/Table_1[[#This Row],[PREÇO JUSTO BAZIN]]</f>
        <v/>
      </c>
      <c r="V606" s="129">
        <f>Table_1[[#This Row],[DPA]]/6%</f>
        <v/>
      </c>
      <c r="W606" s="129">
        <f>Table_1[[#This Row],[PREÇO JUSTO BAZIN]]/(1+Table_1[[#This Row],[MARGEM DE DESCONTO]])</f>
        <v/>
      </c>
      <c r="X606" s="64">
        <f>(Table_1[[#This Row],[PREÇO JUSTO GRAHAM]]-Table_1[[#This Row],[PREÇO]])/Table_1[[#This Row],[PREÇO JUSTO GRAHAM]]</f>
        <v/>
      </c>
      <c r="Y606" s="129">
        <f>(22.5*Table_1[[#This Row],[LPA]]*Table_1[[#This Row],[VPA]])^0.5</f>
        <v/>
      </c>
      <c r="Z606" s="129">
        <f>Table_1[[#This Row],[PREÇO JUSTO GRAHAM]]/(1+Table_1[[#This Row],[MARGEM DE DESCONTO]])</f>
        <v/>
      </c>
      <c r="AA606" s="64">
        <f>(Table_1[[#This Row],[PREÇO JUSTO GORDON]]-Table_1[[#This Row],[PREÇO]])/Table_1[[#This Row],[PREÇO JUSTO GORDON]]</f>
        <v/>
      </c>
      <c r="AB606" s="130">
        <f>Table_1[[#This Row],[DPA]]*(1+Table_1[[#This Row],[MÉDIA DE CRESCIMENTO]])</f>
        <v/>
      </c>
      <c r="AC606" s="130">
        <f>Table_1[[#This Row],[D1]]/(Table_1[[#This Row],[RISCO]]-Table_1[[#This Row],[MÉDIA DE CRESCIMENTO]])</f>
        <v/>
      </c>
      <c r="AD606" s="130">
        <f>Table_1[[#This Row],[PREÇO JUSTO GORDON]]/(1+Table_1[[#This Row],[MARGEM DE DESCONTO]])</f>
        <v/>
      </c>
      <c r="AE606" s="78">
        <f>Table_1[[#This Row],[P/L]]/Table_1[[#This Row],[MÉDIA DE CRESCIMENTO]]</f>
        <v/>
      </c>
    </row>
    <row r="607" ht="15.75" customHeight="1">
      <c r="B607" s="77">
        <f>'Dados Status Invest'!A593</f>
        <v/>
      </c>
      <c r="C607" s="60">
        <f>VLOOKUP(Table_1[[#This Row],[AÇÕES]],'Classificação B3'!A:B,2,0)</f>
        <v/>
      </c>
      <c r="D607" s="60">
        <f>VLOOKUP(Table_1[[#This Row],[AÇÕES]],'Classificação B3'!A:D,4,0)</f>
        <v/>
      </c>
      <c r="E607" s="60">
        <f>VLOOKUP(Table_1[[#This Row],[AÇÕES]],'Classificação B3'!A:F,6,0)</f>
        <v/>
      </c>
      <c r="F607" s="60">
        <f>VLOOKUP(Table_1[[#This Row],[AÇÕES]],'Classificação B3'!A:G,7,0)</f>
        <v/>
      </c>
      <c r="G607" s="61">
        <f>VLOOKUP(Table_1[[#This Row],[AÇÕES]],'Dados Status Invest'!A:B,2,0)</f>
        <v/>
      </c>
      <c r="H607" s="62">
        <f>VLOOKUP(Table_1[[#This Row],[AÇÕES]],'Dados Status Invest'!A:C,3,0)/100</f>
        <v/>
      </c>
      <c r="I607" s="62">
        <f>VLOOKUP(Table_1[[#This Row],[AÇÕES]],'Dados Status Invest'!A:D,4,0)/100</f>
        <v/>
      </c>
      <c r="J607" s="63">
        <f>VLOOKUP(Table_1[[#This Row],[AÇÕES]],'Dados Status Invest'!A:AB,28,0)</f>
        <v/>
      </c>
      <c r="K607" s="63">
        <f>VLOOKUP(Table_1[[#This Row],[AÇÕES]],'Dados Status Invest'!A:AA,27,0)</f>
        <v/>
      </c>
      <c r="L607" s="63">
        <f>Table_1[[#This Row],[PREÇO]]*Table_1[[#This Row],[DY]]</f>
        <v/>
      </c>
      <c r="M607" s="62">
        <f>$E$13</f>
        <v/>
      </c>
      <c r="N607" s="62" t="n">
        <v>0.3</v>
      </c>
      <c r="O607" s="62">
        <f>Table_1[[#This Row],[DPA]]/Table_1[[#This Row],[LPA]]</f>
        <v/>
      </c>
      <c r="P607" s="62">
        <f>IF(Table_1[[#This Row],[PAYOUT]]&lt;=40%,"CRESCIMENTO",IF(Table_1[[#This Row],[PAYOUT]]&lt;=60%,"INDEFINIDO","DIVIDENDOS"))</f>
        <v/>
      </c>
      <c r="Q607" s="62">
        <f>VLOOKUP(Table_1[[#This Row],[AÇÕES]],'Dados Status Invest'!A:R,18,0)/100</f>
        <v/>
      </c>
      <c r="R607" s="62">
        <f>VLOOKUP(Table_1[[#This Row],[AÇÕES]],'Dados Status Invest'!A:Y,25,0)/100</f>
        <v/>
      </c>
      <c r="S607" s="62">
        <f>(1-Table_1[[#This Row],[PAYOUT]])*Table_1[[#This Row],[ROE]]</f>
        <v/>
      </c>
      <c r="T607" s="98">
        <f>AVERAGE(Table_1[[#This Row],[CAGR LUCRO 5A]],Table_1[[#This Row],[CRESCIMENTO DAMODARAN]])</f>
        <v/>
      </c>
      <c r="U607" s="64">
        <f>(Table_1[[#This Row],[PREÇO JUSTO BAZIN]]-Table_1[[#This Row],[PREÇO]])/Table_1[[#This Row],[PREÇO JUSTO BAZIN]]</f>
        <v/>
      </c>
      <c r="V607" s="129">
        <f>Table_1[[#This Row],[DPA]]/6%</f>
        <v/>
      </c>
      <c r="W607" s="129">
        <f>Table_1[[#This Row],[PREÇO JUSTO BAZIN]]/(1+Table_1[[#This Row],[MARGEM DE DESCONTO]])</f>
        <v/>
      </c>
      <c r="X607" s="64">
        <f>(Table_1[[#This Row],[PREÇO JUSTO GRAHAM]]-Table_1[[#This Row],[PREÇO]])/Table_1[[#This Row],[PREÇO JUSTO GRAHAM]]</f>
        <v/>
      </c>
      <c r="Y607" s="129">
        <f>(22.5*Table_1[[#This Row],[LPA]]*Table_1[[#This Row],[VPA]])^0.5</f>
        <v/>
      </c>
      <c r="Z607" s="129">
        <f>Table_1[[#This Row],[PREÇO JUSTO GRAHAM]]/(1+Table_1[[#This Row],[MARGEM DE DESCONTO]])</f>
        <v/>
      </c>
      <c r="AA607" s="64">
        <f>(Table_1[[#This Row],[PREÇO JUSTO GORDON]]-Table_1[[#This Row],[PREÇO]])/Table_1[[#This Row],[PREÇO JUSTO GORDON]]</f>
        <v/>
      </c>
      <c r="AB607" s="130">
        <f>Table_1[[#This Row],[DPA]]*(1+Table_1[[#This Row],[MÉDIA DE CRESCIMENTO]])</f>
        <v/>
      </c>
      <c r="AC607" s="130">
        <f>Table_1[[#This Row],[D1]]/(Table_1[[#This Row],[RISCO]]-Table_1[[#This Row],[MÉDIA DE CRESCIMENTO]])</f>
        <v/>
      </c>
      <c r="AD607" s="130">
        <f>Table_1[[#This Row],[PREÇO JUSTO GORDON]]/(1+Table_1[[#This Row],[MARGEM DE DESCONTO]])</f>
        <v/>
      </c>
      <c r="AE607" s="78">
        <f>Table_1[[#This Row],[P/L]]/Table_1[[#This Row],[MÉDIA DE CRESCIMENTO]]</f>
        <v/>
      </c>
    </row>
    <row r="608" ht="15.75" customHeight="1">
      <c r="B608" s="77">
        <f>'Dados Status Invest'!A594</f>
        <v/>
      </c>
      <c r="C608" s="60">
        <f>VLOOKUP(Table_1[[#This Row],[AÇÕES]],'Classificação B3'!A:B,2,0)</f>
        <v/>
      </c>
      <c r="D608" s="60">
        <f>VLOOKUP(Table_1[[#This Row],[AÇÕES]],'Classificação B3'!A:D,4,0)</f>
        <v/>
      </c>
      <c r="E608" s="60">
        <f>VLOOKUP(Table_1[[#This Row],[AÇÕES]],'Classificação B3'!A:F,6,0)</f>
        <v/>
      </c>
      <c r="F608" s="60">
        <f>VLOOKUP(Table_1[[#This Row],[AÇÕES]],'Classificação B3'!A:G,7,0)</f>
        <v/>
      </c>
      <c r="G608" s="61">
        <f>VLOOKUP(Table_1[[#This Row],[AÇÕES]],'Dados Status Invest'!A:B,2,0)</f>
        <v/>
      </c>
      <c r="H608" s="62">
        <f>VLOOKUP(Table_1[[#This Row],[AÇÕES]],'Dados Status Invest'!A:C,3,0)/100</f>
        <v/>
      </c>
      <c r="I608" s="62">
        <f>VLOOKUP(Table_1[[#This Row],[AÇÕES]],'Dados Status Invest'!A:D,4,0)/100</f>
        <v/>
      </c>
      <c r="J608" s="63">
        <f>VLOOKUP(Table_1[[#This Row],[AÇÕES]],'Dados Status Invest'!A:AB,28,0)</f>
        <v/>
      </c>
      <c r="K608" s="63">
        <f>VLOOKUP(Table_1[[#This Row],[AÇÕES]],'Dados Status Invest'!A:AA,27,0)</f>
        <v/>
      </c>
      <c r="L608" s="63">
        <f>Table_1[[#This Row],[PREÇO]]*Table_1[[#This Row],[DY]]</f>
        <v/>
      </c>
      <c r="M608" s="62">
        <f>$E$13</f>
        <v/>
      </c>
      <c r="N608" s="62" t="n">
        <v>0.3</v>
      </c>
      <c r="O608" s="62">
        <f>Table_1[[#This Row],[DPA]]/Table_1[[#This Row],[LPA]]</f>
        <v/>
      </c>
      <c r="P608" s="62">
        <f>IF(Table_1[[#This Row],[PAYOUT]]&lt;=40%,"CRESCIMENTO",IF(Table_1[[#This Row],[PAYOUT]]&lt;=60%,"INDEFINIDO","DIVIDENDOS"))</f>
        <v/>
      </c>
      <c r="Q608" s="62">
        <f>VLOOKUP(Table_1[[#This Row],[AÇÕES]],'Dados Status Invest'!A:R,18,0)/100</f>
        <v/>
      </c>
      <c r="R608" s="62">
        <f>VLOOKUP(Table_1[[#This Row],[AÇÕES]],'Dados Status Invest'!A:Y,25,0)/100</f>
        <v/>
      </c>
      <c r="S608" s="62">
        <f>(1-Table_1[[#This Row],[PAYOUT]])*Table_1[[#This Row],[ROE]]</f>
        <v/>
      </c>
      <c r="T608" s="98">
        <f>AVERAGE(Table_1[[#This Row],[CAGR LUCRO 5A]],Table_1[[#This Row],[CRESCIMENTO DAMODARAN]])</f>
        <v/>
      </c>
      <c r="U608" s="64">
        <f>(Table_1[[#This Row],[PREÇO JUSTO BAZIN]]-Table_1[[#This Row],[PREÇO]])/Table_1[[#This Row],[PREÇO JUSTO BAZIN]]</f>
        <v/>
      </c>
      <c r="V608" s="129">
        <f>Table_1[[#This Row],[DPA]]/6%</f>
        <v/>
      </c>
      <c r="W608" s="129">
        <f>Table_1[[#This Row],[PREÇO JUSTO BAZIN]]/(1+Table_1[[#This Row],[MARGEM DE DESCONTO]])</f>
        <v/>
      </c>
      <c r="X608" s="64">
        <f>(Table_1[[#This Row],[PREÇO JUSTO GRAHAM]]-Table_1[[#This Row],[PREÇO]])/Table_1[[#This Row],[PREÇO JUSTO GRAHAM]]</f>
        <v/>
      </c>
      <c r="Y608" s="129">
        <f>(22.5*Table_1[[#This Row],[LPA]]*Table_1[[#This Row],[VPA]])^0.5</f>
        <v/>
      </c>
      <c r="Z608" s="129">
        <f>Table_1[[#This Row],[PREÇO JUSTO GRAHAM]]/(1+Table_1[[#This Row],[MARGEM DE DESCONTO]])</f>
        <v/>
      </c>
      <c r="AA608" s="64">
        <f>(Table_1[[#This Row],[PREÇO JUSTO GORDON]]-Table_1[[#This Row],[PREÇO]])/Table_1[[#This Row],[PREÇO JUSTO GORDON]]</f>
        <v/>
      </c>
      <c r="AB608" s="130">
        <f>Table_1[[#This Row],[DPA]]*(1+Table_1[[#This Row],[MÉDIA DE CRESCIMENTO]])</f>
        <v/>
      </c>
      <c r="AC608" s="130">
        <f>Table_1[[#This Row],[D1]]/(Table_1[[#This Row],[RISCO]]-Table_1[[#This Row],[MÉDIA DE CRESCIMENTO]])</f>
        <v/>
      </c>
      <c r="AD608" s="130">
        <f>Table_1[[#This Row],[PREÇO JUSTO GORDON]]/(1+Table_1[[#This Row],[MARGEM DE DESCONTO]])</f>
        <v/>
      </c>
      <c r="AE608" s="78">
        <f>Table_1[[#This Row],[P/L]]/Table_1[[#This Row],[MÉDIA DE CRESCIMENTO]]</f>
        <v/>
      </c>
    </row>
    <row r="609" ht="15.75" customHeight="1">
      <c r="B609" s="77">
        <f>'Dados Status Invest'!A595</f>
        <v/>
      </c>
      <c r="C609" s="60">
        <f>VLOOKUP(Table_1[[#This Row],[AÇÕES]],'Classificação B3'!A:B,2,0)</f>
        <v/>
      </c>
      <c r="D609" s="60">
        <f>VLOOKUP(Table_1[[#This Row],[AÇÕES]],'Classificação B3'!A:D,4,0)</f>
        <v/>
      </c>
      <c r="E609" s="60">
        <f>VLOOKUP(Table_1[[#This Row],[AÇÕES]],'Classificação B3'!A:F,6,0)</f>
        <v/>
      </c>
      <c r="F609" s="60">
        <f>VLOOKUP(Table_1[[#This Row],[AÇÕES]],'Classificação B3'!A:G,7,0)</f>
        <v/>
      </c>
      <c r="G609" s="61">
        <f>VLOOKUP(Table_1[[#This Row],[AÇÕES]],'Dados Status Invest'!A:B,2,0)</f>
        <v/>
      </c>
      <c r="H609" s="62">
        <f>VLOOKUP(Table_1[[#This Row],[AÇÕES]],'Dados Status Invest'!A:C,3,0)/100</f>
        <v/>
      </c>
      <c r="I609" s="62">
        <f>VLOOKUP(Table_1[[#This Row],[AÇÕES]],'Dados Status Invest'!A:D,4,0)/100</f>
        <v/>
      </c>
      <c r="J609" s="63">
        <f>VLOOKUP(Table_1[[#This Row],[AÇÕES]],'Dados Status Invest'!A:AB,28,0)</f>
        <v/>
      </c>
      <c r="K609" s="63">
        <f>VLOOKUP(Table_1[[#This Row],[AÇÕES]],'Dados Status Invest'!A:AA,27,0)</f>
        <v/>
      </c>
      <c r="L609" s="63">
        <f>Table_1[[#This Row],[PREÇO]]*Table_1[[#This Row],[DY]]</f>
        <v/>
      </c>
      <c r="M609" s="62">
        <f>$E$13</f>
        <v/>
      </c>
      <c r="N609" s="62" t="n">
        <v>0.3</v>
      </c>
      <c r="O609" s="62">
        <f>Table_1[[#This Row],[DPA]]/Table_1[[#This Row],[LPA]]</f>
        <v/>
      </c>
      <c r="P609" s="62">
        <f>IF(Table_1[[#This Row],[PAYOUT]]&lt;=40%,"CRESCIMENTO",IF(Table_1[[#This Row],[PAYOUT]]&lt;=60%,"INDEFINIDO","DIVIDENDOS"))</f>
        <v/>
      </c>
      <c r="Q609" s="62">
        <f>VLOOKUP(Table_1[[#This Row],[AÇÕES]],'Dados Status Invest'!A:R,18,0)/100</f>
        <v/>
      </c>
      <c r="R609" s="62">
        <f>VLOOKUP(Table_1[[#This Row],[AÇÕES]],'Dados Status Invest'!A:Y,25,0)/100</f>
        <v/>
      </c>
      <c r="S609" s="62">
        <f>(1-Table_1[[#This Row],[PAYOUT]])*Table_1[[#This Row],[ROE]]</f>
        <v/>
      </c>
      <c r="T609" s="98">
        <f>AVERAGE(Table_1[[#This Row],[CAGR LUCRO 5A]],Table_1[[#This Row],[CRESCIMENTO DAMODARAN]])</f>
        <v/>
      </c>
      <c r="U609" s="64">
        <f>(Table_1[[#This Row],[PREÇO JUSTO BAZIN]]-Table_1[[#This Row],[PREÇO]])/Table_1[[#This Row],[PREÇO JUSTO BAZIN]]</f>
        <v/>
      </c>
      <c r="V609" s="129">
        <f>Table_1[[#This Row],[DPA]]/6%</f>
        <v/>
      </c>
      <c r="W609" s="129">
        <f>Table_1[[#This Row],[PREÇO JUSTO BAZIN]]/(1+Table_1[[#This Row],[MARGEM DE DESCONTO]])</f>
        <v/>
      </c>
      <c r="X609" s="64">
        <f>(Table_1[[#This Row],[PREÇO JUSTO GRAHAM]]-Table_1[[#This Row],[PREÇO]])/Table_1[[#This Row],[PREÇO JUSTO GRAHAM]]</f>
        <v/>
      </c>
      <c r="Y609" s="129">
        <f>(22.5*Table_1[[#This Row],[LPA]]*Table_1[[#This Row],[VPA]])^0.5</f>
        <v/>
      </c>
      <c r="Z609" s="129">
        <f>Table_1[[#This Row],[PREÇO JUSTO GRAHAM]]/(1+Table_1[[#This Row],[MARGEM DE DESCONTO]])</f>
        <v/>
      </c>
      <c r="AA609" s="64">
        <f>(Table_1[[#This Row],[PREÇO JUSTO GORDON]]-Table_1[[#This Row],[PREÇO]])/Table_1[[#This Row],[PREÇO JUSTO GORDON]]</f>
        <v/>
      </c>
      <c r="AB609" s="130">
        <f>Table_1[[#This Row],[DPA]]*(1+Table_1[[#This Row],[MÉDIA DE CRESCIMENTO]])</f>
        <v/>
      </c>
      <c r="AC609" s="130">
        <f>Table_1[[#This Row],[D1]]/(Table_1[[#This Row],[RISCO]]-Table_1[[#This Row],[MÉDIA DE CRESCIMENTO]])</f>
        <v/>
      </c>
      <c r="AD609" s="130">
        <f>Table_1[[#This Row],[PREÇO JUSTO GORDON]]/(1+Table_1[[#This Row],[MARGEM DE DESCONTO]])</f>
        <v/>
      </c>
      <c r="AE609" s="78">
        <f>Table_1[[#This Row],[P/L]]/Table_1[[#This Row],[MÉDIA DE CRESCIMENTO]]</f>
        <v/>
      </c>
    </row>
    <row r="610" ht="15.75" customHeight="1">
      <c r="B610" s="77">
        <f>'Dados Status Invest'!A596</f>
        <v/>
      </c>
      <c r="C610" s="60">
        <f>VLOOKUP(Table_1[[#This Row],[AÇÕES]],'Classificação B3'!A:B,2,0)</f>
        <v/>
      </c>
      <c r="D610" s="60">
        <f>VLOOKUP(Table_1[[#This Row],[AÇÕES]],'Classificação B3'!A:D,4,0)</f>
        <v/>
      </c>
      <c r="E610" s="60">
        <f>VLOOKUP(Table_1[[#This Row],[AÇÕES]],'Classificação B3'!A:F,6,0)</f>
        <v/>
      </c>
      <c r="F610" s="60">
        <f>VLOOKUP(Table_1[[#This Row],[AÇÕES]],'Classificação B3'!A:G,7,0)</f>
        <v/>
      </c>
      <c r="G610" s="61">
        <f>VLOOKUP(Table_1[[#This Row],[AÇÕES]],'Dados Status Invest'!A:B,2,0)</f>
        <v/>
      </c>
      <c r="H610" s="62">
        <f>VLOOKUP(Table_1[[#This Row],[AÇÕES]],'Dados Status Invest'!A:C,3,0)/100</f>
        <v/>
      </c>
      <c r="I610" s="62">
        <f>VLOOKUP(Table_1[[#This Row],[AÇÕES]],'Dados Status Invest'!A:D,4,0)/100</f>
        <v/>
      </c>
      <c r="J610" s="63">
        <f>VLOOKUP(Table_1[[#This Row],[AÇÕES]],'Dados Status Invest'!A:AB,28,0)</f>
        <v/>
      </c>
      <c r="K610" s="63">
        <f>VLOOKUP(Table_1[[#This Row],[AÇÕES]],'Dados Status Invest'!A:AA,27,0)</f>
        <v/>
      </c>
      <c r="L610" s="63">
        <f>Table_1[[#This Row],[PREÇO]]*Table_1[[#This Row],[DY]]</f>
        <v/>
      </c>
      <c r="M610" s="62">
        <f>$E$13</f>
        <v/>
      </c>
      <c r="N610" s="62" t="n">
        <v>0.3</v>
      </c>
      <c r="O610" s="62">
        <f>Table_1[[#This Row],[DPA]]/Table_1[[#This Row],[LPA]]</f>
        <v/>
      </c>
      <c r="P610" s="62">
        <f>IF(Table_1[[#This Row],[PAYOUT]]&lt;=40%,"CRESCIMENTO",IF(Table_1[[#This Row],[PAYOUT]]&lt;=60%,"INDEFINIDO","DIVIDENDOS"))</f>
        <v/>
      </c>
      <c r="Q610" s="62">
        <f>VLOOKUP(Table_1[[#This Row],[AÇÕES]],'Dados Status Invest'!A:R,18,0)/100</f>
        <v/>
      </c>
      <c r="R610" s="62">
        <f>VLOOKUP(Table_1[[#This Row],[AÇÕES]],'Dados Status Invest'!A:Y,25,0)/100</f>
        <v/>
      </c>
      <c r="S610" s="62">
        <f>(1-Table_1[[#This Row],[PAYOUT]])*Table_1[[#This Row],[ROE]]</f>
        <v/>
      </c>
      <c r="T610" s="98">
        <f>AVERAGE(Table_1[[#This Row],[CAGR LUCRO 5A]],Table_1[[#This Row],[CRESCIMENTO DAMODARAN]])</f>
        <v/>
      </c>
      <c r="U610" s="64">
        <f>(Table_1[[#This Row],[PREÇO JUSTO BAZIN]]-Table_1[[#This Row],[PREÇO]])/Table_1[[#This Row],[PREÇO JUSTO BAZIN]]</f>
        <v/>
      </c>
      <c r="V610" s="129">
        <f>Table_1[[#This Row],[DPA]]/6%</f>
        <v/>
      </c>
      <c r="W610" s="129">
        <f>Table_1[[#This Row],[PREÇO JUSTO BAZIN]]/(1+Table_1[[#This Row],[MARGEM DE DESCONTO]])</f>
        <v/>
      </c>
      <c r="X610" s="64">
        <f>(Table_1[[#This Row],[PREÇO JUSTO GRAHAM]]-Table_1[[#This Row],[PREÇO]])/Table_1[[#This Row],[PREÇO JUSTO GRAHAM]]</f>
        <v/>
      </c>
      <c r="Y610" s="129">
        <f>(22.5*Table_1[[#This Row],[LPA]]*Table_1[[#This Row],[VPA]])^0.5</f>
        <v/>
      </c>
      <c r="Z610" s="129">
        <f>Table_1[[#This Row],[PREÇO JUSTO GRAHAM]]/(1+Table_1[[#This Row],[MARGEM DE DESCONTO]])</f>
        <v/>
      </c>
      <c r="AA610" s="64">
        <f>(Table_1[[#This Row],[PREÇO JUSTO GORDON]]-Table_1[[#This Row],[PREÇO]])/Table_1[[#This Row],[PREÇO JUSTO GORDON]]</f>
        <v/>
      </c>
      <c r="AB610" s="130">
        <f>Table_1[[#This Row],[DPA]]*(1+Table_1[[#This Row],[MÉDIA DE CRESCIMENTO]])</f>
        <v/>
      </c>
      <c r="AC610" s="130">
        <f>Table_1[[#This Row],[D1]]/(Table_1[[#This Row],[RISCO]]-Table_1[[#This Row],[MÉDIA DE CRESCIMENTO]])</f>
        <v/>
      </c>
      <c r="AD610" s="130">
        <f>Table_1[[#This Row],[PREÇO JUSTO GORDON]]/(1+Table_1[[#This Row],[MARGEM DE DESCONTO]])</f>
        <v/>
      </c>
      <c r="AE610" s="78">
        <f>Table_1[[#This Row],[P/L]]/Table_1[[#This Row],[MÉDIA DE CRESCIMENTO]]</f>
        <v/>
      </c>
    </row>
    <row r="611" ht="15.75" customHeight="1">
      <c r="B611" s="77">
        <f>'Dados Status Invest'!A597</f>
        <v/>
      </c>
      <c r="C611" s="60">
        <f>VLOOKUP(Table_1[[#This Row],[AÇÕES]],'Classificação B3'!A:B,2,0)</f>
        <v/>
      </c>
      <c r="D611" s="60">
        <f>VLOOKUP(Table_1[[#This Row],[AÇÕES]],'Classificação B3'!A:D,4,0)</f>
        <v/>
      </c>
      <c r="E611" s="60">
        <f>VLOOKUP(Table_1[[#This Row],[AÇÕES]],'Classificação B3'!A:F,6,0)</f>
        <v/>
      </c>
      <c r="F611" s="60">
        <f>VLOOKUP(Table_1[[#This Row],[AÇÕES]],'Classificação B3'!A:G,7,0)</f>
        <v/>
      </c>
      <c r="G611" s="61">
        <f>VLOOKUP(Table_1[[#This Row],[AÇÕES]],'Dados Status Invest'!A:B,2,0)</f>
        <v/>
      </c>
      <c r="H611" s="62">
        <f>VLOOKUP(Table_1[[#This Row],[AÇÕES]],'Dados Status Invest'!A:C,3,0)/100</f>
        <v/>
      </c>
      <c r="I611" s="62">
        <f>VLOOKUP(Table_1[[#This Row],[AÇÕES]],'Dados Status Invest'!A:D,4,0)/100</f>
        <v/>
      </c>
      <c r="J611" s="63">
        <f>VLOOKUP(Table_1[[#This Row],[AÇÕES]],'Dados Status Invest'!A:AB,28,0)</f>
        <v/>
      </c>
      <c r="K611" s="63">
        <f>VLOOKUP(Table_1[[#This Row],[AÇÕES]],'Dados Status Invest'!A:AA,27,0)</f>
        <v/>
      </c>
      <c r="L611" s="63">
        <f>Table_1[[#This Row],[PREÇO]]*Table_1[[#This Row],[DY]]</f>
        <v/>
      </c>
      <c r="M611" s="62">
        <f>$E$13</f>
        <v/>
      </c>
      <c r="N611" s="62" t="n">
        <v>0.3</v>
      </c>
      <c r="O611" s="62">
        <f>Table_1[[#This Row],[DPA]]/Table_1[[#This Row],[LPA]]</f>
        <v/>
      </c>
      <c r="P611" s="62">
        <f>IF(Table_1[[#This Row],[PAYOUT]]&lt;=40%,"CRESCIMENTO",IF(Table_1[[#This Row],[PAYOUT]]&lt;=60%,"INDEFINIDO","DIVIDENDOS"))</f>
        <v/>
      </c>
      <c r="Q611" s="62">
        <f>VLOOKUP(Table_1[[#This Row],[AÇÕES]],'Dados Status Invest'!A:R,18,0)/100</f>
        <v/>
      </c>
      <c r="R611" s="62">
        <f>VLOOKUP(Table_1[[#This Row],[AÇÕES]],'Dados Status Invest'!A:Y,25,0)/100</f>
        <v/>
      </c>
      <c r="S611" s="62">
        <f>(1-Table_1[[#This Row],[PAYOUT]])*Table_1[[#This Row],[ROE]]</f>
        <v/>
      </c>
      <c r="T611" s="98">
        <f>AVERAGE(Table_1[[#This Row],[CAGR LUCRO 5A]],Table_1[[#This Row],[CRESCIMENTO DAMODARAN]])</f>
        <v/>
      </c>
      <c r="U611" s="64">
        <f>(Table_1[[#This Row],[PREÇO JUSTO BAZIN]]-Table_1[[#This Row],[PREÇO]])/Table_1[[#This Row],[PREÇO JUSTO BAZIN]]</f>
        <v/>
      </c>
      <c r="V611" s="129">
        <f>Table_1[[#This Row],[DPA]]/6%</f>
        <v/>
      </c>
      <c r="W611" s="129">
        <f>Table_1[[#This Row],[PREÇO JUSTO BAZIN]]/(1+Table_1[[#This Row],[MARGEM DE DESCONTO]])</f>
        <v/>
      </c>
      <c r="X611" s="64">
        <f>(Table_1[[#This Row],[PREÇO JUSTO GRAHAM]]-Table_1[[#This Row],[PREÇO]])/Table_1[[#This Row],[PREÇO JUSTO GRAHAM]]</f>
        <v/>
      </c>
      <c r="Y611" s="129">
        <f>(22.5*Table_1[[#This Row],[LPA]]*Table_1[[#This Row],[VPA]])^0.5</f>
        <v/>
      </c>
      <c r="Z611" s="129">
        <f>Table_1[[#This Row],[PREÇO JUSTO GRAHAM]]/(1+Table_1[[#This Row],[MARGEM DE DESCONTO]])</f>
        <v/>
      </c>
      <c r="AA611" s="64">
        <f>(Table_1[[#This Row],[PREÇO JUSTO GORDON]]-Table_1[[#This Row],[PREÇO]])/Table_1[[#This Row],[PREÇO JUSTO GORDON]]</f>
        <v/>
      </c>
      <c r="AB611" s="130">
        <f>Table_1[[#This Row],[DPA]]*(1+Table_1[[#This Row],[MÉDIA DE CRESCIMENTO]])</f>
        <v/>
      </c>
      <c r="AC611" s="130">
        <f>Table_1[[#This Row],[D1]]/(Table_1[[#This Row],[RISCO]]-Table_1[[#This Row],[MÉDIA DE CRESCIMENTO]])</f>
        <v/>
      </c>
      <c r="AD611" s="130">
        <f>Table_1[[#This Row],[PREÇO JUSTO GORDON]]/(1+Table_1[[#This Row],[MARGEM DE DESCONTO]])</f>
        <v/>
      </c>
      <c r="AE611" s="78">
        <f>Table_1[[#This Row],[P/L]]/Table_1[[#This Row],[MÉDIA DE CRESCIMENTO]]</f>
        <v/>
      </c>
    </row>
    <row r="612" ht="15.75" customHeight="1">
      <c r="B612" s="77">
        <f>'Dados Status Invest'!A598</f>
        <v/>
      </c>
      <c r="C612" s="60">
        <f>VLOOKUP(Table_1[[#This Row],[AÇÕES]],'Classificação B3'!A:B,2,0)</f>
        <v/>
      </c>
      <c r="D612" s="60">
        <f>VLOOKUP(Table_1[[#This Row],[AÇÕES]],'Classificação B3'!A:D,4,0)</f>
        <v/>
      </c>
      <c r="E612" s="60">
        <f>VLOOKUP(Table_1[[#This Row],[AÇÕES]],'Classificação B3'!A:F,6,0)</f>
        <v/>
      </c>
      <c r="F612" s="60">
        <f>VLOOKUP(Table_1[[#This Row],[AÇÕES]],'Classificação B3'!A:G,7,0)</f>
        <v/>
      </c>
      <c r="G612" s="61">
        <f>VLOOKUP(Table_1[[#This Row],[AÇÕES]],'Dados Status Invest'!A:B,2,0)</f>
        <v/>
      </c>
      <c r="H612" s="62">
        <f>VLOOKUP(Table_1[[#This Row],[AÇÕES]],'Dados Status Invest'!A:C,3,0)/100</f>
        <v/>
      </c>
      <c r="I612" s="62">
        <f>VLOOKUP(Table_1[[#This Row],[AÇÕES]],'Dados Status Invest'!A:D,4,0)/100</f>
        <v/>
      </c>
      <c r="J612" s="63">
        <f>VLOOKUP(Table_1[[#This Row],[AÇÕES]],'Dados Status Invest'!A:AB,28,0)</f>
        <v/>
      </c>
      <c r="K612" s="63">
        <f>VLOOKUP(Table_1[[#This Row],[AÇÕES]],'Dados Status Invest'!A:AA,27,0)</f>
        <v/>
      </c>
      <c r="L612" s="63">
        <f>Table_1[[#This Row],[PREÇO]]*Table_1[[#This Row],[DY]]</f>
        <v/>
      </c>
      <c r="M612" s="62">
        <f>$E$13</f>
        <v/>
      </c>
      <c r="N612" s="62" t="n">
        <v>0.3</v>
      </c>
      <c r="O612" s="62">
        <f>Table_1[[#This Row],[DPA]]/Table_1[[#This Row],[LPA]]</f>
        <v/>
      </c>
      <c r="P612" s="62">
        <f>IF(Table_1[[#This Row],[PAYOUT]]&lt;=40%,"CRESCIMENTO",IF(Table_1[[#This Row],[PAYOUT]]&lt;=60%,"INDEFINIDO","DIVIDENDOS"))</f>
        <v/>
      </c>
      <c r="Q612" s="62">
        <f>VLOOKUP(Table_1[[#This Row],[AÇÕES]],'Dados Status Invest'!A:R,18,0)/100</f>
        <v/>
      </c>
      <c r="R612" s="62">
        <f>VLOOKUP(Table_1[[#This Row],[AÇÕES]],'Dados Status Invest'!A:Y,25,0)/100</f>
        <v/>
      </c>
      <c r="S612" s="62">
        <f>(1-Table_1[[#This Row],[PAYOUT]])*Table_1[[#This Row],[ROE]]</f>
        <v/>
      </c>
      <c r="T612" s="98">
        <f>AVERAGE(Table_1[[#This Row],[CAGR LUCRO 5A]],Table_1[[#This Row],[CRESCIMENTO DAMODARAN]])</f>
        <v/>
      </c>
      <c r="U612" s="64">
        <f>(Table_1[[#This Row],[PREÇO JUSTO BAZIN]]-Table_1[[#This Row],[PREÇO]])/Table_1[[#This Row],[PREÇO JUSTO BAZIN]]</f>
        <v/>
      </c>
      <c r="V612" s="129">
        <f>Table_1[[#This Row],[DPA]]/6%</f>
        <v/>
      </c>
      <c r="W612" s="129">
        <f>Table_1[[#This Row],[PREÇO JUSTO BAZIN]]/(1+Table_1[[#This Row],[MARGEM DE DESCONTO]])</f>
        <v/>
      </c>
      <c r="X612" s="64">
        <f>(Table_1[[#This Row],[PREÇO JUSTO GRAHAM]]-Table_1[[#This Row],[PREÇO]])/Table_1[[#This Row],[PREÇO JUSTO GRAHAM]]</f>
        <v/>
      </c>
      <c r="Y612" s="129">
        <f>(22.5*Table_1[[#This Row],[LPA]]*Table_1[[#This Row],[VPA]])^0.5</f>
        <v/>
      </c>
      <c r="Z612" s="129">
        <f>Table_1[[#This Row],[PREÇO JUSTO GRAHAM]]/(1+Table_1[[#This Row],[MARGEM DE DESCONTO]])</f>
        <v/>
      </c>
      <c r="AA612" s="64">
        <f>(Table_1[[#This Row],[PREÇO JUSTO GORDON]]-Table_1[[#This Row],[PREÇO]])/Table_1[[#This Row],[PREÇO JUSTO GORDON]]</f>
        <v/>
      </c>
      <c r="AB612" s="130">
        <f>Table_1[[#This Row],[DPA]]*(1+Table_1[[#This Row],[MÉDIA DE CRESCIMENTO]])</f>
        <v/>
      </c>
      <c r="AC612" s="130">
        <f>Table_1[[#This Row],[D1]]/(Table_1[[#This Row],[RISCO]]-Table_1[[#This Row],[MÉDIA DE CRESCIMENTO]])</f>
        <v/>
      </c>
      <c r="AD612" s="130">
        <f>Table_1[[#This Row],[PREÇO JUSTO GORDON]]/(1+Table_1[[#This Row],[MARGEM DE DESCONTO]])</f>
        <v/>
      </c>
      <c r="AE612" s="78">
        <f>Table_1[[#This Row],[P/L]]/Table_1[[#This Row],[MÉDIA DE CRESCIMENTO]]</f>
        <v/>
      </c>
    </row>
    <row r="613" ht="15.75" customHeight="1">
      <c r="B613" s="77">
        <f>'Dados Status Invest'!A599</f>
        <v/>
      </c>
      <c r="C613" s="60">
        <f>VLOOKUP(Table_1[[#This Row],[AÇÕES]],'Classificação B3'!A:B,2,0)</f>
        <v/>
      </c>
      <c r="D613" s="60">
        <f>VLOOKUP(Table_1[[#This Row],[AÇÕES]],'Classificação B3'!A:D,4,0)</f>
        <v/>
      </c>
      <c r="E613" s="60">
        <f>VLOOKUP(Table_1[[#This Row],[AÇÕES]],'Classificação B3'!A:F,6,0)</f>
        <v/>
      </c>
      <c r="F613" s="60">
        <f>VLOOKUP(Table_1[[#This Row],[AÇÕES]],'Classificação B3'!A:G,7,0)</f>
        <v/>
      </c>
      <c r="G613" s="61">
        <f>VLOOKUP(Table_1[[#This Row],[AÇÕES]],'Dados Status Invest'!A:B,2,0)</f>
        <v/>
      </c>
      <c r="H613" s="62">
        <f>VLOOKUP(Table_1[[#This Row],[AÇÕES]],'Dados Status Invest'!A:C,3,0)/100</f>
        <v/>
      </c>
      <c r="I613" s="62">
        <f>VLOOKUP(Table_1[[#This Row],[AÇÕES]],'Dados Status Invest'!A:D,4,0)/100</f>
        <v/>
      </c>
      <c r="J613" s="63">
        <f>VLOOKUP(Table_1[[#This Row],[AÇÕES]],'Dados Status Invest'!A:AB,28,0)</f>
        <v/>
      </c>
      <c r="K613" s="63">
        <f>VLOOKUP(Table_1[[#This Row],[AÇÕES]],'Dados Status Invest'!A:AA,27,0)</f>
        <v/>
      </c>
      <c r="L613" s="63">
        <f>Table_1[[#This Row],[PREÇO]]*Table_1[[#This Row],[DY]]</f>
        <v/>
      </c>
      <c r="M613" s="62">
        <f>$E$13</f>
        <v/>
      </c>
      <c r="N613" s="62" t="n">
        <v>0.3</v>
      </c>
      <c r="O613" s="62">
        <f>Table_1[[#This Row],[DPA]]/Table_1[[#This Row],[LPA]]</f>
        <v/>
      </c>
      <c r="P613" s="62">
        <f>IF(Table_1[[#This Row],[PAYOUT]]&lt;=40%,"CRESCIMENTO",IF(Table_1[[#This Row],[PAYOUT]]&lt;=60%,"INDEFINIDO","DIVIDENDOS"))</f>
        <v/>
      </c>
      <c r="Q613" s="62">
        <f>VLOOKUP(Table_1[[#This Row],[AÇÕES]],'Dados Status Invest'!A:R,18,0)/100</f>
        <v/>
      </c>
      <c r="R613" s="62">
        <f>VLOOKUP(Table_1[[#This Row],[AÇÕES]],'Dados Status Invest'!A:Y,25,0)/100</f>
        <v/>
      </c>
      <c r="S613" s="62">
        <f>(1-Table_1[[#This Row],[PAYOUT]])*Table_1[[#This Row],[ROE]]</f>
        <v/>
      </c>
      <c r="T613" s="98">
        <f>AVERAGE(Table_1[[#This Row],[CAGR LUCRO 5A]],Table_1[[#This Row],[CRESCIMENTO DAMODARAN]])</f>
        <v/>
      </c>
      <c r="U613" s="64">
        <f>(Table_1[[#This Row],[PREÇO JUSTO BAZIN]]-Table_1[[#This Row],[PREÇO]])/Table_1[[#This Row],[PREÇO JUSTO BAZIN]]</f>
        <v/>
      </c>
      <c r="V613" s="129">
        <f>Table_1[[#This Row],[DPA]]/6%</f>
        <v/>
      </c>
      <c r="W613" s="129">
        <f>Table_1[[#This Row],[PREÇO JUSTO BAZIN]]/(1+Table_1[[#This Row],[MARGEM DE DESCONTO]])</f>
        <v/>
      </c>
      <c r="X613" s="64">
        <f>(Table_1[[#This Row],[PREÇO JUSTO GRAHAM]]-Table_1[[#This Row],[PREÇO]])/Table_1[[#This Row],[PREÇO JUSTO GRAHAM]]</f>
        <v/>
      </c>
      <c r="Y613" s="129">
        <f>(22.5*Table_1[[#This Row],[LPA]]*Table_1[[#This Row],[VPA]])^0.5</f>
        <v/>
      </c>
      <c r="Z613" s="129">
        <f>Table_1[[#This Row],[PREÇO JUSTO GRAHAM]]/(1+Table_1[[#This Row],[MARGEM DE DESCONTO]])</f>
        <v/>
      </c>
      <c r="AA613" s="64">
        <f>(Table_1[[#This Row],[PREÇO JUSTO GORDON]]-Table_1[[#This Row],[PREÇO]])/Table_1[[#This Row],[PREÇO JUSTO GORDON]]</f>
        <v/>
      </c>
      <c r="AB613" s="130">
        <f>Table_1[[#This Row],[DPA]]*(1+Table_1[[#This Row],[MÉDIA DE CRESCIMENTO]])</f>
        <v/>
      </c>
      <c r="AC613" s="130">
        <f>Table_1[[#This Row],[D1]]/(Table_1[[#This Row],[RISCO]]-Table_1[[#This Row],[MÉDIA DE CRESCIMENTO]])</f>
        <v/>
      </c>
      <c r="AD613" s="130">
        <f>Table_1[[#This Row],[PREÇO JUSTO GORDON]]/(1+Table_1[[#This Row],[MARGEM DE DESCONTO]])</f>
        <v/>
      </c>
      <c r="AE613" s="78">
        <f>Table_1[[#This Row],[P/L]]/Table_1[[#This Row],[MÉDIA DE CRESCIMENTO]]</f>
        <v/>
      </c>
    </row>
    <row r="614" ht="15.75" customHeight="1">
      <c r="B614" s="77">
        <f>'Dados Status Invest'!A600</f>
        <v/>
      </c>
      <c r="C614" s="60">
        <f>VLOOKUP(Table_1[[#This Row],[AÇÕES]],'Classificação B3'!A:B,2,0)</f>
        <v/>
      </c>
      <c r="D614" s="60">
        <f>VLOOKUP(Table_1[[#This Row],[AÇÕES]],'Classificação B3'!A:D,4,0)</f>
        <v/>
      </c>
      <c r="E614" s="60">
        <f>VLOOKUP(Table_1[[#This Row],[AÇÕES]],'Classificação B3'!A:F,6,0)</f>
        <v/>
      </c>
      <c r="F614" s="60">
        <f>VLOOKUP(Table_1[[#This Row],[AÇÕES]],'Classificação B3'!A:G,7,0)</f>
        <v/>
      </c>
      <c r="G614" s="61">
        <f>VLOOKUP(Table_1[[#This Row],[AÇÕES]],'Dados Status Invest'!A:B,2,0)</f>
        <v/>
      </c>
      <c r="H614" s="62">
        <f>VLOOKUP(Table_1[[#This Row],[AÇÕES]],'Dados Status Invest'!A:C,3,0)/100</f>
        <v/>
      </c>
      <c r="I614" s="62">
        <f>VLOOKUP(Table_1[[#This Row],[AÇÕES]],'Dados Status Invest'!A:D,4,0)/100</f>
        <v/>
      </c>
      <c r="J614" s="63">
        <f>VLOOKUP(Table_1[[#This Row],[AÇÕES]],'Dados Status Invest'!A:AB,28,0)</f>
        <v/>
      </c>
      <c r="K614" s="63">
        <f>VLOOKUP(Table_1[[#This Row],[AÇÕES]],'Dados Status Invest'!A:AA,27,0)</f>
        <v/>
      </c>
      <c r="L614" s="63">
        <f>Table_1[[#This Row],[PREÇO]]*Table_1[[#This Row],[DY]]</f>
        <v/>
      </c>
      <c r="M614" s="62">
        <f>$E$13</f>
        <v/>
      </c>
      <c r="N614" s="62" t="n">
        <v>0.3</v>
      </c>
      <c r="O614" s="62">
        <f>Table_1[[#This Row],[DPA]]/Table_1[[#This Row],[LPA]]</f>
        <v/>
      </c>
      <c r="P614" s="62">
        <f>IF(Table_1[[#This Row],[PAYOUT]]&lt;=40%,"CRESCIMENTO",IF(Table_1[[#This Row],[PAYOUT]]&lt;=60%,"INDEFINIDO","DIVIDENDOS"))</f>
        <v/>
      </c>
      <c r="Q614" s="62">
        <f>VLOOKUP(Table_1[[#This Row],[AÇÕES]],'Dados Status Invest'!A:R,18,0)/100</f>
        <v/>
      </c>
      <c r="R614" s="62">
        <f>VLOOKUP(Table_1[[#This Row],[AÇÕES]],'Dados Status Invest'!A:Y,25,0)/100</f>
        <v/>
      </c>
      <c r="S614" s="62">
        <f>(1-Table_1[[#This Row],[PAYOUT]])*Table_1[[#This Row],[ROE]]</f>
        <v/>
      </c>
      <c r="T614" s="98">
        <f>AVERAGE(Table_1[[#This Row],[CAGR LUCRO 5A]],Table_1[[#This Row],[CRESCIMENTO DAMODARAN]])</f>
        <v/>
      </c>
      <c r="U614" s="64">
        <f>(Table_1[[#This Row],[PREÇO JUSTO BAZIN]]-Table_1[[#This Row],[PREÇO]])/Table_1[[#This Row],[PREÇO JUSTO BAZIN]]</f>
        <v/>
      </c>
      <c r="V614" s="129">
        <f>Table_1[[#This Row],[DPA]]/6%</f>
        <v/>
      </c>
      <c r="W614" s="129">
        <f>Table_1[[#This Row],[PREÇO JUSTO BAZIN]]/(1+Table_1[[#This Row],[MARGEM DE DESCONTO]])</f>
        <v/>
      </c>
      <c r="X614" s="64">
        <f>(Table_1[[#This Row],[PREÇO JUSTO GRAHAM]]-Table_1[[#This Row],[PREÇO]])/Table_1[[#This Row],[PREÇO JUSTO GRAHAM]]</f>
        <v/>
      </c>
      <c r="Y614" s="129">
        <f>(22.5*Table_1[[#This Row],[LPA]]*Table_1[[#This Row],[VPA]])^0.5</f>
        <v/>
      </c>
      <c r="Z614" s="129">
        <f>Table_1[[#This Row],[PREÇO JUSTO GRAHAM]]/(1+Table_1[[#This Row],[MARGEM DE DESCONTO]])</f>
        <v/>
      </c>
      <c r="AA614" s="64">
        <f>(Table_1[[#This Row],[PREÇO JUSTO GORDON]]-Table_1[[#This Row],[PREÇO]])/Table_1[[#This Row],[PREÇO JUSTO GORDON]]</f>
        <v/>
      </c>
      <c r="AB614" s="130">
        <f>Table_1[[#This Row],[DPA]]*(1+Table_1[[#This Row],[MÉDIA DE CRESCIMENTO]])</f>
        <v/>
      </c>
      <c r="AC614" s="130">
        <f>Table_1[[#This Row],[D1]]/(Table_1[[#This Row],[RISCO]]-Table_1[[#This Row],[MÉDIA DE CRESCIMENTO]])</f>
        <v/>
      </c>
      <c r="AD614" s="130">
        <f>Table_1[[#This Row],[PREÇO JUSTO GORDON]]/(1+Table_1[[#This Row],[MARGEM DE DESCONTO]])</f>
        <v/>
      </c>
      <c r="AE614" s="78">
        <f>Table_1[[#This Row],[P/L]]/Table_1[[#This Row],[MÉDIA DE CRESCIMENTO]]</f>
        <v/>
      </c>
    </row>
    <row r="615" ht="15.75" customHeight="1">
      <c r="B615" s="77">
        <f>'Dados Status Invest'!A601</f>
        <v/>
      </c>
      <c r="C615" s="60">
        <f>VLOOKUP(Table_1[[#This Row],[AÇÕES]],'Classificação B3'!A:B,2,0)</f>
        <v/>
      </c>
      <c r="D615" s="60">
        <f>VLOOKUP(Table_1[[#This Row],[AÇÕES]],'Classificação B3'!A:D,4,0)</f>
        <v/>
      </c>
      <c r="E615" s="60">
        <f>VLOOKUP(Table_1[[#This Row],[AÇÕES]],'Classificação B3'!A:F,6,0)</f>
        <v/>
      </c>
      <c r="F615" s="60">
        <f>VLOOKUP(Table_1[[#This Row],[AÇÕES]],'Classificação B3'!A:G,7,0)</f>
        <v/>
      </c>
      <c r="G615" s="61">
        <f>VLOOKUP(Table_1[[#This Row],[AÇÕES]],'Dados Status Invest'!A:B,2,0)</f>
        <v/>
      </c>
      <c r="H615" s="62">
        <f>VLOOKUP(Table_1[[#This Row],[AÇÕES]],'Dados Status Invest'!A:C,3,0)/100</f>
        <v/>
      </c>
      <c r="I615" s="62">
        <f>VLOOKUP(Table_1[[#This Row],[AÇÕES]],'Dados Status Invest'!A:D,4,0)/100</f>
        <v/>
      </c>
      <c r="J615" s="63">
        <f>VLOOKUP(Table_1[[#This Row],[AÇÕES]],'Dados Status Invest'!A:AB,28,0)</f>
        <v/>
      </c>
      <c r="K615" s="63">
        <f>VLOOKUP(Table_1[[#This Row],[AÇÕES]],'Dados Status Invest'!A:AA,27,0)</f>
        <v/>
      </c>
      <c r="L615" s="63">
        <f>Table_1[[#This Row],[PREÇO]]*Table_1[[#This Row],[DY]]</f>
        <v/>
      </c>
      <c r="M615" s="67">
        <f>$E$13</f>
        <v/>
      </c>
      <c r="N615" s="62" t="n">
        <v>0.3</v>
      </c>
      <c r="O615" s="62">
        <f>Table_1[[#This Row],[DPA]]/Table_1[[#This Row],[LPA]]</f>
        <v/>
      </c>
      <c r="P615" s="62">
        <f>IF(Table_1[[#This Row],[PAYOUT]]&lt;=40%,"CRESCIMENTO",IF(Table_1[[#This Row],[PAYOUT]]&lt;=60%,"INDEFINIDO","DIVIDENDOS"))</f>
        <v/>
      </c>
      <c r="Q615" s="62">
        <f>VLOOKUP(Table_1[[#This Row],[AÇÕES]],'Dados Status Invest'!A:R,18,0)/100</f>
        <v/>
      </c>
      <c r="R615" s="62">
        <f>VLOOKUP(Table_1[[#This Row],[AÇÕES]],'Dados Status Invest'!A:Y,25,0)/100</f>
        <v/>
      </c>
      <c r="S615" s="62">
        <f>(1-Table_1[[#This Row],[PAYOUT]])*Table_1[[#This Row],[ROE]]</f>
        <v/>
      </c>
      <c r="T615" s="98">
        <f>AVERAGE(Table_1[[#This Row],[CAGR LUCRO 5A]],Table_1[[#This Row],[CRESCIMENTO DAMODARAN]])</f>
        <v/>
      </c>
      <c r="U615" s="64">
        <f>(Table_1[[#This Row],[PREÇO JUSTO BAZIN]]-Table_1[[#This Row],[PREÇO]])/Table_1[[#This Row],[PREÇO JUSTO BAZIN]]</f>
        <v/>
      </c>
      <c r="V615" s="129">
        <f>Table_1[[#This Row],[DPA]]/6%</f>
        <v/>
      </c>
      <c r="W615" s="129">
        <f>Table_1[[#This Row],[PREÇO JUSTO BAZIN]]/(1+Table_1[[#This Row],[MARGEM DE DESCONTO]])</f>
        <v/>
      </c>
      <c r="X615" s="64">
        <f>(Table_1[[#This Row],[PREÇO JUSTO GRAHAM]]-Table_1[[#This Row],[PREÇO]])/Table_1[[#This Row],[PREÇO JUSTO GRAHAM]]</f>
        <v/>
      </c>
      <c r="Y615" s="129">
        <f>(22.5*Table_1[[#This Row],[LPA]]*Table_1[[#This Row],[VPA]])^0.5</f>
        <v/>
      </c>
      <c r="Z615" s="129">
        <f>Table_1[[#This Row],[PREÇO JUSTO GRAHAM]]/(1+Table_1[[#This Row],[MARGEM DE DESCONTO]])</f>
        <v/>
      </c>
      <c r="AA615" s="64">
        <f>(Table_1[[#This Row],[PREÇO JUSTO GORDON]]-Table_1[[#This Row],[PREÇO]])/Table_1[[#This Row],[PREÇO JUSTO GORDON]]</f>
        <v/>
      </c>
      <c r="AB615" s="130">
        <f>Table_1[[#This Row],[DPA]]*(1+Table_1[[#This Row],[MÉDIA DE CRESCIMENTO]])</f>
        <v/>
      </c>
      <c r="AC615" s="130">
        <f>Table_1[[#This Row],[D1]]/(Table_1[[#This Row],[RISCO]]-Table_1[[#This Row],[MÉDIA DE CRESCIMENTO]])</f>
        <v/>
      </c>
      <c r="AD615" s="130">
        <f>Table_1[[#This Row],[PREÇO JUSTO GORDON]]/(1+Table_1[[#This Row],[MARGEM DE DESCONTO]])</f>
        <v/>
      </c>
      <c r="AE615" s="78">
        <f>Table_1[[#This Row],[P/L]]/Table_1[[#This Row],[MÉDIA DE CRESCIMENTO]]</f>
        <v/>
      </c>
    </row>
    <row r="616" ht="15.75" customHeight="1">
      <c r="B616" s="77">
        <f>'Dados Status Invest'!A602</f>
        <v/>
      </c>
      <c r="C616" s="60">
        <f>VLOOKUP(Table_1[[#This Row],[AÇÕES]],'Classificação B3'!A:B,2,0)</f>
        <v/>
      </c>
      <c r="D616" s="60">
        <f>VLOOKUP(Table_1[[#This Row],[AÇÕES]],'Classificação B3'!A:D,4,0)</f>
        <v/>
      </c>
      <c r="E616" s="60">
        <f>VLOOKUP(Table_1[[#This Row],[AÇÕES]],'Classificação B3'!A:F,6,0)</f>
        <v/>
      </c>
      <c r="F616" s="60">
        <f>VLOOKUP(Table_1[[#This Row],[AÇÕES]],'Classificação B3'!A:G,7,0)</f>
        <v/>
      </c>
      <c r="G616" s="61">
        <f>VLOOKUP(Table_1[[#This Row],[AÇÕES]],'Dados Status Invest'!A:B,2,0)</f>
        <v/>
      </c>
      <c r="H616" s="62">
        <f>VLOOKUP(Table_1[[#This Row],[AÇÕES]],'Dados Status Invest'!A:C,3,0)/100</f>
        <v/>
      </c>
      <c r="I616" s="62">
        <f>VLOOKUP(Table_1[[#This Row],[AÇÕES]],'Dados Status Invest'!A:D,4,0)/100</f>
        <v/>
      </c>
      <c r="J616" s="63">
        <f>VLOOKUP(Table_1[[#This Row],[AÇÕES]],'Dados Status Invest'!A:AB,28,0)</f>
        <v/>
      </c>
      <c r="K616" s="63">
        <f>VLOOKUP(Table_1[[#This Row],[AÇÕES]],'Dados Status Invest'!A:AA,27,0)</f>
        <v/>
      </c>
      <c r="L616" s="63">
        <f>Table_1[[#This Row],[PREÇO]]*Table_1[[#This Row],[DY]]</f>
        <v/>
      </c>
      <c r="M616" s="67">
        <f>$E$13</f>
        <v/>
      </c>
      <c r="N616" s="62" t="n">
        <v>0.3</v>
      </c>
      <c r="O616" s="62">
        <f>Table_1[[#This Row],[DPA]]/Table_1[[#This Row],[LPA]]</f>
        <v/>
      </c>
      <c r="P616" s="62">
        <f>IF(Table_1[[#This Row],[PAYOUT]]&lt;=40%,"CRESCIMENTO",IF(Table_1[[#This Row],[PAYOUT]]&lt;=60%,"INDEFINIDO","DIVIDENDOS"))</f>
        <v/>
      </c>
      <c r="Q616" s="62">
        <f>VLOOKUP(Table_1[[#This Row],[AÇÕES]],'Dados Status Invest'!A:R,18,0)/100</f>
        <v/>
      </c>
      <c r="R616" s="62">
        <f>VLOOKUP(Table_1[[#This Row],[AÇÕES]],'Dados Status Invest'!A:Y,25,0)/100</f>
        <v/>
      </c>
      <c r="S616" s="62">
        <f>(1-Table_1[[#This Row],[PAYOUT]])*Table_1[[#This Row],[ROE]]</f>
        <v/>
      </c>
      <c r="T616" s="98">
        <f>AVERAGE(Table_1[[#This Row],[CAGR LUCRO 5A]],Table_1[[#This Row],[CRESCIMENTO DAMODARAN]])</f>
        <v/>
      </c>
      <c r="U616" s="64">
        <f>(Table_1[[#This Row],[PREÇO JUSTO BAZIN]]-Table_1[[#This Row],[PREÇO]])/Table_1[[#This Row],[PREÇO JUSTO BAZIN]]</f>
        <v/>
      </c>
      <c r="V616" s="129">
        <f>Table_1[[#This Row],[DPA]]/6%</f>
        <v/>
      </c>
      <c r="W616" s="129">
        <f>Table_1[[#This Row],[PREÇO JUSTO BAZIN]]/(1+Table_1[[#This Row],[MARGEM DE DESCONTO]])</f>
        <v/>
      </c>
      <c r="X616" s="64">
        <f>(Table_1[[#This Row],[PREÇO JUSTO GRAHAM]]-Table_1[[#This Row],[PREÇO]])/Table_1[[#This Row],[PREÇO JUSTO GRAHAM]]</f>
        <v/>
      </c>
      <c r="Y616" s="129">
        <f>(22.5*Table_1[[#This Row],[LPA]]*Table_1[[#This Row],[VPA]])^0.5</f>
        <v/>
      </c>
      <c r="Z616" s="129">
        <f>Table_1[[#This Row],[PREÇO JUSTO GRAHAM]]/(1+Table_1[[#This Row],[MARGEM DE DESCONTO]])</f>
        <v/>
      </c>
      <c r="AA616" s="64">
        <f>(Table_1[[#This Row],[PREÇO JUSTO GORDON]]-Table_1[[#This Row],[PREÇO]])/Table_1[[#This Row],[PREÇO JUSTO GORDON]]</f>
        <v/>
      </c>
      <c r="AB616" s="130">
        <f>Table_1[[#This Row],[DPA]]*(1+Table_1[[#This Row],[MÉDIA DE CRESCIMENTO]])</f>
        <v/>
      </c>
      <c r="AC616" s="130">
        <f>Table_1[[#This Row],[D1]]/(Table_1[[#This Row],[RISCO]]-Table_1[[#This Row],[MÉDIA DE CRESCIMENTO]])</f>
        <v/>
      </c>
      <c r="AD616" s="130">
        <f>Table_1[[#This Row],[PREÇO JUSTO GORDON]]/(1+Table_1[[#This Row],[MARGEM DE DESCONTO]])</f>
        <v/>
      </c>
      <c r="AE616" s="78">
        <f>Table_1[[#This Row],[P/L]]/Table_1[[#This Row],[MÉDIA DE CRESCIMENTO]]</f>
        <v/>
      </c>
    </row>
    <row r="617" ht="15.75" customHeight="1">
      <c r="B617" s="77">
        <f>'Dados Status Invest'!A603</f>
        <v/>
      </c>
      <c r="C617" s="60">
        <f>VLOOKUP(Table_1[[#This Row],[AÇÕES]],'Classificação B3'!A:B,2,0)</f>
        <v/>
      </c>
      <c r="D617" s="60">
        <f>VLOOKUP(Table_1[[#This Row],[AÇÕES]],'Classificação B3'!A:D,4,0)</f>
        <v/>
      </c>
      <c r="E617" s="60">
        <f>VLOOKUP(Table_1[[#This Row],[AÇÕES]],'Classificação B3'!A:F,6,0)</f>
        <v/>
      </c>
      <c r="F617" s="60">
        <f>VLOOKUP(Table_1[[#This Row],[AÇÕES]],'Classificação B3'!A:G,7,0)</f>
        <v/>
      </c>
      <c r="G617" s="61">
        <f>VLOOKUP(Table_1[[#This Row],[AÇÕES]],'Dados Status Invest'!A:B,2,0)</f>
        <v/>
      </c>
      <c r="H617" s="62">
        <f>VLOOKUP(Table_1[[#This Row],[AÇÕES]],'Dados Status Invest'!A:C,3,0)/100</f>
        <v/>
      </c>
      <c r="I617" s="62">
        <f>VLOOKUP(Table_1[[#This Row],[AÇÕES]],'Dados Status Invest'!A:D,4,0)/100</f>
        <v/>
      </c>
      <c r="J617" s="63">
        <f>VLOOKUP(Table_1[[#This Row],[AÇÕES]],'Dados Status Invest'!A:AB,28,0)</f>
        <v/>
      </c>
      <c r="K617" s="63">
        <f>VLOOKUP(Table_1[[#This Row],[AÇÕES]],'Dados Status Invest'!A:AA,27,0)</f>
        <v/>
      </c>
      <c r="L617" s="63">
        <f>Table_1[[#This Row],[PREÇO]]*Table_1[[#This Row],[DY]]</f>
        <v/>
      </c>
      <c r="M617" s="67">
        <f>$E$13</f>
        <v/>
      </c>
      <c r="N617" s="62" t="n">
        <v>0.3</v>
      </c>
      <c r="O617" s="62">
        <f>Table_1[[#This Row],[DPA]]/Table_1[[#This Row],[LPA]]</f>
        <v/>
      </c>
      <c r="P617" s="62">
        <f>IF(Table_1[[#This Row],[PAYOUT]]&lt;=40%,"CRESCIMENTO",IF(Table_1[[#This Row],[PAYOUT]]&lt;=60%,"INDEFINIDO","DIVIDENDOS"))</f>
        <v/>
      </c>
      <c r="Q617" s="62">
        <f>VLOOKUP(Table_1[[#This Row],[AÇÕES]],'Dados Status Invest'!A:R,18,0)/100</f>
        <v/>
      </c>
      <c r="R617" s="62">
        <f>VLOOKUP(Table_1[[#This Row],[AÇÕES]],'Dados Status Invest'!A:Y,25,0)/100</f>
        <v/>
      </c>
      <c r="S617" s="62">
        <f>(1-Table_1[[#This Row],[PAYOUT]])*Table_1[[#This Row],[ROE]]</f>
        <v/>
      </c>
      <c r="T617" s="98">
        <f>AVERAGE(Table_1[[#This Row],[CAGR LUCRO 5A]],Table_1[[#This Row],[CRESCIMENTO DAMODARAN]])</f>
        <v/>
      </c>
      <c r="U617" s="64">
        <f>(Table_1[[#This Row],[PREÇO JUSTO BAZIN]]-Table_1[[#This Row],[PREÇO]])/Table_1[[#This Row],[PREÇO JUSTO BAZIN]]</f>
        <v/>
      </c>
      <c r="V617" s="129">
        <f>Table_1[[#This Row],[DPA]]/6%</f>
        <v/>
      </c>
      <c r="W617" s="129">
        <f>Table_1[[#This Row],[PREÇO JUSTO BAZIN]]/(1+Table_1[[#This Row],[MARGEM DE DESCONTO]])</f>
        <v/>
      </c>
      <c r="X617" s="64">
        <f>(Table_1[[#This Row],[PREÇO JUSTO GRAHAM]]-Table_1[[#This Row],[PREÇO]])/Table_1[[#This Row],[PREÇO JUSTO GRAHAM]]</f>
        <v/>
      </c>
      <c r="Y617" s="129">
        <f>(22.5*Table_1[[#This Row],[LPA]]*Table_1[[#This Row],[VPA]])^0.5</f>
        <v/>
      </c>
      <c r="Z617" s="129">
        <f>Table_1[[#This Row],[PREÇO JUSTO GRAHAM]]/(1+Table_1[[#This Row],[MARGEM DE DESCONTO]])</f>
        <v/>
      </c>
      <c r="AA617" s="64">
        <f>(Table_1[[#This Row],[PREÇO JUSTO GORDON]]-Table_1[[#This Row],[PREÇO]])/Table_1[[#This Row],[PREÇO JUSTO GORDON]]</f>
        <v/>
      </c>
      <c r="AB617" s="130">
        <f>Table_1[[#This Row],[DPA]]*(1+Table_1[[#This Row],[MÉDIA DE CRESCIMENTO]])</f>
        <v/>
      </c>
      <c r="AC617" s="130">
        <f>Table_1[[#This Row],[D1]]/(Table_1[[#This Row],[RISCO]]-Table_1[[#This Row],[MÉDIA DE CRESCIMENTO]])</f>
        <v/>
      </c>
      <c r="AD617" s="130">
        <f>Table_1[[#This Row],[PREÇO JUSTO GORDON]]/(1+Table_1[[#This Row],[MARGEM DE DESCONTO]])</f>
        <v/>
      </c>
      <c r="AE617" s="78">
        <f>Table_1[[#This Row],[P/L]]/Table_1[[#This Row],[MÉDIA DE CRESCIMENTO]]</f>
        <v/>
      </c>
    </row>
    <row r="618" ht="15.75" customHeight="1">
      <c r="B618" s="77">
        <f>'Dados Status Invest'!A604</f>
        <v/>
      </c>
      <c r="C618" s="60">
        <f>VLOOKUP(Table_1[[#This Row],[AÇÕES]],'Classificação B3'!A:B,2,0)</f>
        <v/>
      </c>
      <c r="D618" s="60">
        <f>VLOOKUP(Table_1[[#This Row],[AÇÕES]],'Classificação B3'!A:D,4,0)</f>
        <v/>
      </c>
      <c r="E618" s="60">
        <f>VLOOKUP(Table_1[[#This Row],[AÇÕES]],'Classificação B3'!A:F,6,0)</f>
        <v/>
      </c>
      <c r="F618" s="60">
        <f>VLOOKUP(Table_1[[#This Row],[AÇÕES]],'Classificação B3'!A:G,7,0)</f>
        <v/>
      </c>
      <c r="G618" s="61">
        <f>VLOOKUP(Table_1[[#This Row],[AÇÕES]],'Dados Status Invest'!A:B,2,0)</f>
        <v/>
      </c>
      <c r="H618" s="62">
        <f>VLOOKUP(Table_1[[#This Row],[AÇÕES]],'Dados Status Invest'!A:C,3,0)/100</f>
        <v/>
      </c>
      <c r="I618" s="62">
        <f>VLOOKUP(Table_1[[#This Row],[AÇÕES]],'Dados Status Invest'!A:D,4,0)/100</f>
        <v/>
      </c>
      <c r="J618" s="63">
        <f>VLOOKUP(Table_1[[#This Row],[AÇÕES]],'Dados Status Invest'!A:AB,28,0)</f>
        <v/>
      </c>
      <c r="K618" s="63">
        <f>VLOOKUP(Table_1[[#This Row],[AÇÕES]],'Dados Status Invest'!A:AA,27,0)</f>
        <v/>
      </c>
      <c r="L618" s="63">
        <f>Table_1[[#This Row],[PREÇO]]*Table_1[[#This Row],[DY]]</f>
        <v/>
      </c>
      <c r="M618" s="67">
        <f>$E$13</f>
        <v/>
      </c>
      <c r="N618" s="62" t="n">
        <v>0.3</v>
      </c>
      <c r="O618" s="62">
        <f>Table_1[[#This Row],[DPA]]/Table_1[[#This Row],[LPA]]</f>
        <v/>
      </c>
      <c r="P618" s="62">
        <f>IF(Table_1[[#This Row],[PAYOUT]]&lt;=40%,"CRESCIMENTO",IF(Table_1[[#This Row],[PAYOUT]]&lt;=60%,"INDEFINIDO","DIVIDENDOS"))</f>
        <v/>
      </c>
      <c r="Q618" s="62">
        <f>VLOOKUP(Table_1[[#This Row],[AÇÕES]],'Dados Status Invest'!A:R,18,0)/100</f>
        <v/>
      </c>
      <c r="R618" s="62">
        <f>VLOOKUP(Table_1[[#This Row],[AÇÕES]],'Dados Status Invest'!A:Y,25,0)/100</f>
        <v/>
      </c>
      <c r="S618" s="62">
        <f>(1-Table_1[[#This Row],[PAYOUT]])*Table_1[[#This Row],[ROE]]</f>
        <v/>
      </c>
      <c r="T618" s="98">
        <f>AVERAGE(Table_1[[#This Row],[CAGR LUCRO 5A]],Table_1[[#This Row],[CRESCIMENTO DAMODARAN]])</f>
        <v/>
      </c>
      <c r="U618" s="64">
        <f>(Table_1[[#This Row],[PREÇO JUSTO BAZIN]]-Table_1[[#This Row],[PREÇO]])/Table_1[[#This Row],[PREÇO JUSTO BAZIN]]</f>
        <v/>
      </c>
      <c r="V618" s="129">
        <f>Table_1[[#This Row],[DPA]]/6%</f>
        <v/>
      </c>
      <c r="W618" s="129">
        <f>Table_1[[#This Row],[PREÇO JUSTO BAZIN]]/(1+Table_1[[#This Row],[MARGEM DE DESCONTO]])</f>
        <v/>
      </c>
      <c r="X618" s="64">
        <f>(Table_1[[#This Row],[PREÇO JUSTO GRAHAM]]-Table_1[[#This Row],[PREÇO]])/Table_1[[#This Row],[PREÇO JUSTO GRAHAM]]</f>
        <v/>
      </c>
      <c r="Y618" s="129">
        <f>(22.5*Table_1[[#This Row],[LPA]]*Table_1[[#This Row],[VPA]])^0.5</f>
        <v/>
      </c>
      <c r="Z618" s="129">
        <f>Table_1[[#This Row],[PREÇO JUSTO GRAHAM]]/(1+Table_1[[#This Row],[MARGEM DE DESCONTO]])</f>
        <v/>
      </c>
      <c r="AA618" s="64">
        <f>(Table_1[[#This Row],[PREÇO JUSTO GORDON]]-Table_1[[#This Row],[PREÇO]])/Table_1[[#This Row],[PREÇO JUSTO GORDON]]</f>
        <v/>
      </c>
      <c r="AB618" s="130">
        <f>Table_1[[#This Row],[DPA]]*(1+Table_1[[#This Row],[MÉDIA DE CRESCIMENTO]])</f>
        <v/>
      </c>
      <c r="AC618" s="130">
        <f>Table_1[[#This Row],[D1]]/(Table_1[[#This Row],[RISCO]]-Table_1[[#This Row],[MÉDIA DE CRESCIMENTO]])</f>
        <v/>
      </c>
      <c r="AD618" s="130">
        <f>Table_1[[#This Row],[PREÇO JUSTO GORDON]]/(1+Table_1[[#This Row],[MARGEM DE DESCONTO]])</f>
        <v/>
      </c>
      <c r="AE618" s="78">
        <f>Table_1[[#This Row],[P/L]]/Table_1[[#This Row],[MÉDIA DE CRESCIMENTO]]</f>
        <v/>
      </c>
    </row>
    <row r="619" ht="15.75" customHeight="1">
      <c r="B619" s="77">
        <f>'Dados Status Invest'!A605</f>
        <v/>
      </c>
      <c r="C619" s="60">
        <f>VLOOKUP(Table_1[[#This Row],[AÇÕES]],'Classificação B3'!A:B,2,0)</f>
        <v/>
      </c>
      <c r="D619" s="60">
        <f>VLOOKUP(Table_1[[#This Row],[AÇÕES]],'Classificação B3'!A:D,4,0)</f>
        <v/>
      </c>
      <c r="E619" s="60">
        <f>VLOOKUP(Table_1[[#This Row],[AÇÕES]],'Classificação B3'!A:F,6,0)</f>
        <v/>
      </c>
      <c r="F619" s="60">
        <f>VLOOKUP(Table_1[[#This Row],[AÇÕES]],'Classificação B3'!A:G,7,0)</f>
        <v/>
      </c>
      <c r="G619" s="61">
        <f>VLOOKUP(Table_1[[#This Row],[AÇÕES]],'Dados Status Invest'!A:B,2,0)</f>
        <v/>
      </c>
      <c r="H619" s="62">
        <f>VLOOKUP(Table_1[[#This Row],[AÇÕES]],'Dados Status Invest'!A:C,3,0)/100</f>
        <v/>
      </c>
      <c r="I619" s="62">
        <f>VLOOKUP(Table_1[[#This Row],[AÇÕES]],'Dados Status Invest'!A:D,4,0)/100</f>
        <v/>
      </c>
      <c r="J619" s="63">
        <f>VLOOKUP(Table_1[[#This Row],[AÇÕES]],'Dados Status Invest'!A:AB,28,0)</f>
        <v/>
      </c>
      <c r="K619" s="63">
        <f>VLOOKUP(Table_1[[#This Row],[AÇÕES]],'Dados Status Invest'!A:AA,27,0)</f>
        <v/>
      </c>
      <c r="L619" s="63">
        <f>Table_1[[#This Row],[PREÇO]]*Table_1[[#This Row],[DY]]</f>
        <v/>
      </c>
      <c r="M619" s="67">
        <f>$E$13</f>
        <v/>
      </c>
      <c r="N619" s="62" t="n">
        <v>0.3</v>
      </c>
      <c r="O619" s="62">
        <f>Table_1[[#This Row],[DPA]]/Table_1[[#This Row],[LPA]]</f>
        <v/>
      </c>
      <c r="P619" s="62">
        <f>IF(Table_1[[#This Row],[PAYOUT]]&lt;=40%,"CRESCIMENTO",IF(Table_1[[#This Row],[PAYOUT]]&lt;=60%,"INDEFINIDO","DIVIDENDOS"))</f>
        <v/>
      </c>
      <c r="Q619" s="62">
        <f>VLOOKUP(Table_1[[#This Row],[AÇÕES]],'Dados Status Invest'!A:R,18,0)/100</f>
        <v/>
      </c>
      <c r="R619" s="62">
        <f>VLOOKUP(Table_1[[#This Row],[AÇÕES]],'Dados Status Invest'!A:Y,25,0)/100</f>
        <v/>
      </c>
      <c r="S619" s="62">
        <f>(1-Table_1[[#This Row],[PAYOUT]])*Table_1[[#This Row],[ROE]]</f>
        <v/>
      </c>
      <c r="T619" s="98">
        <f>AVERAGE(Table_1[[#This Row],[CAGR LUCRO 5A]],Table_1[[#This Row],[CRESCIMENTO DAMODARAN]])</f>
        <v/>
      </c>
      <c r="U619" s="64">
        <f>(Table_1[[#This Row],[PREÇO JUSTO BAZIN]]-Table_1[[#This Row],[PREÇO]])/Table_1[[#This Row],[PREÇO JUSTO BAZIN]]</f>
        <v/>
      </c>
      <c r="V619" s="129">
        <f>Table_1[[#This Row],[DPA]]/6%</f>
        <v/>
      </c>
      <c r="W619" s="129">
        <f>Table_1[[#This Row],[PREÇO JUSTO BAZIN]]/(1+Table_1[[#This Row],[MARGEM DE DESCONTO]])</f>
        <v/>
      </c>
      <c r="X619" s="64">
        <f>(Table_1[[#This Row],[PREÇO JUSTO GRAHAM]]-Table_1[[#This Row],[PREÇO]])/Table_1[[#This Row],[PREÇO JUSTO GRAHAM]]</f>
        <v/>
      </c>
      <c r="Y619" s="129">
        <f>(22.5*Table_1[[#This Row],[LPA]]*Table_1[[#This Row],[VPA]])^0.5</f>
        <v/>
      </c>
      <c r="Z619" s="129">
        <f>Table_1[[#This Row],[PREÇO JUSTO GRAHAM]]/(1+Table_1[[#This Row],[MARGEM DE DESCONTO]])</f>
        <v/>
      </c>
      <c r="AA619" s="64">
        <f>(Table_1[[#This Row],[PREÇO JUSTO GORDON]]-Table_1[[#This Row],[PREÇO]])/Table_1[[#This Row],[PREÇO JUSTO GORDON]]</f>
        <v/>
      </c>
      <c r="AB619" s="130">
        <f>Table_1[[#This Row],[DPA]]*(1+Table_1[[#This Row],[MÉDIA DE CRESCIMENTO]])</f>
        <v/>
      </c>
      <c r="AC619" s="130">
        <f>Table_1[[#This Row],[D1]]/(Table_1[[#This Row],[RISCO]]-Table_1[[#This Row],[MÉDIA DE CRESCIMENTO]])</f>
        <v/>
      </c>
      <c r="AD619" s="130">
        <f>Table_1[[#This Row],[PREÇO JUSTO GORDON]]/(1+Table_1[[#This Row],[MARGEM DE DESCONTO]])</f>
        <v/>
      </c>
      <c r="AE619" s="78">
        <f>Table_1[[#This Row],[P/L]]/Table_1[[#This Row],[MÉDIA DE CRESCIMENTO]]</f>
        <v/>
      </c>
    </row>
    <row r="620" ht="15.75" customHeight="1">
      <c r="B620" s="77">
        <f>'Dados Status Invest'!A606</f>
        <v/>
      </c>
      <c r="C620" s="60">
        <f>VLOOKUP(Table_1[[#This Row],[AÇÕES]],'Classificação B3'!A:B,2,0)</f>
        <v/>
      </c>
      <c r="D620" s="60">
        <f>VLOOKUP(Table_1[[#This Row],[AÇÕES]],'Classificação B3'!A:D,4,0)</f>
        <v/>
      </c>
      <c r="E620" s="60">
        <f>VLOOKUP(Table_1[[#This Row],[AÇÕES]],'Classificação B3'!A:F,6,0)</f>
        <v/>
      </c>
      <c r="F620" s="60">
        <f>VLOOKUP(Table_1[[#This Row],[AÇÕES]],'Classificação B3'!A:G,7,0)</f>
        <v/>
      </c>
      <c r="G620" s="61">
        <f>VLOOKUP(Table_1[[#This Row],[AÇÕES]],'Dados Status Invest'!A:B,2,0)</f>
        <v/>
      </c>
      <c r="H620" s="62">
        <f>VLOOKUP(Table_1[[#This Row],[AÇÕES]],'Dados Status Invest'!A:C,3,0)/100</f>
        <v/>
      </c>
      <c r="I620" s="62">
        <f>VLOOKUP(Table_1[[#This Row],[AÇÕES]],'Dados Status Invest'!A:D,4,0)/100</f>
        <v/>
      </c>
      <c r="J620" s="63">
        <f>VLOOKUP(Table_1[[#This Row],[AÇÕES]],'Dados Status Invest'!A:AB,28,0)</f>
        <v/>
      </c>
      <c r="K620" s="63">
        <f>VLOOKUP(Table_1[[#This Row],[AÇÕES]],'Dados Status Invest'!A:AA,27,0)</f>
        <v/>
      </c>
      <c r="L620" s="63">
        <f>Table_1[[#This Row],[PREÇO]]*Table_1[[#This Row],[DY]]</f>
        <v/>
      </c>
      <c r="M620" s="67">
        <f>$E$13</f>
        <v/>
      </c>
      <c r="N620" s="62" t="n">
        <v>0.3</v>
      </c>
      <c r="O620" s="62">
        <f>Table_1[[#This Row],[DPA]]/Table_1[[#This Row],[LPA]]</f>
        <v/>
      </c>
      <c r="P620" s="62">
        <f>IF(Table_1[[#This Row],[PAYOUT]]&lt;=40%,"CRESCIMENTO",IF(Table_1[[#This Row],[PAYOUT]]&lt;=60%,"INDEFINIDO","DIVIDENDOS"))</f>
        <v/>
      </c>
      <c r="Q620" s="62">
        <f>VLOOKUP(Table_1[[#This Row],[AÇÕES]],'Dados Status Invest'!A:R,18,0)/100</f>
        <v/>
      </c>
      <c r="R620" s="62">
        <f>VLOOKUP(Table_1[[#This Row],[AÇÕES]],'Dados Status Invest'!A:Y,25,0)/100</f>
        <v/>
      </c>
      <c r="S620" s="62">
        <f>(1-Table_1[[#This Row],[PAYOUT]])*Table_1[[#This Row],[ROE]]</f>
        <v/>
      </c>
      <c r="T620" s="98">
        <f>AVERAGE(Table_1[[#This Row],[CAGR LUCRO 5A]],Table_1[[#This Row],[CRESCIMENTO DAMODARAN]])</f>
        <v/>
      </c>
      <c r="U620" s="64">
        <f>(Table_1[[#This Row],[PREÇO JUSTO BAZIN]]-Table_1[[#This Row],[PREÇO]])/Table_1[[#This Row],[PREÇO JUSTO BAZIN]]</f>
        <v/>
      </c>
      <c r="V620" s="129">
        <f>Table_1[[#This Row],[DPA]]/6%</f>
        <v/>
      </c>
      <c r="W620" s="129">
        <f>Table_1[[#This Row],[PREÇO JUSTO BAZIN]]/(1+Table_1[[#This Row],[MARGEM DE DESCONTO]])</f>
        <v/>
      </c>
      <c r="X620" s="64">
        <f>(Table_1[[#This Row],[PREÇO JUSTO GRAHAM]]-Table_1[[#This Row],[PREÇO]])/Table_1[[#This Row],[PREÇO JUSTO GRAHAM]]</f>
        <v/>
      </c>
      <c r="Y620" s="129">
        <f>(22.5*Table_1[[#This Row],[LPA]]*Table_1[[#This Row],[VPA]])^0.5</f>
        <v/>
      </c>
      <c r="Z620" s="129">
        <f>Table_1[[#This Row],[PREÇO JUSTO GRAHAM]]/(1+Table_1[[#This Row],[MARGEM DE DESCONTO]])</f>
        <v/>
      </c>
      <c r="AA620" s="64">
        <f>(Table_1[[#This Row],[PREÇO JUSTO GORDON]]-Table_1[[#This Row],[PREÇO]])/Table_1[[#This Row],[PREÇO JUSTO GORDON]]</f>
        <v/>
      </c>
      <c r="AB620" s="130">
        <f>Table_1[[#This Row],[DPA]]*(1+Table_1[[#This Row],[MÉDIA DE CRESCIMENTO]])</f>
        <v/>
      </c>
      <c r="AC620" s="130">
        <f>Table_1[[#This Row],[D1]]/(Table_1[[#This Row],[RISCO]]-Table_1[[#This Row],[MÉDIA DE CRESCIMENTO]])</f>
        <v/>
      </c>
      <c r="AD620" s="130">
        <f>Table_1[[#This Row],[PREÇO JUSTO GORDON]]/(1+Table_1[[#This Row],[MARGEM DE DESCONTO]])</f>
        <v/>
      </c>
      <c r="AE620" s="78">
        <f>Table_1[[#This Row],[P/L]]/Table_1[[#This Row],[MÉDIA DE CRESCIMENTO]]</f>
        <v/>
      </c>
    </row>
    <row r="621" ht="15.75" customHeight="1">
      <c r="B621" s="77">
        <f>'Dados Status Invest'!A607</f>
        <v/>
      </c>
      <c r="C621" s="60">
        <f>VLOOKUP(Table_1[[#This Row],[AÇÕES]],'Classificação B3'!A:B,2,0)</f>
        <v/>
      </c>
      <c r="D621" s="60">
        <f>VLOOKUP(Table_1[[#This Row],[AÇÕES]],'Classificação B3'!A:D,4,0)</f>
        <v/>
      </c>
      <c r="E621" s="60">
        <f>VLOOKUP(Table_1[[#This Row],[AÇÕES]],'Classificação B3'!A:F,6,0)</f>
        <v/>
      </c>
      <c r="F621" s="60">
        <f>VLOOKUP(Table_1[[#This Row],[AÇÕES]],'Classificação B3'!A:G,7,0)</f>
        <v/>
      </c>
      <c r="G621" s="61">
        <f>VLOOKUP(Table_1[[#This Row],[AÇÕES]],'Dados Status Invest'!A:B,2,0)</f>
        <v/>
      </c>
      <c r="H621" s="62">
        <f>VLOOKUP(Table_1[[#This Row],[AÇÕES]],'Dados Status Invest'!A:C,3,0)/100</f>
        <v/>
      </c>
      <c r="I621" s="62">
        <f>VLOOKUP(Table_1[[#This Row],[AÇÕES]],'Dados Status Invest'!A:D,4,0)/100</f>
        <v/>
      </c>
      <c r="J621" s="63">
        <f>VLOOKUP(Table_1[[#This Row],[AÇÕES]],'Dados Status Invest'!A:AB,28,0)</f>
        <v/>
      </c>
      <c r="K621" s="63">
        <f>VLOOKUP(Table_1[[#This Row],[AÇÕES]],'Dados Status Invest'!A:AA,27,0)</f>
        <v/>
      </c>
      <c r="L621" s="63">
        <f>Table_1[[#This Row],[PREÇO]]*Table_1[[#This Row],[DY]]</f>
        <v/>
      </c>
      <c r="M621" s="67">
        <f>$E$13</f>
        <v/>
      </c>
      <c r="N621" s="62" t="n">
        <v>0.3</v>
      </c>
      <c r="O621" s="62">
        <f>Table_1[[#This Row],[DPA]]/Table_1[[#This Row],[LPA]]</f>
        <v/>
      </c>
      <c r="P621" s="62">
        <f>IF(Table_1[[#This Row],[PAYOUT]]&lt;=40%,"CRESCIMENTO",IF(Table_1[[#This Row],[PAYOUT]]&lt;=60%,"INDEFINIDO","DIVIDENDOS"))</f>
        <v/>
      </c>
      <c r="Q621" s="62">
        <f>VLOOKUP(Table_1[[#This Row],[AÇÕES]],'Dados Status Invest'!A:R,18,0)/100</f>
        <v/>
      </c>
      <c r="R621" s="62">
        <f>VLOOKUP(Table_1[[#This Row],[AÇÕES]],'Dados Status Invest'!A:Y,25,0)/100</f>
        <v/>
      </c>
      <c r="S621" s="62">
        <f>(1-Table_1[[#This Row],[PAYOUT]])*Table_1[[#This Row],[ROE]]</f>
        <v/>
      </c>
      <c r="T621" s="98">
        <f>AVERAGE(Table_1[[#This Row],[CAGR LUCRO 5A]],Table_1[[#This Row],[CRESCIMENTO DAMODARAN]])</f>
        <v/>
      </c>
      <c r="U621" s="64">
        <f>(Table_1[[#This Row],[PREÇO JUSTO BAZIN]]-Table_1[[#This Row],[PREÇO]])/Table_1[[#This Row],[PREÇO JUSTO BAZIN]]</f>
        <v/>
      </c>
      <c r="V621" s="129">
        <f>Table_1[[#This Row],[DPA]]/6%</f>
        <v/>
      </c>
      <c r="W621" s="129">
        <f>Table_1[[#This Row],[PREÇO JUSTO BAZIN]]/(1+Table_1[[#This Row],[MARGEM DE DESCONTO]])</f>
        <v/>
      </c>
      <c r="X621" s="64">
        <f>(Table_1[[#This Row],[PREÇO JUSTO GRAHAM]]-Table_1[[#This Row],[PREÇO]])/Table_1[[#This Row],[PREÇO JUSTO GRAHAM]]</f>
        <v/>
      </c>
      <c r="Y621" s="129">
        <f>(22.5*Table_1[[#This Row],[LPA]]*Table_1[[#This Row],[VPA]])^0.5</f>
        <v/>
      </c>
      <c r="Z621" s="129">
        <f>Table_1[[#This Row],[PREÇO JUSTO GRAHAM]]/(1+Table_1[[#This Row],[MARGEM DE DESCONTO]])</f>
        <v/>
      </c>
      <c r="AA621" s="64">
        <f>(Table_1[[#This Row],[PREÇO JUSTO GORDON]]-Table_1[[#This Row],[PREÇO]])/Table_1[[#This Row],[PREÇO JUSTO GORDON]]</f>
        <v/>
      </c>
      <c r="AB621" s="130">
        <f>Table_1[[#This Row],[DPA]]*(1+Table_1[[#This Row],[MÉDIA DE CRESCIMENTO]])</f>
        <v/>
      </c>
      <c r="AC621" s="130">
        <f>Table_1[[#This Row],[D1]]/(Table_1[[#This Row],[RISCO]]-Table_1[[#This Row],[MÉDIA DE CRESCIMENTO]])</f>
        <v/>
      </c>
      <c r="AD621" s="130">
        <f>Table_1[[#This Row],[PREÇO JUSTO GORDON]]/(1+Table_1[[#This Row],[MARGEM DE DESCONTO]])</f>
        <v/>
      </c>
      <c r="AE621" s="78">
        <f>Table_1[[#This Row],[P/L]]/Table_1[[#This Row],[MÉDIA DE CRESCIMENTO]]</f>
        <v/>
      </c>
    </row>
    <row r="622" ht="15.75" customHeight="1">
      <c r="B622" s="77">
        <f>'Dados Status Invest'!A608</f>
        <v/>
      </c>
      <c r="C622" s="60">
        <f>VLOOKUP(Table_1[[#This Row],[AÇÕES]],'Classificação B3'!A:B,2,0)</f>
        <v/>
      </c>
      <c r="D622" s="60">
        <f>VLOOKUP(Table_1[[#This Row],[AÇÕES]],'Classificação B3'!A:D,4,0)</f>
        <v/>
      </c>
      <c r="E622" s="60">
        <f>VLOOKUP(Table_1[[#This Row],[AÇÕES]],'Classificação B3'!A:F,6,0)</f>
        <v/>
      </c>
      <c r="F622" s="60">
        <f>VLOOKUP(Table_1[[#This Row],[AÇÕES]],'Classificação B3'!A:G,7,0)</f>
        <v/>
      </c>
      <c r="G622" s="61">
        <f>VLOOKUP(Table_1[[#This Row],[AÇÕES]],'Dados Status Invest'!A:B,2,0)</f>
        <v/>
      </c>
      <c r="H622" s="62">
        <f>VLOOKUP(Table_1[[#This Row],[AÇÕES]],'Dados Status Invest'!A:C,3,0)/100</f>
        <v/>
      </c>
      <c r="I622" s="62">
        <f>VLOOKUP(Table_1[[#This Row],[AÇÕES]],'Dados Status Invest'!A:D,4,0)/100</f>
        <v/>
      </c>
      <c r="J622" s="63">
        <f>VLOOKUP(Table_1[[#This Row],[AÇÕES]],'Dados Status Invest'!A:AB,28,0)</f>
        <v/>
      </c>
      <c r="K622" s="63">
        <f>VLOOKUP(Table_1[[#This Row],[AÇÕES]],'Dados Status Invest'!A:AA,27,0)</f>
        <v/>
      </c>
      <c r="L622" s="63">
        <f>Table_1[[#This Row],[PREÇO]]*Table_1[[#This Row],[DY]]</f>
        <v/>
      </c>
      <c r="M622" s="67">
        <f>$E$13</f>
        <v/>
      </c>
      <c r="N622" s="62" t="n">
        <v>0.3</v>
      </c>
      <c r="O622" s="62">
        <f>Table_1[[#This Row],[DPA]]/Table_1[[#This Row],[LPA]]</f>
        <v/>
      </c>
      <c r="P622" s="62">
        <f>IF(Table_1[[#This Row],[PAYOUT]]&lt;=40%,"CRESCIMENTO",IF(Table_1[[#This Row],[PAYOUT]]&lt;=60%,"INDEFINIDO","DIVIDENDOS"))</f>
        <v/>
      </c>
      <c r="Q622" s="62">
        <f>VLOOKUP(Table_1[[#This Row],[AÇÕES]],'Dados Status Invest'!A:R,18,0)/100</f>
        <v/>
      </c>
      <c r="R622" s="62">
        <f>VLOOKUP(Table_1[[#This Row],[AÇÕES]],'Dados Status Invest'!A:Y,25,0)/100</f>
        <v/>
      </c>
      <c r="S622" s="62">
        <f>(1-Table_1[[#This Row],[PAYOUT]])*Table_1[[#This Row],[ROE]]</f>
        <v/>
      </c>
      <c r="T622" s="98">
        <f>AVERAGE(Table_1[[#This Row],[CAGR LUCRO 5A]],Table_1[[#This Row],[CRESCIMENTO DAMODARAN]])</f>
        <v/>
      </c>
      <c r="U622" s="64">
        <f>(Table_1[[#This Row],[PREÇO JUSTO BAZIN]]-Table_1[[#This Row],[PREÇO]])/Table_1[[#This Row],[PREÇO JUSTO BAZIN]]</f>
        <v/>
      </c>
      <c r="V622" s="129">
        <f>Table_1[[#This Row],[DPA]]/6%</f>
        <v/>
      </c>
      <c r="W622" s="129">
        <f>Table_1[[#This Row],[PREÇO JUSTO BAZIN]]/(1+Table_1[[#This Row],[MARGEM DE DESCONTO]])</f>
        <v/>
      </c>
      <c r="X622" s="64">
        <f>(Table_1[[#This Row],[PREÇO JUSTO GRAHAM]]-Table_1[[#This Row],[PREÇO]])/Table_1[[#This Row],[PREÇO JUSTO GRAHAM]]</f>
        <v/>
      </c>
      <c r="Y622" s="129">
        <f>(22.5*Table_1[[#This Row],[LPA]]*Table_1[[#This Row],[VPA]])^0.5</f>
        <v/>
      </c>
      <c r="Z622" s="129">
        <f>Table_1[[#This Row],[PREÇO JUSTO GRAHAM]]/(1+Table_1[[#This Row],[MARGEM DE DESCONTO]])</f>
        <v/>
      </c>
      <c r="AA622" s="64">
        <f>(Table_1[[#This Row],[PREÇO JUSTO GORDON]]-Table_1[[#This Row],[PREÇO]])/Table_1[[#This Row],[PREÇO JUSTO GORDON]]</f>
        <v/>
      </c>
      <c r="AB622" s="130">
        <f>Table_1[[#This Row],[DPA]]*(1+Table_1[[#This Row],[MÉDIA DE CRESCIMENTO]])</f>
        <v/>
      </c>
      <c r="AC622" s="130">
        <f>Table_1[[#This Row],[D1]]/(Table_1[[#This Row],[RISCO]]-Table_1[[#This Row],[MÉDIA DE CRESCIMENTO]])</f>
        <v/>
      </c>
      <c r="AD622" s="130">
        <f>Table_1[[#This Row],[PREÇO JUSTO GORDON]]/(1+Table_1[[#This Row],[MARGEM DE DESCONTO]])</f>
        <v/>
      </c>
      <c r="AE622" s="78">
        <f>Table_1[[#This Row],[P/L]]/Table_1[[#This Row],[MÉDIA DE CRESCIMENTO]]</f>
        <v/>
      </c>
    </row>
    <row r="623" ht="15.75" customHeight="1">
      <c r="B623" s="77">
        <f>'Dados Status Invest'!A609</f>
        <v/>
      </c>
      <c r="C623" s="60">
        <f>VLOOKUP(Table_1[[#This Row],[AÇÕES]],'Classificação B3'!A:B,2,0)</f>
        <v/>
      </c>
      <c r="D623" s="60">
        <f>VLOOKUP(Table_1[[#This Row],[AÇÕES]],'Classificação B3'!A:D,4,0)</f>
        <v/>
      </c>
      <c r="E623" s="60">
        <f>VLOOKUP(Table_1[[#This Row],[AÇÕES]],'Classificação B3'!A:F,6,0)</f>
        <v/>
      </c>
      <c r="F623" s="60">
        <f>VLOOKUP(Table_1[[#This Row],[AÇÕES]],'Classificação B3'!A:G,7,0)</f>
        <v/>
      </c>
      <c r="G623" s="61">
        <f>VLOOKUP(Table_1[[#This Row],[AÇÕES]],'Dados Status Invest'!A:B,2,0)</f>
        <v/>
      </c>
      <c r="H623" s="62">
        <f>VLOOKUP(Table_1[[#This Row],[AÇÕES]],'Dados Status Invest'!A:C,3,0)/100</f>
        <v/>
      </c>
      <c r="I623" s="62">
        <f>VLOOKUP(Table_1[[#This Row],[AÇÕES]],'Dados Status Invest'!A:D,4,0)/100</f>
        <v/>
      </c>
      <c r="J623" s="63">
        <f>VLOOKUP(Table_1[[#This Row],[AÇÕES]],'Dados Status Invest'!A:AB,28,0)</f>
        <v/>
      </c>
      <c r="K623" s="63">
        <f>VLOOKUP(Table_1[[#This Row],[AÇÕES]],'Dados Status Invest'!A:AA,27,0)</f>
        <v/>
      </c>
      <c r="L623" s="63">
        <f>Table_1[[#This Row],[PREÇO]]*Table_1[[#This Row],[DY]]</f>
        <v/>
      </c>
      <c r="M623" s="67">
        <f>$E$13</f>
        <v/>
      </c>
      <c r="N623" s="62" t="n">
        <v>0.3</v>
      </c>
      <c r="O623" s="62">
        <f>Table_1[[#This Row],[DPA]]/Table_1[[#This Row],[LPA]]</f>
        <v/>
      </c>
      <c r="P623" s="62">
        <f>IF(Table_1[[#This Row],[PAYOUT]]&lt;=40%,"CRESCIMENTO",IF(Table_1[[#This Row],[PAYOUT]]&lt;=60%,"INDEFINIDO","DIVIDENDOS"))</f>
        <v/>
      </c>
      <c r="Q623" s="62">
        <f>VLOOKUP(Table_1[[#This Row],[AÇÕES]],'Dados Status Invest'!A:R,18,0)/100</f>
        <v/>
      </c>
      <c r="R623" s="62">
        <f>VLOOKUP(Table_1[[#This Row],[AÇÕES]],'Dados Status Invest'!A:Y,25,0)/100</f>
        <v/>
      </c>
      <c r="S623" s="62">
        <f>(1-Table_1[[#This Row],[PAYOUT]])*Table_1[[#This Row],[ROE]]</f>
        <v/>
      </c>
      <c r="T623" s="98">
        <f>AVERAGE(Table_1[[#This Row],[CAGR LUCRO 5A]],Table_1[[#This Row],[CRESCIMENTO DAMODARAN]])</f>
        <v/>
      </c>
      <c r="U623" s="64">
        <f>(Table_1[[#This Row],[PREÇO JUSTO BAZIN]]-Table_1[[#This Row],[PREÇO]])/Table_1[[#This Row],[PREÇO JUSTO BAZIN]]</f>
        <v/>
      </c>
      <c r="V623" s="129">
        <f>Table_1[[#This Row],[DPA]]/6%</f>
        <v/>
      </c>
      <c r="W623" s="129">
        <f>Table_1[[#This Row],[PREÇO JUSTO BAZIN]]/(1+Table_1[[#This Row],[MARGEM DE DESCONTO]])</f>
        <v/>
      </c>
      <c r="X623" s="64">
        <f>(Table_1[[#This Row],[PREÇO JUSTO GRAHAM]]-Table_1[[#This Row],[PREÇO]])/Table_1[[#This Row],[PREÇO JUSTO GRAHAM]]</f>
        <v/>
      </c>
      <c r="Y623" s="129">
        <f>(22.5*Table_1[[#This Row],[LPA]]*Table_1[[#This Row],[VPA]])^0.5</f>
        <v/>
      </c>
      <c r="Z623" s="129">
        <f>Table_1[[#This Row],[PREÇO JUSTO GRAHAM]]/(1+Table_1[[#This Row],[MARGEM DE DESCONTO]])</f>
        <v/>
      </c>
      <c r="AA623" s="64">
        <f>(Table_1[[#This Row],[PREÇO JUSTO GORDON]]-Table_1[[#This Row],[PREÇO]])/Table_1[[#This Row],[PREÇO JUSTO GORDON]]</f>
        <v/>
      </c>
      <c r="AB623" s="130">
        <f>Table_1[[#This Row],[DPA]]*(1+Table_1[[#This Row],[MÉDIA DE CRESCIMENTO]])</f>
        <v/>
      </c>
      <c r="AC623" s="130">
        <f>Table_1[[#This Row],[D1]]/(Table_1[[#This Row],[RISCO]]-Table_1[[#This Row],[MÉDIA DE CRESCIMENTO]])</f>
        <v/>
      </c>
      <c r="AD623" s="130">
        <f>Table_1[[#This Row],[PREÇO JUSTO GORDON]]/(1+Table_1[[#This Row],[MARGEM DE DESCONTO]])</f>
        <v/>
      </c>
      <c r="AE623" s="78">
        <f>Table_1[[#This Row],[P/L]]/Table_1[[#This Row],[MÉDIA DE CRESCIMENTO]]</f>
        <v/>
      </c>
    </row>
    <row r="624" ht="15.75" customHeight="1">
      <c r="B624" s="77">
        <f>'Dados Status Invest'!A610</f>
        <v/>
      </c>
      <c r="C624" s="60">
        <f>VLOOKUP(Table_1[[#This Row],[AÇÕES]],'Classificação B3'!A:B,2,0)</f>
        <v/>
      </c>
      <c r="D624" s="60">
        <f>VLOOKUP(Table_1[[#This Row],[AÇÕES]],'Classificação B3'!A:D,4,0)</f>
        <v/>
      </c>
      <c r="E624" s="60">
        <f>VLOOKUP(Table_1[[#This Row],[AÇÕES]],'Classificação B3'!A:F,6,0)</f>
        <v/>
      </c>
      <c r="F624" s="60">
        <f>VLOOKUP(Table_1[[#This Row],[AÇÕES]],'Classificação B3'!A:G,7,0)</f>
        <v/>
      </c>
      <c r="G624" s="61">
        <f>VLOOKUP(Table_1[[#This Row],[AÇÕES]],'Dados Status Invest'!A:B,2,0)</f>
        <v/>
      </c>
      <c r="H624" s="62">
        <f>VLOOKUP(Table_1[[#This Row],[AÇÕES]],'Dados Status Invest'!A:C,3,0)/100</f>
        <v/>
      </c>
      <c r="I624" s="62">
        <f>VLOOKUP(Table_1[[#This Row],[AÇÕES]],'Dados Status Invest'!A:D,4,0)/100</f>
        <v/>
      </c>
      <c r="J624" s="63">
        <f>VLOOKUP(Table_1[[#This Row],[AÇÕES]],'Dados Status Invest'!A:AB,28,0)</f>
        <v/>
      </c>
      <c r="K624" s="63">
        <f>VLOOKUP(Table_1[[#This Row],[AÇÕES]],'Dados Status Invest'!A:AA,27,0)</f>
        <v/>
      </c>
      <c r="L624" s="63">
        <f>Table_1[[#This Row],[PREÇO]]*Table_1[[#This Row],[DY]]</f>
        <v/>
      </c>
      <c r="M624" s="67">
        <f>$E$13</f>
        <v/>
      </c>
      <c r="N624" s="62" t="n">
        <v>0.3</v>
      </c>
      <c r="O624" s="62">
        <f>Table_1[[#This Row],[DPA]]/Table_1[[#This Row],[LPA]]</f>
        <v/>
      </c>
      <c r="P624" s="62">
        <f>IF(Table_1[[#This Row],[PAYOUT]]&lt;=40%,"CRESCIMENTO",IF(Table_1[[#This Row],[PAYOUT]]&lt;=60%,"INDEFINIDO","DIVIDENDOS"))</f>
        <v/>
      </c>
      <c r="Q624" s="62">
        <f>VLOOKUP(Table_1[[#This Row],[AÇÕES]],'Dados Status Invest'!A:R,18,0)/100</f>
        <v/>
      </c>
      <c r="R624" s="62">
        <f>VLOOKUP(Table_1[[#This Row],[AÇÕES]],'Dados Status Invest'!A:Y,25,0)/100</f>
        <v/>
      </c>
      <c r="S624" s="62">
        <f>(1-Table_1[[#This Row],[PAYOUT]])*Table_1[[#This Row],[ROE]]</f>
        <v/>
      </c>
      <c r="T624" s="98">
        <f>AVERAGE(Table_1[[#This Row],[CAGR LUCRO 5A]],Table_1[[#This Row],[CRESCIMENTO DAMODARAN]])</f>
        <v/>
      </c>
      <c r="U624" s="64">
        <f>(Table_1[[#This Row],[PREÇO JUSTO BAZIN]]-Table_1[[#This Row],[PREÇO]])/Table_1[[#This Row],[PREÇO JUSTO BAZIN]]</f>
        <v/>
      </c>
      <c r="V624" s="129">
        <f>Table_1[[#This Row],[DPA]]/6%</f>
        <v/>
      </c>
      <c r="W624" s="129">
        <f>Table_1[[#This Row],[PREÇO JUSTO BAZIN]]/(1+Table_1[[#This Row],[MARGEM DE DESCONTO]])</f>
        <v/>
      </c>
      <c r="X624" s="64">
        <f>(Table_1[[#This Row],[PREÇO JUSTO GRAHAM]]-Table_1[[#This Row],[PREÇO]])/Table_1[[#This Row],[PREÇO JUSTO GRAHAM]]</f>
        <v/>
      </c>
      <c r="Y624" s="129">
        <f>(22.5*Table_1[[#This Row],[LPA]]*Table_1[[#This Row],[VPA]])^0.5</f>
        <v/>
      </c>
      <c r="Z624" s="129">
        <f>Table_1[[#This Row],[PREÇO JUSTO GRAHAM]]/(1+Table_1[[#This Row],[MARGEM DE DESCONTO]])</f>
        <v/>
      </c>
      <c r="AA624" s="64">
        <f>(Table_1[[#This Row],[PREÇO JUSTO GORDON]]-Table_1[[#This Row],[PREÇO]])/Table_1[[#This Row],[PREÇO JUSTO GORDON]]</f>
        <v/>
      </c>
      <c r="AB624" s="130">
        <f>Table_1[[#This Row],[DPA]]*(1+Table_1[[#This Row],[MÉDIA DE CRESCIMENTO]])</f>
        <v/>
      </c>
      <c r="AC624" s="130">
        <f>Table_1[[#This Row],[D1]]/(Table_1[[#This Row],[RISCO]]-Table_1[[#This Row],[MÉDIA DE CRESCIMENTO]])</f>
        <v/>
      </c>
      <c r="AD624" s="130">
        <f>Table_1[[#This Row],[PREÇO JUSTO GORDON]]/(1+Table_1[[#This Row],[MARGEM DE DESCONTO]])</f>
        <v/>
      </c>
      <c r="AE624" s="78">
        <f>Table_1[[#This Row],[P/L]]/Table_1[[#This Row],[MÉDIA DE CRESCIMENTO]]</f>
        <v/>
      </c>
    </row>
    <row r="625" ht="15.75" customHeight="1">
      <c r="B625" s="77">
        <f>'Dados Status Invest'!A611</f>
        <v/>
      </c>
      <c r="C625" s="60">
        <f>VLOOKUP(Table_1[[#This Row],[AÇÕES]],'Classificação B3'!A:B,2,0)</f>
        <v/>
      </c>
      <c r="D625" s="60">
        <f>VLOOKUP(Table_1[[#This Row],[AÇÕES]],'Classificação B3'!A:D,4,0)</f>
        <v/>
      </c>
      <c r="E625" s="60">
        <f>VLOOKUP(Table_1[[#This Row],[AÇÕES]],'Classificação B3'!A:F,6,0)</f>
        <v/>
      </c>
      <c r="F625" s="60">
        <f>VLOOKUP(Table_1[[#This Row],[AÇÕES]],'Classificação B3'!A:G,7,0)</f>
        <v/>
      </c>
      <c r="G625" s="61">
        <f>VLOOKUP(Table_1[[#This Row],[AÇÕES]],'Dados Status Invest'!A:B,2,0)</f>
        <v/>
      </c>
      <c r="H625" s="62">
        <f>VLOOKUP(Table_1[[#This Row],[AÇÕES]],'Dados Status Invest'!A:C,3,0)/100</f>
        <v/>
      </c>
      <c r="I625" s="62">
        <f>VLOOKUP(Table_1[[#This Row],[AÇÕES]],'Dados Status Invest'!A:D,4,0)/100</f>
        <v/>
      </c>
      <c r="J625" s="63">
        <f>VLOOKUP(Table_1[[#This Row],[AÇÕES]],'Dados Status Invest'!A:AB,28,0)</f>
        <v/>
      </c>
      <c r="K625" s="63">
        <f>VLOOKUP(Table_1[[#This Row],[AÇÕES]],'Dados Status Invest'!A:AA,27,0)</f>
        <v/>
      </c>
      <c r="L625" s="63">
        <f>Table_1[[#This Row],[PREÇO]]*Table_1[[#This Row],[DY]]</f>
        <v/>
      </c>
      <c r="M625" s="67">
        <f>$E$13</f>
        <v/>
      </c>
      <c r="N625" s="62" t="n">
        <v>0.3</v>
      </c>
      <c r="O625" s="62">
        <f>Table_1[[#This Row],[DPA]]/Table_1[[#This Row],[LPA]]</f>
        <v/>
      </c>
      <c r="P625" s="62">
        <f>IF(Table_1[[#This Row],[PAYOUT]]&lt;=40%,"CRESCIMENTO",IF(Table_1[[#This Row],[PAYOUT]]&lt;=60%,"INDEFINIDO","DIVIDENDOS"))</f>
        <v/>
      </c>
      <c r="Q625" s="62">
        <f>VLOOKUP(Table_1[[#This Row],[AÇÕES]],'Dados Status Invest'!A:R,18,0)/100</f>
        <v/>
      </c>
      <c r="R625" s="62">
        <f>VLOOKUP(Table_1[[#This Row],[AÇÕES]],'Dados Status Invest'!A:Y,25,0)/100</f>
        <v/>
      </c>
      <c r="S625" s="62">
        <f>(1-Table_1[[#This Row],[PAYOUT]])*Table_1[[#This Row],[ROE]]</f>
        <v/>
      </c>
      <c r="T625" s="98">
        <f>AVERAGE(Table_1[[#This Row],[CAGR LUCRO 5A]],Table_1[[#This Row],[CRESCIMENTO DAMODARAN]])</f>
        <v/>
      </c>
      <c r="U625" s="64">
        <f>(Table_1[[#This Row],[PREÇO JUSTO BAZIN]]-Table_1[[#This Row],[PREÇO]])/Table_1[[#This Row],[PREÇO JUSTO BAZIN]]</f>
        <v/>
      </c>
      <c r="V625" s="129">
        <f>Table_1[[#This Row],[DPA]]/6%</f>
        <v/>
      </c>
      <c r="W625" s="129">
        <f>Table_1[[#This Row],[PREÇO JUSTO BAZIN]]/(1+Table_1[[#This Row],[MARGEM DE DESCONTO]])</f>
        <v/>
      </c>
      <c r="X625" s="64">
        <f>(Table_1[[#This Row],[PREÇO JUSTO GRAHAM]]-Table_1[[#This Row],[PREÇO]])/Table_1[[#This Row],[PREÇO JUSTO GRAHAM]]</f>
        <v/>
      </c>
      <c r="Y625" s="129">
        <f>(22.5*Table_1[[#This Row],[LPA]]*Table_1[[#This Row],[VPA]])^0.5</f>
        <v/>
      </c>
      <c r="Z625" s="129">
        <f>Table_1[[#This Row],[PREÇO JUSTO GRAHAM]]/(1+Table_1[[#This Row],[MARGEM DE DESCONTO]])</f>
        <v/>
      </c>
      <c r="AA625" s="64">
        <f>(Table_1[[#This Row],[PREÇO JUSTO GORDON]]-Table_1[[#This Row],[PREÇO]])/Table_1[[#This Row],[PREÇO JUSTO GORDON]]</f>
        <v/>
      </c>
      <c r="AB625" s="130">
        <f>Table_1[[#This Row],[DPA]]*(1+Table_1[[#This Row],[MÉDIA DE CRESCIMENTO]])</f>
        <v/>
      </c>
      <c r="AC625" s="130">
        <f>Table_1[[#This Row],[D1]]/(Table_1[[#This Row],[RISCO]]-Table_1[[#This Row],[MÉDIA DE CRESCIMENTO]])</f>
        <v/>
      </c>
      <c r="AD625" s="130">
        <f>Table_1[[#This Row],[PREÇO JUSTO GORDON]]/(1+Table_1[[#This Row],[MARGEM DE DESCONTO]])</f>
        <v/>
      </c>
      <c r="AE625" s="78">
        <f>Table_1[[#This Row],[P/L]]/Table_1[[#This Row],[MÉDIA DE CRESCIMENTO]]</f>
        <v/>
      </c>
    </row>
    <row r="626" ht="15.75" customHeight="1">
      <c r="B626" s="77">
        <f>'Dados Status Invest'!A612</f>
        <v/>
      </c>
      <c r="C626" s="60">
        <f>VLOOKUP(Table_1[[#This Row],[AÇÕES]],'Classificação B3'!A:B,2,0)</f>
        <v/>
      </c>
      <c r="D626" s="60">
        <f>VLOOKUP(Table_1[[#This Row],[AÇÕES]],'Classificação B3'!A:D,4,0)</f>
        <v/>
      </c>
      <c r="E626" s="60">
        <f>VLOOKUP(Table_1[[#This Row],[AÇÕES]],'Classificação B3'!A:F,6,0)</f>
        <v/>
      </c>
      <c r="F626" s="60">
        <f>VLOOKUP(Table_1[[#This Row],[AÇÕES]],'Classificação B3'!A:G,7,0)</f>
        <v/>
      </c>
      <c r="G626" s="61">
        <f>VLOOKUP(Table_1[[#This Row],[AÇÕES]],'Dados Status Invest'!A:B,2,0)</f>
        <v/>
      </c>
      <c r="H626" s="62">
        <f>VLOOKUP(Table_1[[#This Row],[AÇÕES]],'Dados Status Invest'!A:C,3,0)/100</f>
        <v/>
      </c>
      <c r="I626" s="62">
        <f>VLOOKUP(Table_1[[#This Row],[AÇÕES]],'Dados Status Invest'!A:D,4,0)/100</f>
        <v/>
      </c>
      <c r="J626" s="63">
        <f>VLOOKUP(Table_1[[#This Row],[AÇÕES]],'Dados Status Invest'!A:AB,28,0)</f>
        <v/>
      </c>
      <c r="K626" s="63">
        <f>VLOOKUP(Table_1[[#This Row],[AÇÕES]],'Dados Status Invest'!A:AA,27,0)</f>
        <v/>
      </c>
      <c r="L626" s="63">
        <f>Table_1[[#This Row],[PREÇO]]*Table_1[[#This Row],[DY]]</f>
        <v/>
      </c>
      <c r="M626" s="67">
        <f>$E$13</f>
        <v/>
      </c>
      <c r="N626" s="62" t="n">
        <v>0.3</v>
      </c>
      <c r="O626" s="62">
        <f>Table_1[[#This Row],[DPA]]/Table_1[[#This Row],[LPA]]</f>
        <v/>
      </c>
      <c r="P626" s="62">
        <f>IF(Table_1[[#This Row],[PAYOUT]]&lt;=40%,"CRESCIMENTO",IF(Table_1[[#This Row],[PAYOUT]]&lt;=60%,"INDEFINIDO","DIVIDENDOS"))</f>
        <v/>
      </c>
      <c r="Q626" s="62">
        <f>VLOOKUP(Table_1[[#This Row],[AÇÕES]],'Dados Status Invest'!A:R,18,0)/100</f>
        <v/>
      </c>
      <c r="R626" s="62">
        <f>VLOOKUP(Table_1[[#This Row],[AÇÕES]],'Dados Status Invest'!A:Y,25,0)/100</f>
        <v/>
      </c>
      <c r="S626" s="62">
        <f>(1-Table_1[[#This Row],[PAYOUT]])*Table_1[[#This Row],[ROE]]</f>
        <v/>
      </c>
      <c r="T626" s="98">
        <f>AVERAGE(Table_1[[#This Row],[CAGR LUCRO 5A]],Table_1[[#This Row],[CRESCIMENTO DAMODARAN]])</f>
        <v/>
      </c>
      <c r="U626" s="64">
        <f>(Table_1[[#This Row],[PREÇO JUSTO BAZIN]]-Table_1[[#This Row],[PREÇO]])/Table_1[[#This Row],[PREÇO JUSTO BAZIN]]</f>
        <v/>
      </c>
      <c r="V626" s="129">
        <f>Table_1[[#This Row],[DPA]]/6%</f>
        <v/>
      </c>
      <c r="W626" s="129">
        <f>Table_1[[#This Row],[PREÇO JUSTO BAZIN]]/(1+Table_1[[#This Row],[MARGEM DE DESCONTO]])</f>
        <v/>
      </c>
      <c r="X626" s="64">
        <f>(Table_1[[#This Row],[PREÇO JUSTO GRAHAM]]-Table_1[[#This Row],[PREÇO]])/Table_1[[#This Row],[PREÇO JUSTO GRAHAM]]</f>
        <v/>
      </c>
      <c r="Y626" s="129">
        <f>(22.5*Table_1[[#This Row],[LPA]]*Table_1[[#This Row],[VPA]])^0.5</f>
        <v/>
      </c>
      <c r="Z626" s="129">
        <f>Table_1[[#This Row],[PREÇO JUSTO GRAHAM]]/(1+Table_1[[#This Row],[MARGEM DE DESCONTO]])</f>
        <v/>
      </c>
      <c r="AA626" s="64">
        <f>(Table_1[[#This Row],[PREÇO JUSTO GORDON]]-Table_1[[#This Row],[PREÇO]])/Table_1[[#This Row],[PREÇO JUSTO GORDON]]</f>
        <v/>
      </c>
      <c r="AB626" s="130">
        <f>Table_1[[#This Row],[DPA]]*(1+Table_1[[#This Row],[MÉDIA DE CRESCIMENTO]])</f>
        <v/>
      </c>
      <c r="AC626" s="130">
        <f>Table_1[[#This Row],[D1]]/(Table_1[[#This Row],[RISCO]]-Table_1[[#This Row],[MÉDIA DE CRESCIMENTO]])</f>
        <v/>
      </c>
      <c r="AD626" s="130">
        <f>Table_1[[#This Row],[PREÇO JUSTO GORDON]]/(1+Table_1[[#This Row],[MARGEM DE DESCONTO]])</f>
        <v/>
      </c>
      <c r="AE626" s="78">
        <f>Table_1[[#This Row],[P/L]]/Table_1[[#This Row],[MÉDIA DE CRESCIMENTO]]</f>
        <v/>
      </c>
    </row>
    <row r="627" ht="15.75" customHeight="1">
      <c r="B627" s="77">
        <f>'Dados Status Invest'!A613</f>
        <v/>
      </c>
      <c r="C627" s="60">
        <f>VLOOKUP(Table_1[[#This Row],[AÇÕES]],'Classificação B3'!A:B,2,0)</f>
        <v/>
      </c>
      <c r="D627" s="60">
        <f>VLOOKUP(Table_1[[#This Row],[AÇÕES]],'Classificação B3'!A:D,4,0)</f>
        <v/>
      </c>
      <c r="E627" s="60">
        <f>VLOOKUP(Table_1[[#This Row],[AÇÕES]],'Classificação B3'!A:F,6,0)</f>
        <v/>
      </c>
      <c r="F627" s="60">
        <f>VLOOKUP(Table_1[[#This Row],[AÇÕES]],'Classificação B3'!A:G,7,0)</f>
        <v/>
      </c>
      <c r="G627" s="61">
        <f>VLOOKUP(Table_1[[#This Row],[AÇÕES]],'Dados Status Invest'!A:B,2,0)</f>
        <v/>
      </c>
      <c r="H627" s="62">
        <f>VLOOKUP(Table_1[[#This Row],[AÇÕES]],'Dados Status Invest'!A:C,3,0)/100</f>
        <v/>
      </c>
      <c r="I627" s="62">
        <f>VLOOKUP(Table_1[[#This Row],[AÇÕES]],'Dados Status Invest'!A:D,4,0)/100</f>
        <v/>
      </c>
      <c r="J627" s="63">
        <f>VLOOKUP(Table_1[[#This Row],[AÇÕES]],'Dados Status Invest'!A:AB,28,0)</f>
        <v/>
      </c>
      <c r="K627" s="63">
        <f>VLOOKUP(Table_1[[#This Row],[AÇÕES]],'Dados Status Invest'!A:AA,27,0)</f>
        <v/>
      </c>
      <c r="L627" s="63">
        <f>Table_1[[#This Row],[PREÇO]]*Table_1[[#This Row],[DY]]</f>
        <v/>
      </c>
      <c r="M627" s="67">
        <f>$E$13</f>
        <v/>
      </c>
      <c r="N627" s="62" t="n">
        <v>0.3</v>
      </c>
      <c r="O627" s="62">
        <f>Table_1[[#This Row],[DPA]]/Table_1[[#This Row],[LPA]]</f>
        <v/>
      </c>
      <c r="P627" s="62">
        <f>IF(Table_1[[#This Row],[PAYOUT]]&lt;=40%,"CRESCIMENTO",IF(Table_1[[#This Row],[PAYOUT]]&lt;=60%,"INDEFINIDO","DIVIDENDOS"))</f>
        <v/>
      </c>
      <c r="Q627" s="62">
        <f>VLOOKUP(Table_1[[#This Row],[AÇÕES]],'Dados Status Invest'!A:R,18,0)/100</f>
        <v/>
      </c>
      <c r="R627" s="62">
        <f>VLOOKUP(Table_1[[#This Row],[AÇÕES]],'Dados Status Invest'!A:Y,25,0)/100</f>
        <v/>
      </c>
      <c r="S627" s="62">
        <f>(1-Table_1[[#This Row],[PAYOUT]])*Table_1[[#This Row],[ROE]]</f>
        <v/>
      </c>
      <c r="T627" s="98">
        <f>AVERAGE(Table_1[[#This Row],[CAGR LUCRO 5A]],Table_1[[#This Row],[CRESCIMENTO DAMODARAN]])</f>
        <v/>
      </c>
      <c r="U627" s="64">
        <f>(Table_1[[#This Row],[PREÇO JUSTO BAZIN]]-Table_1[[#This Row],[PREÇO]])/Table_1[[#This Row],[PREÇO JUSTO BAZIN]]</f>
        <v/>
      </c>
      <c r="V627" s="129">
        <f>Table_1[[#This Row],[DPA]]/6%</f>
        <v/>
      </c>
      <c r="W627" s="129">
        <f>Table_1[[#This Row],[PREÇO JUSTO BAZIN]]/(1+Table_1[[#This Row],[MARGEM DE DESCONTO]])</f>
        <v/>
      </c>
      <c r="X627" s="64">
        <f>(Table_1[[#This Row],[PREÇO JUSTO GRAHAM]]-Table_1[[#This Row],[PREÇO]])/Table_1[[#This Row],[PREÇO JUSTO GRAHAM]]</f>
        <v/>
      </c>
      <c r="Y627" s="129">
        <f>(22.5*Table_1[[#This Row],[LPA]]*Table_1[[#This Row],[VPA]])^0.5</f>
        <v/>
      </c>
      <c r="Z627" s="129">
        <f>Table_1[[#This Row],[PREÇO JUSTO GRAHAM]]/(1+Table_1[[#This Row],[MARGEM DE DESCONTO]])</f>
        <v/>
      </c>
      <c r="AA627" s="64">
        <f>(Table_1[[#This Row],[PREÇO JUSTO GORDON]]-Table_1[[#This Row],[PREÇO]])/Table_1[[#This Row],[PREÇO JUSTO GORDON]]</f>
        <v/>
      </c>
      <c r="AB627" s="130">
        <f>Table_1[[#This Row],[DPA]]*(1+Table_1[[#This Row],[MÉDIA DE CRESCIMENTO]])</f>
        <v/>
      </c>
      <c r="AC627" s="130">
        <f>Table_1[[#This Row],[D1]]/(Table_1[[#This Row],[RISCO]]-Table_1[[#This Row],[MÉDIA DE CRESCIMENTO]])</f>
        <v/>
      </c>
      <c r="AD627" s="130">
        <f>Table_1[[#This Row],[PREÇO JUSTO GORDON]]/(1+Table_1[[#This Row],[MARGEM DE DESCONTO]])</f>
        <v/>
      </c>
      <c r="AE627" s="78">
        <f>Table_1[[#This Row],[P/L]]/Table_1[[#This Row],[MÉDIA DE CRESCIMENTO]]</f>
        <v/>
      </c>
    </row>
    <row r="628" ht="15.75" customHeight="1">
      <c r="B628" s="77">
        <f>'Dados Status Invest'!A614</f>
        <v/>
      </c>
      <c r="C628" s="60">
        <f>VLOOKUP(Table_1[[#This Row],[AÇÕES]],'Classificação B3'!A:B,2,0)</f>
        <v/>
      </c>
      <c r="D628" s="60">
        <f>VLOOKUP(Table_1[[#This Row],[AÇÕES]],'Classificação B3'!A:D,4,0)</f>
        <v/>
      </c>
      <c r="E628" s="60">
        <f>VLOOKUP(Table_1[[#This Row],[AÇÕES]],'Classificação B3'!A:F,6,0)</f>
        <v/>
      </c>
      <c r="F628" s="60">
        <f>VLOOKUP(Table_1[[#This Row],[AÇÕES]],'Classificação B3'!A:G,7,0)</f>
        <v/>
      </c>
      <c r="G628" s="61">
        <f>VLOOKUP(Table_1[[#This Row],[AÇÕES]],'Dados Status Invest'!A:B,2,0)</f>
        <v/>
      </c>
      <c r="H628" s="62">
        <f>VLOOKUP(Table_1[[#This Row],[AÇÕES]],'Dados Status Invest'!A:C,3,0)/100</f>
        <v/>
      </c>
      <c r="I628" s="62">
        <f>VLOOKUP(Table_1[[#This Row],[AÇÕES]],'Dados Status Invest'!A:D,4,0)/100</f>
        <v/>
      </c>
      <c r="J628" s="63">
        <f>VLOOKUP(Table_1[[#This Row],[AÇÕES]],'Dados Status Invest'!A:AB,28,0)</f>
        <v/>
      </c>
      <c r="K628" s="63">
        <f>VLOOKUP(Table_1[[#This Row],[AÇÕES]],'Dados Status Invest'!A:AA,27,0)</f>
        <v/>
      </c>
      <c r="L628" s="63">
        <f>Table_1[[#This Row],[PREÇO]]*Table_1[[#This Row],[DY]]</f>
        <v/>
      </c>
      <c r="M628" s="67">
        <f>$E$13</f>
        <v/>
      </c>
      <c r="N628" s="62" t="n">
        <v>0.3</v>
      </c>
      <c r="O628" s="62">
        <f>Table_1[[#This Row],[DPA]]/Table_1[[#This Row],[LPA]]</f>
        <v/>
      </c>
      <c r="P628" s="62">
        <f>IF(Table_1[[#This Row],[PAYOUT]]&lt;=40%,"CRESCIMENTO",IF(Table_1[[#This Row],[PAYOUT]]&lt;=60%,"INDEFINIDO","DIVIDENDOS"))</f>
        <v/>
      </c>
      <c r="Q628" s="62">
        <f>VLOOKUP(Table_1[[#This Row],[AÇÕES]],'Dados Status Invest'!A:R,18,0)/100</f>
        <v/>
      </c>
      <c r="R628" s="62">
        <f>VLOOKUP(Table_1[[#This Row],[AÇÕES]],'Dados Status Invest'!A:Y,25,0)/100</f>
        <v/>
      </c>
      <c r="S628" s="62">
        <f>(1-Table_1[[#This Row],[PAYOUT]])*Table_1[[#This Row],[ROE]]</f>
        <v/>
      </c>
      <c r="T628" s="98">
        <f>AVERAGE(Table_1[[#This Row],[CAGR LUCRO 5A]],Table_1[[#This Row],[CRESCIMENTO DAMODARAN]])</f>
        <v/>
      </c>
      <c r="U628" s="64">
        <f>(Table_1[[#This Row],[PREÇO JUSTO BAZIN]]-Table_1[[#This Row],[PREÇO]])/Table_1[[#This Row],[PREÇO JUSTO BAZIN]]</f>
        <v/>
      </c>
      <c r="V628" s="129">
        <f>Table_1[[#This Row],[DPA]]/6%</f>
        <v/>
      </c>
      <c r="W628" s="129">
        <f>Table_1[[#This Row],[PREÇO JUSTO BAZIN]]/(1+Table_1[[#This Row],[MARGEM DE DESCONTO]])</f>
        <v/>
      </c>
      <c r="X628" s="64">
        <f>(Table_1[[#This Row],[PREÇO JUSTO GRAHAM]]-Table_1[[#This Row],[PREÇO]])/Table_1[[#This Row],[PREÇO JUSTO GRAHAM]]</f>
        <v/>
      </c>
      <c r="Y628" s="129">
        <f>(22.5*Table_1[[#This Row],[LPA]]*Table_1[[#This Row],[VPA]])^0.5</f>
        <v/>
      </c>
      <c r="Z628" s="129">
        <f>Table_1[[#This Row],[PREÇO JUSTO GRAHAM]]/(1+Table_1[[#This Row],[MARGEM DE DESCONTO]])</f>
        <v/>
      </c>
      <c r="AA628" s="64">
        <f>(Table_1[[#This Row],[PREÇO JUSTO GORDON]]-Table_1[[#This Row],[PREÇO]])/Table_1[[#This Row],[PREÇO JUSTO GORDON]]</f>
        <v/>
      </c>
      <c r="AB628" s="130">
        <f>Table_1[[#This Row],[DPA]]*(1+Table_1[[#This Row],[MÉDIA DE CRESCIMENTO]])</f>
        <v/>
      </c>
      <c r="AC628" s="130">
        <f>Table_1[[#This Row],[D1]]/(Table_1[[#This Row],[RISCO]]-Table_1[[#This Row],[MÉDIA DE CRESCIMENTO]])</f>
        <v/>
      </c>
      <c r="AD628" s="130">
        <f>Table_1[[#This Row],[PREÇO JUSTO GORDON]]/(1+Table_1[[#This Row],[MARGEM DE DESCONTO]])</f>
        <v/>
      </c>
      <c r="AE628" s="78">
        <f>Table_1[[#This Row],[P/L]]/Table_1[[#This Row],[MÉDIA DE CRESCIMENTO]]</f>
        <v/>
      </c>
    </row>
    <row r="629" ht="15.75" customHeight="1">
      <c r="B629" s="77">
        <f>'Dados Status Invest'!A615</f>
        <v/>
      </c>
      <c r="C629" s="60">
        <f>VLOOKUP(Table_1[[#This Row],[AÇÕES]],'Classificação B3'!A:B,2,0)</f>
        <v/>
      </c>
      <c r="D629" s="60">
        <f>VLOOKUP(Table_1[[#This Row],[AÇÕES]],'Classificação B3'!A:D,4,0)</f>
        <v/>
      </c>
      <c r="E629" s="60">
        <f>VLOOKUP(Table_1[[#This Row],[AÇÕES]],'Classificação B3'!A:F,6,0)</f>
        <v/>
      </c>
      <c r="F629" s="60">
        <f>VLOOKUP(Table_1[[#This Row],[AÇÕES]],'Classificação B3'!A:G,7,0)</f>
        <v/>
      </c>
      <c r="G629" s="61">
        <f>VLOOKUP(Table_1[[#This Row],[AÇÕES]],'Dados Status Invest'!A:B,2,0)</f>
        <v/>
      </c>
      <c r="H629" s="62">
        <f>VLOOKUP(Table_1[[#This Row],[AÇÕES]],'Dados Status Invest'!A:C,3,0)/100</f>
        <v/>
      </c>
      <c r="I629" s="62">
        <f>VLOOKUP(Table_1[[#This Row],[AÇÕES]],'Dados Status Invest'!A:D,4,0)/100</f>
        <v/>
      </c>
      <c r="J629" s="63">
        <f>VLOOKUP(Table_1[[#This Row],[AÇÕES]],'Dados Status Invest'!A:AB,28,0)</f>
        <v/>
      </c>
      <c r="K629" s="63">
        <f>VLOOKUP(Table_1[[#This Row],[AÇÕES]],'Dados Status Invest'!A:AA,27,0)</f>
        <v/>
      </c>
      <c r="L629" s="63">
        <f>Table_1[[#This Row],[PREÇO]]*Table_1[[#This Row],[DY]]</f>
        <v/>
      </c>
      <c r="M629" s="67">
        <f>$E$13</f>
        <v/>
      </c>
      <c r="N629" s="62" t="n">
        <v>0.3</v>
      </c>
      <c r="O629" s="62">
        <f>Table_1[[#This Row],[DPA]]/Table_1[[#This Row],[LPA]]</f>
        <v/>
      </c>
      <c r="P629" s="62">
        <f>IF(Table_1[[#This Row],[PAYOUT]]&lt;=40%,"CRESCIMENTO",IF(Table_1[[#This Row],[PAYOUT]]&lt;=60%,"INDEFINIDO","DIVIDENDOS"))</f>
        <v/>
      </c>
      <c r="Q629" s="62">
        <f>VLOOKUP(Table_1[[#This Row],[AÇÕES]],'Dados Status Invest'!A:R,18,0)/100</f>
        <v/>
      </c>
      <c r="R629" s="62">
        <f>VLOOKUP(Table_1[[#This Row],[AÇÕES]],'Dados Status Invest'!A:Y,25,0)/100</f>
        <v/>
      </c>
      <c r="S629" s="62">
        <f>(1-Table_1[[#This Row],[PAYOUT]])*Table_1[[#This Row],[ROE]]</f>
        <v/>
      </c>
      <c r="T629" s="98">
        <f>AVERAGE(Table_1[[#This Row],[CAGR LUCRO 5A]],Table_1[[#This Row],[CRESCIMENTO DAMODARAN]])</f>
        <v/>
      </c>
      <c r="U629" s="64">
        <f>(Table_1[[#This Row],[PREÇO JUSTO BAZIN]]-Table_1[[#This Row],[PREÇO]])/Table_1[[#This Row],[PREÇO JUSTO BAZIN]]</f>
        <v/>
      </c>
      <c r="V629" s="129">
        <f>Table_1[[#This Row],[DPA]]/6%</f>
        <v/>
      </c>
      <c r="W629" s="129">
        <f>Table_1[[#This Row],[PREÇO JUSTO BAZIN]]/(1+Table_1[[#This Row],[MARGEM DE DESCONTO]])</f>
        <v/>
      </c>
      <c r="X629" s="64">
        <f>(Table_1[[#This Row],[PREÇO JUSTO GRAHAM]]-Table_1[[#This Row],[PREÇO]])/Table_1[[#This Row],[PREÇO JUSTO GRAHAM]]</f>
        <v/>
      </c>
      <c r="Y629" s="129">
        <f>(22.5*Table_1[[#This Row],[LPA]]*Table_1[[#This Row],[VPA]])^0.5</f>
        <v/>
      </c>
      <c r="Z629" s="129">
        <f>Table_1[[#This Row],[PREÇO JUSTO GRAHAM]]/(1+Table_1[[#This Row],[MARGEM DE DESCONTO]])</f>
        <v/>
      </c>
      <c r="AA629" s="64">
        <f>(Table_1[[#This Row],[PREÇO JUSTO GORDON]]-Table_1[[#This Row],[PREÇO]])/Table_1[[#This Row],[PREÇO JUSTO GORDON]]</f>
        <v/>
      </c>
      <c r="AB629" s="130">
        <f>Table_1[[#This Row],[DPA]]*(1+Table_1[[#This Row],[MÉDIA DE CRESCIMENTO]])</f>
        <v/>
      </c>
      <c r="AC629" s="130">
        <f>Table_1[[#This Row],[D1]]/(Table_1[[#This Row],[RISCO]]-Table_1[[#This Row],[MÉDIA DE CRESCIMENTO]])</f>
        <v/>
      </c>
      <c r="AD629" s="130">
        <f>Table_1[[#This Row],[PREÇO JUSTO GORDON]]/(1+Table_1[[#This Row],[MARGEM DE DESCONTO]])</f>
        <v/>
      </c>
      <c r="AE629" s="78">
        <f>Table_1[[#This Row],[P/L]]/Table_1[[#This Row],[MÉDIA DE CRESCIMENTO]]</f>
        <v/>
      </c>
    </row>
    <row r="630" ht="15.75" customHeight="1">
      <c r="B630" s="77">
        <f>'Dados Status Invest'!A616</f>
        <v/>
      </c>
      <c r="C630" s="60">
        <f>VLOOKUP(Table_1[[#This Row],[AÇÕES]],'Classificação B3'!A:B,2,0)</f>
        <v/>
      </c>
      <c r="D630" s="60">
        <f>VLOOKUP(Table_1[[#This Row],[AÇÕES]],'Classificação B3'!A:D,4,0)</f>
        <v/>
      </c>
      <c r="E630" s="60">
        <f>VLOOKUP(Table_1[[#This Row],[AÇÕES]],'Classificação B3'!A:F,6,0)</f>
        <v/>
      </c>
      <c r="F630" s="60">
        <f>VLOOKUP(Table_1[[#This Row],[AÇÕES]],'Classificação B3'!A:G,7,0)</f>
        <v/>
      </c>
      <c r="G630" s="61">
        <f>VLOOKUP(Table_1[[#This Row],[AÇÕES]],'Dados Status Invest'!A:B,2,0)</f>
        <v/>
      </c>
      <c r="H630" s="62">
        <f>VLOOKUP(Table_1[[#This Row],[AÇÕES]],'Dados Status Invest'!A:C,3,0)/100</f>
        <v/>
      </c>
      <c r="I630" s="62">
        <f>VLOOKUP(Table_1[[#This Row],[AÇÕES]],'Dados Status Invest'!A:D,4,0)/100</f>
        <v/>
      </c>
      <c r="J630" s="63">
        <f>VLOOKUP(Table_1[[#This Row],[AÇÕES]],'Dados Status Invest'!A:AB,28,0)</f>
        <v/>
      </c>
      <c r="K630" s="63">
        <f>VLOOKUP(Table_1[[#This Row],[AÇÕES]],'Dados Status Invest'!A:AA,27,0)</f>
        <v/>
      </c>
      <c r="L630" s="63">
        <f>Table_1[[#This Row],[PREÇO]]*Table_1[[#This Row],[DY]]</f>
        <v/>
      </c>
      <c r="M630" s="67">
        <f>$E$13</f>
        <v/>
      </c>
      <c r="N630" s="62" t="n">
        <v>0.3</v>
      </c>
      <c r="O630" s="62">
        <f>Table_1[[#This Row],[DPA]]/Table_1[[#This Row],[LPA]]</f>
        <v/>
      </c>
      <c r="P630" s="62">
        <f>IF(Table_1[[#This Row],[PAYOUT]]&lt;=40%,"CRESCIMENTO",IF(Table_1[[#This Row],[PAYOUT]]&lt;=60%,"INDEFINIDO","DIVIDENDOS"))</f>
        <v/>
      </c>
      <c r="Q630" s="62">
        <f>VLOOKUP(Table_1[[#This Row],[AÇÕES]],'Dados Status Invest'!A:R,18,0)/100</f>
        <v/>
      </c>
      <c r="R630" s="62">
        <f>VLOOKUP(Table_1[[#This Row],[AÇÕES]],'Dados Status Invest'!A:Y,25,0)/100</f>
        <v/>
      </c>
      <c r="S630" s="62">
        <f>(1-Table_1[[#This Row],[PAYOUT]])*Table_1[[#This Row],[ROE]]</f>
        <v/>
      </c>
      <c r="T630" s="98">
        <f>AVERAGE(Table_1[[#This Row],[CAGR LUCRO 5A]],Table_1[[#This Row],[CRESCIMENTO DAMODARAN]])</f>
        <v/>
      </c>
      <c r="U630" s="64">
        <f>(Table_1[[#This Row],[PREÇO JUSTO BAZIN]]-Table_1[[#This Row],[PREÇO]])/Table_1[[#This Row],[PREÇO JUSTO BAZIN]]</f>
        <v/>
      </c>
      <c r="V630" s="129">
        <f>Table_1[[#This Row],[DPA]]/6%</f>
        <v/>
      </c>
      <c r="W630" s="129">
        <f>Table_1[[#This Row],[PREÇO JUSTO BAZIN]]/(1+Table_1[[#This Row],[MARGEM DE DESCONTO]])</f>
        <v/>
      </c>
      <c r="X630" s="64">
        <f>(Table_1[[#This Row],[PREÇO JUSTO GRAHAM]]-Table_1[[#This Row],[PREÇO]])/Table_1[[#This Row],[PREÇO JUSTO GRAHAM]]</f>
        <v/>
      </c>
      <c r="Y630" s="129">
        <f>(22.5*Table_1[[#This Row],[LPA]]*Table_1[[#This Row],[VPA]])^0.5</f>
        <v/>
      </c>
      <c r="Z630" s="129">
        <f>Table_1[[#This Row],[PREÇO JUSTO GRAHAM]]/(1+Table_1[[#This Row],[MARGEM DE DESCONTO]])</f>
        <v/>
      </c>
      <c r="AA630" s="64">
        <f>(Table_1[[#This Row],[PREÇO JUSTO GORDON]]-Table_1[[#This Row],[PREÇO]])/Table_1[[#This Row],[PREÇO JUSTO GORDON]]</f>
        <v/>
      </c>
      <c r="AB630" s="130">
        <f>Table_1[[#This Row],[DPA]]*(1+Table_1[[#This Row],[MÉDIA DE CRESCIMENTO]])</f>
        <v/>
      </c>
      <c r="AC630" s="130">
        <f>Table_1[[#This Row],[D1]]/(Table_1[[#This Row],[RISCO]]-Table_1[[#This Row],[MÉDIA DE CRESCIMENTO]])</f>
        <v/>
      </c>
      <c r="AD630" s="130">
        <f>Table_1[[#This Row],[PREÇO JUSTO GORDON]]/(1+Table_1[[#This Row],[MARGEM DE DESCONTO]])</f>
        <v/>
      </c>
      <c r="AE630" s="78">
        <f>Table_1[[#This Row],[P/L]]/Table_1[[#This Row],[MÉDIA DE CRESCIMENTO]]</f>
        <v/>
      </c>
    </row>
    <row r="631" ht="15.75" customHeight="1">
      <c r="B631" s="77">
        <f>'Dados Status Invest'!A617</f>
        <v/>
      </c>
      <c r="C631" s="60">
        <f>VLOOKUP(Table_1[[#This Row],[AÇÕES]],'Classificação B3'!A:B,2,0)</f>
        <v/>
      </c>
      <c r="D631" s="60">
        <f>VLOOKUP(Table_1[[#This Row],[AÇÕES]],'Classificação B3'!A:D,4,0)</f>
        <v/>
      </c>
      <c r="E631" s="60">
        <f>VLOOKUP(Table_1[[#This Row],[AÇÕES]],'Classificação B3'!A:F,6,0)</f>
        <v/>
      </c>
      <c r="F631" s="60">
        <f>VLOOKUP(Table_1[[#This Row],[AÇÕES]],'Classificação B3'!A:G,7,0)</f>
        <v/>
      </c>
      <c r="G631" s="61">
        <f>VLOOKUP(Table_1[[#This Row],[AÇÕES]],'Dados Status Invest'!A:B,2,0)</f>
        <v/>
      </c>
      <c r="H631" s="62">
        <f>VLOOKUP(Table_1[[#This Row],[AÇÕES]],'Dados Status Invest'!A:C,3,0)/100</f>
        <v/>
      </c>
      <c r="I631" s="62">
        <f>VLOOKUP(Table_1[[#This Row],[AÇÕES]],'Dados Status Invest'!A:D,4,0)/100</f>
        <v/>
      </c>
      <c r="J631" s="63">
        <f>VLOOKUP(Table_1[[#This Row],[AÇÕES]],'Dados Status Invest'!A:AB,28,0)</f>
        <v/>
      </c>
      <c r="K631" s="63">
        <f>VLOOKUP(Table_1[[#This Row],[AÇÕES]],'Dados Status Invest'!A:AA,27,0)</f>
        <v/>
      </c>
      <c r="L631" s="63">
        <f>Table_1[[#This Row],[PREÇO]]*Table_1[[#This Row],[DY]]</f>
        <v/>
      </c>
      <c r="M631" s="67">
        <f>$E$13</f>
        <v/>
      </c>
      <c r="N631" s="62" t="n">
        <v>0.3</v>
      </c>
      <c r="O631" s="62">
        <f>Table_1[[#This Row],[DPA]]/Table_1[[#This Row],[LPA]]</f>
        <v/>
      </c>
      <c r="P631" s="62">
        <f>IF(Table_1[[#This Row],[PAYOUT]]&lt;=40%,"CRESCIMENTO",IF(Table_1[[#This Row],[PAYOUT]]&lt;=60%,"INDEFINIDO","DIVIDENDOS"))</f>
        <v/>
      </c>
      <c r="Q631" s="62">
        <f>VLOOKUP(Table_1[[#This Row],[AÇÕES]],'Dados Status Invest'!A:R,18,0)/100</f>
        <v/>
      </c>
      <c r="R631" s="62">
        <f>VLOOKUP(Table_1[[#This Row],[AÇÕES]],'Dados Status Invest'!A:Y,25,0)/100</f>
        <v/>
      </c>
      <c r="S631" s="62">
        <f>(1-Table_1[[#This Row],[PAYOUT]])*Table_1[[#This Row],[ROE]]</f>
        <v/>
      </c>
      <c r="T631" s="98">
        <f>AVERAGE(Table_1[[#This Row],[CAGR LUCRO 5A]],Table_1[[#This Row],[CRESCIMENTO DAMODARAN]])</f>
        <v/>
      </c>
      <c r="U631" s="64">
        <f>(Table_1[[#This Row],[PREÇO JUSTO BAZIN]]-Table_1[[#This Row],[PREÇO]])/Table_1[[#This Row],[PREÇO JUSTO BAZIN]]</f>
        <v/>
      </c>
      <c r="V631" s="129">
        <f>Table_1[[#This Row],[DPA]]/6%</f>
        <v/>
      </c>
      <c r="W631" s="129">
        <f>Table_1[[#This Row],[PREÇO JUSTO BAZIN]]/(1+Table_1[[#This Row],[MARGEM DE DESCONTO]])</f>
        <v/>
      </c>
      <c r="X631" s="64">
        <f>(Table_1[[#This Row],[PREÇO JUSTO GRAHAM]]-Table_1[[#This Row],[PREÇO]])/Table_1[[#This Row],[PREÇO JUSTO GRAHAM]]</f>
        <v/>
      </c>
      <c r="Y631" s="129">
        <f>(22.5*Table_1[[#This Row],[LPA]]*Table_1[[#This Row],[VPA]])^0.5</f>
        <v/>
      </c>
      <c r="Z631" s="129">
        <f>Table_1[[#This Row],[PREÇO JUSTO GRAHAM]]/(1+Table_1[[#This Row],[MARGEM DE DESCONTO]])</f>
        <v/>
      </c>
      <c r="AA631" s="64">
        <f>(Table_1[[#This Row],[PREÇO JUSTO GORDON]]-Table_1[[#This Row],[PREÇO]])/Table_1[[#This Row],[PREÇO JUSTO GORDON]]</f>
        <v/>
      </c>
      <c r="AB631" s="130">
        <f>Table_1[[#This Row],[DPA]]*(1+Table_1[[#This Row],[MÉDIA DE CRESCIMENTO]])</f>
        <v/>
      </c>
      <c r="AC631" s="130">
        <f>Table_1[[#This Row],[D1]]/(Table_1[[#This Row],[RISCO]]-Table_1[[#This Row],[MÉDIA DE CRESCIMENTO]])</f>
        <v/>
      </c>
      <c r="AD631" s="130">
        <f>Table_1[[#This Row],[PREÇO JUSTO GORDON]]/(1+Table_1[[#This Row],[MARGEM DE DESCONTO]])</f>
        <v/>
      </c>
      <c r="AE631" s="78">
        <f>Table_1[[#This Row],[P/L]]/Table_1[[#This Row],[MÉDIA DE CRESCIMENTO]]</f>
        <v/>
      </c>
    </row>
    <row r="632" ht="15.75" customHeight="1">
      <c r="B632" s="77">
        <f>'Dados Status Invest'!A618</f>
        <v/>
      </c>
      <c r="C632" s="60">
        <f>VLOOKUP(Table_1[[#This Row],[AÇÕES]],'Classificação B3'!A:B,2,0)</f>
        <v/>
      </c>
      <c r="D632" s="60">
        <f>VLOOKUP(Table_1[[#This Row],[AÇÕES]],'Classificação B3'!A:D,4,0)</f>
        <v/>
      </c>
      <c r="E632" s="60">
        <f>VLOOKUP(Table_1[[#This Row],[AÇÕES]],'Classificação B3'!A:F,6,0)</f>
        <v/>
      </c>
      <c r="F632" s="60">
        <f>VLOOKUP(Table_1[[#This Row],[AÇÕES]],'Classificação B3'!A:G,7,0)</f>
        <v/>
      </c>
      <c r="G632" s="61">
        <f>VLOOKUP(Table_1[[#This Row],[AÇÕES]],'Dados Status Invest'!A:B,2,0)</f>
        <v/>
      </c>
      <c r="H632" s="62">
        <f>VLOOKUP(Table_1[[#This Row],[AÇÕES]],'Dados Status Invest'!A:C,3,0)/100</f>
        <v/>
      </c>
      <c r="I632" s="62">
        <f>VLOOKUP(Table_1[[#This Row],[AÇÕES]],'Dados Status Invest'!A:D,4,0)/100</f>
        <v/>
      </c>
      <c r="J632" s="63">
        <f>VLOOKUP(Table_1[[#This Row],[AÇÕES]],'Dados Status Invest'!A:AB,28,0)</f>
        <v/>
      </c>
      <c r="K632" s="63">
        <f>VLOOKUP(Table_1[[#This Row],[AÇÕES]],'Dados Status Invest'!A:AA,27,0)</f>
        <v/>
      </c>
      <c r="L632" s="63">
        <f>Table_1[[#This Row],[PREÇO]]*Table_1[[#This Row],[DY]]</f>
        <v/>
      </c>
      <c r="M632" s="67">
        <f>$E$13</f>
        <v/>
      </c>
      <c r="N632" s="62" t="n">
        <v>0.3</v>
      </c>
      <c r="O632" s="62">
        <f>Table_1[[#This Row],[DPA]]/Table_1[[#This Row],[LPA]]</f>
        <v/>
      </c>
      <c r="P632" s="62">
        <f>IF(Table_1[[#This Row],[PAYOUT]]&lt;=40%,"CRESCIMENTO",IF(Table_1[[#This Row],[PAYOUT]]&lt;=60%,"INDEFINIDO","DIVIDENDOS"))</f>
        <v/>
      </c>
      <c r="Q632" s="62">
        <f>VLOOKUP(Table_1[[#This Row],[AÇÕES]],'Dados Status Invest'!A:R,18,0)/100</f>
        <v/>
      </c>
      <c r="R632" s="62">
        <f>VLOOKUP(Table_1[[#This Row],[AÇÕES]],'Dados Status Invest'!A:Y,25,0)/100</f>
        <v/>
      </c>
      <c r="S632" s="62">
        <f>(1-Table_1[[#This Row],[PAYOUT]])*Table_1[[#This Row],[ROE]]</f>
        <v/>
      </c>
      <c r="T632" s="98">
        <f>AVERAGE(Table_1[[#This Row],[CAGR LUCRO 5A]],Table_1[[#This Row],[CRESCIMENTO DAMODARAN]])</f>
        <v/>
      </c>
      <c r="U632" s="64">
        <f>(Table_1[[#This Row],[PREÇO JUSTO BAZIN]]-Table_1[[#This Row],[PREÇO]])/Table_1[[#This Row],[PREÇO JUSTO BAZIN]]</f>
        <v/>
      </c>
      <c r="V632" s="129">
        <f>Table_1[[#This Row],[DPA]]/6%</f>
        <v/>
      </c>
      <c r="W632" s="129">
        <f>Table_1[[#This Row],[PREÇO JUSTO BAZIN]]/(1+Table_1[[#This Row],[MARGEM DE DESCONTO]])</f>
        <v/>
      </c>
      <c r="X632" s="64">
        <f>(Table_1[[#This Row],[PREÇO JUSTO GRAHAM]]-Table_1[[#This Row],[PREÇO]])/Table_1[[#This Row],[PREÇO JUSTO GRAHAM]]</f>
        <v/>
      </c>
      <c r="Y632" s="129">
        <f>(22.5*Table_1[[#This Row],[LPA]]*Table_1[[#This Row],[VPA]])^0.5</f>
        <v/>
      </c>
      <c r="Z632" s="129">
        <f>Table_1[[#This Row],[PREÇO JUSTO GRAHAM]]/(1+Table_1[[#This Row],[MARGEM DE DESCONTO]])</f>
        <v/>
      </c>
      <c r="AA632" s="64">
        <f>(Table_1[[#This Row],[PREÇO JUSTO GORDON]]-Table_1[[#This Row],[PREÇO]])/Table_1[[#This Row],[PREÇO JUSTO GORDON]]</f>
        <v/>
      </c>
      <c r="AB632" s="130">
        <f>Table_1[[#This Row],[DPA]]*(1+Table_1[[#This Row],[MÉDIA DE CRESCIMENTO]])</f>
        <v/>
      </c>
      <c r="AC632" s="130">
        <f>Table_1[[#This Row],[D1]]/(Table_1[[#This Row],[RISCO]]-Table_1[[#This Row],[MÉDIA DE CRESCIMENTO]])</f>
        <v/>
      </c>
      <c r="AD632" s="130">
        <f>Table_1[[#This Row],[PREÇO JUSTO GORDON]]/(1+Table_1[[#This Row],[MARGEM DE DESCONTO]])</f>
        <v/>
      </c>
      <c r="AE632" s="78">
        <f>Table_1[[#This Row],[P/L]]/Table_1[[#This Row],[MÉDIA DE CRESCIMENTO]]</f>
        <v/>
      </c>
    </row>
    <row r="633" ht="15.75" customHeight="1">
      <c r="B633" s="77">
        <f>'Dados Status Invest'!A619</f>
        <v/>
      </c>
      <c r="C633" s="60">
        <f>VLOOKUP(Table_1[[#This Row],[AÇÕES]],'Classificação B3'!A:B,2,0)</f>
        <v/>
      </c>
      <c r="D633" s="60">
        <f>VLOOKUP(Table_1[[#This Row],[AÇÕES]],'Classificação B3'!A:D,4,0)</f>
        <v/>
      </c>
      <c r="E633" s="60">
        <f>VLOOKUP(Table_1[[#This Row],[AÇÕES]],'Classificação B3'!A:F,6,0)</f>
        <v/>
      </c>
      <c r="F633" s="60">
        <f>VLOOKUP(Table_1[[#This Row],[AÇÕES]],'Classificação B3'!A:G,7,0)</f>
        <v/>
      </c>
      <c r="G633" s="61">
        <f>VLOOKUP(Table_1[[#This Row],[AÇÕES]],'Dados Status Invest'!A:B,2,0)</f>
        <v/>
      </c>
      <c r="H633" s="62">
        <f>VLOOKUP(Table_1[[#This Row],[AÇÕES]],'Dados Status Invest'!A:C,3,0)/100</f>
        <v/>
      </c>
      <c r="I633" s="62">
        <f>VLOOKUP(Table_1[[#This Row],[AÇÕES]],'Dados Status Invest'!A:D,4,0)/100</f>
        <v/>
      </c>
      <c r="J633" s="63">
        <f>VLOOKUP(Table_1[[#This Row],[AÇÕES]],'Dados Status Invest'!A:AB,28,0)</f>
        <v/>
      </c>
      <c r="K633" s="63">
        <f>VLOOKUP(Table_1[[#This Row],[AÇÕES]],'Dados Status Invest'!A:AA,27,0)</f>
        <v/>
      </c>
      <c r="L633" s="63">
        <f>Table_1[[#This Row],[PREÇO]]*Table_1[[#This Row],[DY]]</f>
        <v/>
      </c>
      <c r="M633" s="67">
        <f>$E$13</f>
        <v/>
      </c>
      <c r="N633" s="62" t="n">
        <v>0.3</v>
      </c>
      <c r="O633" s="62">
        <f>Table_1[[#This Row],[DPA]]/Table_1[[#This Row],[LPA]]</f>
        <v/>
      </c>
      <c r="P633" s="62">
        <f>IF(Table_1[[#This Row],[PAYOUT]]&lt;=40%,"CRESCIMENTO",IF(Table_1[[#This Row],[PAYOUT]]&lt;=60%,"INDEFINIDO","DIVIDENDOS"))</f>
        <v/>
      </c>
      <c r="Q633" s="62">
        <f>VLOOKUP(Table_1[[#This Row],[AÇÕES]],'Dados Status Invest'!A:R,18,0)/100</f>
        <v/>
      </c>
      <c r="R633" s="62">
        <f>VLOOKUP(Table_1[[#This Row],[AÇÕES]],'Dados Status Invest'!A:Y,25,0)/100</f>
        <v/>
      </c>
      <c r="S633" s="62">
        <f>(1-Table_1[[#This Row],[PAYOUT]])*Table_1[[#This Row],[ROE]]</f>
        <v/>
      </c>
      <c r="T633" s="98">
        <f>AVERAGE(Table_1[[#This Row],[CAGR LUCRO 5A]],Table_1[[#This Row],[CRESCIMENTO DAMODARAN]])</f>
        <v/>
      </c>
      <c r="U633" s="64">
        <f>(Table_1[[#This Row],[PREÇO JUSTO BAZIN]]-Table_1[[#This Row],[PREÇO]])/Table_1[[#This Row],[PREÇO JUSTO BAZIN]]</f>
        <v/>
      </c>
      <c r="V633" s="129">
        <f>Table_1[[#This Row],[DPA]]/6%</f>
        <v/>
      </c>
      <c r="W633" s="129">
        <f>Table_1[[#This Row],[PREÇO JUSTO BAZIN]]/(1+Table_1[[#This Row],[MARGEM DE DESCONTO]])</f>
        <v/>
      </c>
      <c r="X633" s="64">
        <f>(Table_1[[#This Row],[PREÇO JUSTO GRAHAM]]-Table_1[[#This Row],[PREÇO]])/Table_1[[#This Row],[PREÇO JUSTO GRAHAM]]</f>
        <v/>
      </c>
      <c r="Y633" s="129">
        <f>(22.5*Table_1[[#This Row],[LPA]]*Table_1[[#This Row],[VPA]])^0.5</f>
        <v/>
      </c>
      <c r="Z633" s="129">
        <f>Table_1[[#This Row],[PREÇO JUSTO GRAHAM]]/(1+Table_1[[#This Row],[MARGEM DE DESCONTO]])</f>
        <v/>
      </c>
      <c r="AA633" s="64">
        <f>(Table_1[[#This Row],[PREÇO JUSTO GORDON]]-Table_1[[#This Row],[PREÇO]])/Table_1[[#This Row],[PREÇO JUSTO GORDON]]</f>
        <v/>
      </c>
      <c r="AB633" s="130">
        <f>Table_1[[#This Row],[DPA]]*(1+Table_1[[#This Row],[MÉDIA DE CRESCIMENTO]])</f>
        <v/>
      </c>
      <c r="AC633" s="130">
        <f>Table_1[[#This Row],[D1]]/(Table_1[[#This Row],[RISCO]]-Table_1[[#This Row],[MÉDIA DE CRESCIMENTO]])</f>
        <v/>
      </c>
      <c r="AD633" s="130">
        <f>Table_1[[#This Row],[PREÇO JUSTO GORDON]]/(1+Table_1[[#This Row],[MARGEM DE DESCONTO]])</f>
        <v/>
      </c>
      <c r="AE633" s="78">
        <f>Table_1[[#This Row],[P/L]]/Table_1[[#This Row],[MÉDIA DE CRESCIMENTO]]</f>
        <v/>
      </c>
    </row>
    <row r="634" ht="15.75" customHeight="1">
      <c r="B634" s="77">
        <f>'Dados Status Invest'!A620</f>
        <v/>
      </c>
      <c r="C634" s="60">
        <f>VLOOKUP(Table_1[[#This Row],[AÇÕES]],'Classificação B3'!A:B,2,0)</f>
        <v/>
      </c>
      <c r="D634" s="60">
        <f>VLOOKUP(Table_1[[#This Row],[AÇÕES]],'Classificação B3'!A:D,4,0)</f>
        <v/>
      </c>
      <c r="E634" s="60">
        <f>VLOOKUP(Table_1[[#This Row],[AÇÕES]],'Classificação B3'!A:F,6,0)</f>
        <v/>
      </c>
      <c r="F634" s="60">
        <f>VLOOKUP(Table_1[[#This Row],[AÇÕES]],'Classificação B3'!A:G,7,0)</f>
        <v/>
      </c>
      <c r="G634" s="61">
        <f>VLOOKUP(Table_1[[#This Row],[AÇÕES]],'Dados Status Invest'!A:B,2,0)</f>
        <v/>
      </c>
      <c r="H634" s="62">
        <f>VLOOKUP(Table_1[[#This Row],[AÇÕES]],'Dados Status Invest'!A:C,3,0)/100</f>
        <v/>
      </c>
      <c r="I634" s="62">
        <f>VLOOKUP(Table_1[[#This Row],[AÇÕES]],'Dados Status Invest'!A:D,4,0)/100</f>
        <v/>
      </c>
      <c r="J634" s="63">
        <f>VLOOKUP(Table_1[[#This Row],[AÇÕES]],'Dados Status Invest'!A:AB,28,0)</f>
        <v/>
      </c>
      <c r="K634" s="63">
        <f>VLOOKUP(Table_1[[#This Row],[AÇÕES]],'Dados Status Invest'!A:AA,27,0)</f>
        <v/>
      </c>
      <c r="L634" s="63">
        <f>Table_1[[#This Row],[PREÇO]]*Table_1[[#This Row],[DY]]</f>
        <v/>
      </c>
      <c r="M634" s="67">
        <f>$E$13</f>
        <v/>
      </c>
      <c r="N634" s="62" t="n">
        <v>0.3</v>
      </c>
      <c r="O634" s="62">
        <f>Table_1[[#This Row],[DPA]]/Table_1[[#This Row],[LPA]]</f>
        <v/>
      </c>
      <c r="P634" s="62">
        <f>IF(Table_1[[#This Row],[PAYOUT]]&lt;=40%,"CRESCIMENTO",IF(Table_1[[#This Row],[PAYOUT]]&lt;=60%,"INDEFINIDO","DIVIDENDOS"))</f>
        <v/>
      </c>
      <c r="Q634" s="62">
        <f>VLOOKUP(Table_1[[#This Row],[AÇÕES]],'Dados Status Invest'!A:R,18,0)/100</f>
        <v/>
      </c>
      <c r="R634" s="62">
        <f>VLOOKUP(Table_1[[#This Row],[AÇÕES]],'Dados Status Invest'!A:Y,25,0)/100</f>
        <v/>
      </c>
      <c r="S634" s="62">
        <f>(1-Table_1[[#This Row],[PAYOUT]])*Table_1[[#This Row],[ROE]]</f>
        <v/>
      </c>
      <c r="T634" s="98">
        <f>AVERAGE(Table_1[[#This Row],[CAGR LUCRO 5A]],Table_1[[#This Row],[CRESCIMENTO DAMODARAN]])</f>
        <v/>
      </c>
      <c r="U634" s="64">
        <f>(Table_1[[#This Row],[PREÇO JUSTO BAZIN]]-Table_1[[#This Row],[PREÇO]])/Table_1[[#This Row],[PREÇO JUSTO BAZIN]]</f>
        <v/>
      </c>
      <c r="V634" s="129">
        <f>Table_1[[#This Row],[DPA]]/6%</f>
        <v/>
      </c>
      <c r="W634" s="129">
        <f>Table_1[[#This Row],[PREÇO JUSTO BAZIN]]/(1+Table_1[[#This Row],[MARGEM DE DESCONTO]])</f>
        <v/>
      </c>
      <c r="X634" s="64">
        <f>(Table_1[[#This Row],[PREÇO JUSTO GRAHAM]]-Table_1[[#This Row],[PREÇO]])/Table_1[[#This Row],[PREÇO JUSTO GRAHAM]]</f>
        <v/>
      </c>
      <c r="Y634" s="129">
        <f>(22.5*Table_1[[#This Row],[LPA]]*Table_1[[#This Row],[VPA]])^0.5</f>
        <v/>
      </c>
      <c r="Z634" s="129">
        <f>Table_1[[#This Row],[PREÇO JUSTO GRAHAM]]/(1+Table_1[[#This Row],[MARGEM DE DESCONTO]])</f>
        <v/>
      </c>
      <c r="AA634" s="64">
        <f>(Table_1[[#This Row],[PREÇO JUSTO GORDON]]-Table_1[[#This Row],[PREÇO]])/Table_1[[#This Row],[PREÇO JUSTO GORDON]]</f>
        <v/>
      </c>
      <c r="AB634" s="130">
        <f>Table_1[[#This Row],[DPA]]*(1+Table_1[[#This Row],[MÉDIA DE CRESCIMENTO]])</f>
        <v/>
      </c>
      <c r="AC634" s="130">
        <f>Table_1[[#This Row],[D1]]/(Table_1[[#This Row],[RISCO]]-Table_1[[#This Row],[MÉDIA DE CRESCIMENTO]])</f>
        <v/>
      </c>
      <c r="AD634" s="130">
        <f>Table_1[[#This Row],[PREÇO JUSTO GORDON]]/(1+Table_1[[#This Row],[MARGEM DE DESCONTO]])</f>
        <v/>
      </c>
      <c r="AE634" s="78">
        <f>Table_1[[#This Row],[P/L]]/Table_1[[#This Row],[MÉDIA DE CRESCIMENTO]]</f>
        <v/>
      </c>
    </row>
    <row r="635" ht="15.75" customHeight="1">
      <c r="B635" s="77">
        <f>'Dados Status Invest'!A621</f>
        <v/>
      </c>
      <c r="C635" s="60">
        <f>VLOOKUP(Table_1[[#This Row],[AÇÕES]],'Classificação B3'!A:B,2,0)</f>
        <v/>
      </c>
      <c r="D635" s="60">
        <f>VLOOKUP(Table_1[[#This Row],[AÇÕES]],'Classificação B3'!A:D,4,0)</f>
        <v/>
      </c>
      <c r="E635" s="60">
        <f>VLOOKUP(Table_1[[#This Row],[AÇÕES]],'Classificação B3'!A:F,6,0)</f>
        <v/>
      </c>
      <c r="F635" s="60">
        <f>VLOOKUP(Table_1[[#This Row],[AÇÕES]],'Classificação B3'!A:G,7,0)</f>
        <v/>
      </c>
      <c r="G635" s="61">
        <f>VLOOKUP(Table_1[[#This Row],[AÇÕES]],'Dados Status Invest'!A:B,2,0)</f>
        <v/>
      </c>
      <c r="H635" s="62">
        <f>VLOOKUP(Table_1[[#This Row],[AÇÕES]],'Dados Status Invest'!A:C,3,0)/100</f>
        <v/>
      </c>
      <c r="I635" s="62">
        <f>VLOOKUP(Table_1[[#This Row],[AÇÕES]],'Dados Status Invest'!A:D,4,0)/100</f>
        <v/>
      </c>
      <c r="J635" s="63">
        <f>VLOOKUP(Table_1[[#This Row],[AÇÕES]],'Dados Status Invest'!A:AB,28,0)</f>
        <v/>
      </c>
      <c r="K635" s="63">
        <f>VLOOKUP(Table_1[[#This Row],[AÇÕES]],'Dados Status Invest'!A:AA,27,0)</f>
        <v/>
      </c>
      <c r="L635" s="63">
        <f>Table_1[[#This Row],[PREÇO]]*Table_1[[#This Row],[DY]]</f>
        <v/>
      </c>
      <c r="M635" s="67">
        <f>$E$13</f>
        <v/>
      </c>
      <c r="N635" s="62" t="n">
        <v>0.3</v>
      </c>
      <c r="O635" s="62">
        <f>Table_1[[#This Row],[DPA]]/Table_1[[#This Row],[LPA]]</f>
        <v/>
      </c>
      <c r="P635" s="62">
        <f>IF(Table_1[[#This Row],[PAYOUT]]&lt;=40%,"CRESCIMENTO",IF(Table_1[[#This Row],[PAYOUT]]&lt;=60%,"INDEFINIDO","DIVIDENDOS"))</f>
        <v/>
      </c>
      <c r="Q635" s="62">
        <f>VLOOKUP(Table_1[[#This Row],[AÇÕES]],'Dados Status Invest'!A:R,18,0)/100</f>
        <v/>
      </c>
      <c r="R635" s="62">
        <f>VLOOKUP(Table_1[[#This Row],[AÇÕES]],'Dados Status Invest'!A:Y,25,0)/100</f>
        <v/>
      </c>
      <c r="S635" s="62">
        <f>(1-Table_1[[#This Row],[PAYOUT]])*Table_1[[#This Row],[ROE]]</f>
        <v/>
      </c>
      <c r="T635" s="98">
        <f>AVERAGE(Table_1[[#This Row],[CAGR LUCRO 5A]],Table_1[[#This Row],[CRESCIMENTO DAMODARAN]])</f>
        <v/>
      </c>
      <c r="U635" s="64">
        <f>(Table_1[[#This Row],[PREÇO JUSTO BAZIN]]-Table_1[[#This Row],[PREÇO]])/Table_1[[#This Row],[PREÇO JUSTO BAZIN]]</f>
        <v/>
      </c>
      <c r="V635" s="129">
        <f>Table_1[[#This Row],[DPA]]/6%</f>
        <v/>
      </c>
      <c r="W635" s="129">
        <f>Table_1[[#This Row],[PREÇO JUSTO BAZIN]]/(1+Table_1[[#This Row],[MARGEM DE DESCONTO]])</f>
        <v/>
      </c>
      <c r="X635" s="64">
        <f>(Table_1[[#This Row],[PREÇO JUSTO GRAHAM]]-Table_1[[#This Row],[PREÇO]])/Table_1[[#This Row],[PREÇO JUSTO GRAHAM]]</f>
        <v/>
      </c>
      <c r="Y635" s="129">
        <f>(22.5*Table_1[[#This Row],[LPA]]*Table_1[[#This Row],[VPA]])^0.5</f>
        <v/>
      </c>
      <c r="Z635" s="129">
        <f>Table_1[[#This Row],[PREÇO JUSTO GRAHAM]]/(1+Table_1[[#This Row],[MARGEM DE DESCONTO]])</f>
        <v/>
      </c>
      <c r="AA635" s="64">
        <f>(Table_1[[#This Row],[PREÇO JUSTO GORDON]]-Table_1[[#This Row],[PREÇO]])/Table_1[[#This Row],[PREÇO JUSTO GORDON]]</f>
        <v/>
      </c>
      <c r="AB635" s="130">
        <f>Table_1[[#This Row],[DPA]]*(1+Table_1[[#This Row],[MÉDIA DE CRESCIMENTO]])</f>
        <v/>
      </c>
      <c r="AC635" s="130">
        <f>Table_1[[#This Row],[D1]]/(Table_1[[#This Row],[RISCO]]-Table_1[[#This Row],[MÉDIA DE CRESCIMENTO]])</f>
        <v/>
      </c>
      <c r="AD635" s="130">
        <f>Table_1[[#This Row],[PREÇO JUSTO GORDON]]/(1+Table_1[[#This Row],[MARGEM DE DESCONTO]])</f>
        <v/>
      </c>
      <c r="AE635" s="78">
        <f>Table_1[[#This Row],[P/L]]/Table_1[[#This Row],[MÉDIA DE CRESCIMENTO]]</f>
        <v/>
      </c>
    </row>
    <row r="636" ht="15.75" customHeight="1">
      <c r="B636" s="77">
        <f>'Dados Status Invest'!A622</f>
        <v/>
      </c>
      <c r="C636" s="60">
        <f>VLOOKUP(Table_1[[#This Row],[AÇÕES]],'Classificação B3'!A:B,2,0)</f>
        <v/>
      </c>
      <c r="D636" s="60">
        <f>VLOOKUP(Table_1[[#This Row],[AÇÕES]],'Classificação B3'!A:D,4,0)</f>
        <v/>
      </c>
      <c r="E636" s="60">
        <f>VLOOKUP(Table_1[[#This Row],[AÇÕES]],'Classificação B3'!A:F,6,0)</f>
        <v/>
      </c>
      <c r="F636" s="60">
        <f>VLOOKUP(Table_1[[#This Row],[AÇÕES]],'Classificação B3'!A:G,7,0)</f>
        <v/>
      </c>
      <c r="G636" s="61">
        <f>VLOOKUP(Table_1[[#This Row],[AÇÕES]],'Dados Status Invest'!A:B,2,0)</f>
        <v/>
      </c>
      <c r="H636" s="62">
        <f>VLOOKUP(Table_1[[#This Row],[AÇÕES]],'Dados Status Invest'!A:C,3,0)/100</f>
        <v/>
      </c>
      <c r="I636" s="62">
        <f>VLOOKUP(Table_1[[#This Row],[AÇÕES]],'Dados Status Invest'!A:D,4,0)/100</f>
        <v/>
      </c>
      <c r="J636" s="63">
        <f>VLOOKUP(Table_1[[#This Row],[AÇÕES]],'Dados Status Invest'!A:AB,28,0)</f>
        <v/>
      </c>
      <c r="K636" s="63">
        <f>VLOOKUP(Table_1[[#This Row],[AÇÕES]],'Dados Status Invest'!A:AA,27,0)</f>
        <v/>
      </c>
      <c r="L636" s="63">
        <f>Table_1[[#This Row],[PREÇO]]*Table_1[[#This Row],[DY]]</f>
        <v/>
      </c>
      <c r="M636" s="67">
        <f>$E$13</f>
        <v/>
      </c>
      <c r="N636" s="62" t="n">
        <v>0.3</v>
      </c>
      <c r="O636" s="62">
        <f>Table_1[[#This Row],[DPA]]/Table_1[[#This Row],[LPA]]</f>
        <v/>
      </c>
      <c r="P636" s="62">
        <f>IF(Table_1[[#This Row],[PAYOUT]]&lt;=40%,"CRESCIMENTO",IF(Table_1[[#This Row],[PAYOUT]]&lt;=60%,"INDEFINIDO","DIVIDENDOS"))</f>
        <v/>
      </c>
      <c r="Q636" s="62">
        <f>VLOOKUP(Table_1[[#This Row],[AÇÕES]],'Dados Status Invest'!A:R,18,0)/100</f>
        <v/>
      </c>
      <c r="R636" s="62">
        <f>VLOOKUP(Table_1[[#This Row],[AÇÕES]],'Dados Status Invest'!A:Y,25,0)/100</f>
        <v/>
      </c>
      <c r="S636" s="62">
        <f>(1-Table_1[[#This Row],[PAYOUT]])*Table_1[[#This Row],[ROE]]</f>
        <v/>
      </c>
      <c r="T636" s="98">
        <f>AVERAGE(Table_1[[#This Row],[CAGR LUCRO 5A]],Table_1[[#This Row],[CRESCIMENTO DAMODARAN]])</f>
        <v/>
      </c>
      <c r="U636" s="64">
        <f>(Table_1[[#This Row],[PREÇO JUSTO BAZIN]]-Table_1[[#This Row],[PREÇO]])/Table_1[[#This Row],[PREÇO JUSTO BAZIN]]</f>
        <v/>
      </c>
      <c r="V636" s="129">
        <f>Table_1[[#This Row],[DPA]]/6%</f>
        <v/>
      </c>
      <c r="W636" s="129">
        <f>Table_1[[#This Row],[PREÇO JUSTO BAZIN]]/(1+Table_1[[#This Row],[MARGEM DE DESCONTO]])</f>
        <v/>
      </c>
      <c r="X636" s="64">
        <f>(Table_1[[#This Row],[PREÇO JUSTO GRAHAM]]-Table_1[[#This Row],[PREÇO]])/Table_1[[#This Row],[PREÇO JUSTO GRAHAM]]</f>
        <v/>
      </c>
      <c r="Y636" s="129">
        <f>(22.5*Table_1[[#This Row],[LPA]]*Table_1[[#This Row],[VPA]])^0.5</f>
        <v/>
      </c>
      <c r="Z636" s="129">
        <f>Table_1[[#This Row],[PREÇO JUSTO GRAHAM]]/(1+Table_1[[#This Row],[MARGEM DE DESCONTO]])</f>
        <v/>
      </c>
      <c r="AA636" s="64">
        <f>(Table_1[[#This Row],[PREÇO JUSTO GORDON]]-Table_1[[#This Row],[PREÇO]])/Table_1[[#This Row],[PREÇO JUSTO GORDON]]</f>
        <v/>
      </c>
      <c r="AB636" s="130">
        <f>Table_1[[#This Row],[DPA]]*(1+Table_1[[#This Row],[MÉDIA DE CRESCIMENTO]])</f>
        <v/>
      </c>
      <c r="AC636" s="130">
        <f>Table_1[[#This Row],[D1]]/(Table_1[[#This Row],[RISCO]]-Table_1[[#This Row],[MÉDIA DE CRESCIMENTO]])</f>
        <v/>
      </c>
      <c r="AD636" s="130">
        <f>Table_1[[#This Row],[PREÇO JUSTO GORDON]]/(1+Table_1[[#This Row],[MARGEM DE DESCONTO]])</f>
        <v/>
      </c>
      <c r="AE636" s="78">
        <f>Table_1[[#This Row],[P/L]]/Table_1[[#This Row],[MÉDIA DE CRESCIMENTO]]</f>
        <v/>
      </c>
    </row>
    <row r="637" ht="15.75" customHeight="1">
      <c r="B637" s="77">
        <f>'Dados Status Invest'!A623</f>
        <v/>
      </c>
      <c r="C637" s="60">
        <f>VLOOKUP(Table_1[[#This Row],[AÇÕES]],'Classificação B3'!A:B,2,0)</f>
        <v/>
      </c>
      <c r="D637" s="60">
        <f>VLOOKUP(Table_1[[#This Row],[AÇÕES]],'Classificação B3'!A:D,4,0)</f>
        <v/>
      </c>
      <c r="E637" s="60">
        <f>VLOOKUP(Table_1[[#This Row],[AÇÕES]],'Classificação B3'!A:F,6,0)</f>
        <v/>
      </c>
      <c r="F637" s="60">
        <f>VLOOKUP(Table_1[[#This Row],[AÇÕES]],'Classificação B3'!A:G,7,0)</f>
        <v/>
      </c>
      <c r="G637" s="61">
        <f>VLOOKUP(Table_1[[#This Row],[AÇÕES]],'Dados Status Invest'!A:B,2,0)</f>
        <v/>
      </c>
      <c r="H637" s="62">
        <f>VLOOKUP(Table_1[[#This Row],[AÇÕES]],'Dados Status Invest'!A:C,3,0)/100</f>
        <v/>
      </c>
      <c r="I637" s="62">
        <f>VLOOKUP(Table_1[[#This Row],[AÇÕES]],'Dados Status Invest'!A:D,4,0)/100</f>
        <v/>
      </c>
      <c r="J637" s="63">
        <f>VLOOKUP(Table_1[[#This Row],[AÇÕES]],'Dados Status Invest'!A:AB,28,0)</f>
        <v/>
      </c>
      <c r="K637" s="63">
        <f>VLOOKUP(Table_1[[#This Row],[AÇÕES]],'Dados Status Invest'!A:AA,27,0)</f>
        <v/>
      </c>
      <c r="L637" s="63">
        <f>Table_1[[#This Row],[PREÇO]]*Table_1[[#This Row],[DY]]</f>
        <v/>
      </c>
      <c r="M637" s="67">
        <f>$E$13</f>
        <v/>
      </c>
      <c r="N637" s="62" t="n">
        <v>0.3</v>
      </c>
      <c r="O637" s="62">
        <f>Table_1[[#This Row],[DPA]]/Table_1[[#This Row],[LPA]]</f>
        <v/>
      </c>
      <c r="P637" s="62">
        <f>IF(Table_1[[#This Row],[PAYOUT]]&lt;=40%,"CRESCIMENTO",IF(Table_1[[#This Row],[PAYOUT]]&lt;=60%,"INDEFINIDO","DIVIDENDOS"))</f>
        <v/>
      </c>
      <c r="Q637" s="62">
        <f>VLOOKUP(Table_1[[#This Row],[AÇÕES]],'Dados Status Invest'!A:R,18,0)/100</f>
        <v/>
      </c>
      <c r="R637" s="62">
        <f>VLOOKUP(Table_1[[#This Row],[AÇÕES]],'Dados Status Invest'!A:Y,25,0)/100</f>
        <v/>
      </c>
      <c r="S637" s="62">
        <f>(1-Table_1[[#This Row],[PAYOUT]])*Table_1[[#This Row],[ROE]]</f>
        <v/>
      </c>
      <c r="T637" s="98">
        <f>AVERAGE(Table_1[[#This Row],[CAGR LUCRO 5A]],Table_1[[#This Row],[CRESCIMENTO DAMODARAN]])</f>
        <v/>
      </c>
      <c r="U637" s="64">
        <f>(Table_1[[#This Row],[PREÇO JUSTO BAZIN]]-Table_1[[#This Row],[PREÇO]])/Table_1[[#This Row],[PREÇO JUSTO BAZIN]]</f>
        <v/>
      </c>
      <c r="V637" s="129">
        <f>Table_1[[#This Row],[DPA]]/6%</f>
        <v/>
      </c>
      <c r="W637" s="129">
        <f>Table_1[[#This Row],[PREÇO JUSTO BAZIN]]/(1+Table_1[[#This Row],[MARGEM DE DESCONTO]])</f>
        <v/>
      </c>
      <c r="X637" s="64">
        <f>(Table_1[[#This Row],[PREÇO JUSTO GRAHAM]]-Table_1[[#This Row],[PREÇO]])/Table_1[[#This Row],[PREÇO JUSTO GRAHAM]]</f>
        <v/>
      </c>
      <c r="Y637" s="129">
        <f>(22.5*Table_1[[#This Row],[LPA]]*Table_1[[#This Row],[VPA]])^0.5</f>
        <v/>
      </c>
      <c r="Z637" s="129">
        <f>Table_1[[#This Row],[PREÇO JUSTO GRAHAM]]/(1+Table_1[[#This Row],[MARGEM DE DESCONTO]])</f>
        <v/>
      </c>
      <c r="AA637" s="64">
        <f>(Table_1[[#This Row],[PREÇO JUSTO GORDON]]-Table_1[[#This Row],[PREÇO]])/Table_1[[#This Row],[PREÇO JUSTO GORDON]]</f>
        <v/>
      </c>
      <c r="AB637" s="130">
        <f>Table_1[[#This Row],[DPA]]*(1+Table_1[[#This Row],[MÉDIA DE CRESCIMENTO]])</f>
        <v/>
      </c>
      <c r="AC637" s="130">
        <f>Table_1[[#This Row],[D1]]/(Table_1[[#This Row],[RISCO]]-Table_1[[#This Row],[MÉDIA DE CRESCIMENTO]])</f>
        <v/>
      </c>
      <c r="AD637" s="130">
        <f>Table_1[[#This Row],[PREÇO JUSTO GORDON]]/(1+Table_1[[#This Row],[MARGEM DE DESCONTO]])</f>
        <v/>
      </c>
      <c r="AE637" s="78">
        <f>Table_1[[#This Row],[P/L]]/Table_1[[#This Row],[MÉDIA DE CRESCIMENTO]]</f>
        <v/>
      </c>
    </row>
    <row r="638" ht="15.75" customHeight="1">
      <c r="B638" s="77">
        <f>'Dados Status Invest'!A624</f>
        <v/>
      </c>
      <c r="C638" s="60">
        <f>VLOOKUP(Table_1[[#This Row],[AÇÕES]],'Classificação B3'!A:B,2,0)</f>
        <v/>
      </c>
      <c r="D638" s="60">
        <f>VLOOKUP(Table_1[[#This Row],[AÇÕES]],'Classificação B3'!A:D,4,0)</f>
        <v/>
      </c>
      <c r="E638" s="60">
        <f>VLOOKUP(Table_1[[#This Row],[AÇÕES]],'Classificação B3'!A:F,6,0)</f>
        <v/>
      </c>
      <c r="F638" s="60">
        <f>VLOOKUP(Table_1[[#This Row],[AÇÕES]],'Classificação B3'!A:G,7,0)</f>
        <v/>
      </c>
      <c r="G638" s="61">
        <f>VLOOKUP(Table_1[[#This Row],[AÇÕES]],'Dados Status Invest'!A:B,2,0)</f>
        <v/>
      </c>
      <c r="H638" s="62">
        <f>VLOOKUP(Table_1[[#This Row],[AÇÕES]],'Dados Status Invest'!A:C,3,0)/100</f>
        <v/>
      </c>
      <c r="I638" s="62">
        <f>VLOOKUP(Table_1[[#This Row],[AÇÕES]],'Dados Status Invest'!A:D,4,0)/100</f>
        <v/>
      </c>
      <c r="J638" s="63">
        <f>VLOOKUP(Table_1[[#This Row],[AÇÕES]],'Dados Status Invest'!A:AB,28,0)</f>
        <v/>
      </c>
      <c r="K638" s="63">
        <f>VLOOKUP(Table_1[[#This Row],[AÇÕES]],'Dados Status Invest'!A:AA,27,0)</f>
        <v/>
      </c>
      <c r="L638" s="63">
        <f>Table_1[[#This Row],[PREÇO]]*Table_1[[#This Row],[DY]]</f>
        <v/>
      </c>
      <c r="M638" s="67">
        <f>$E$13</f>
        <v/>
      </c>
      <c r="N638" s="62" t="n">
        <v>0.3</v>
      </c>
      <c r="O638" s="62">
        <f>Table_1[[#This Row],[DPA]]/Table_1[[#This Row],[LPA]]</f>
        <v/>
      </c>
      <c r="P638" s="62">
        <f>IF(Table_1[[#This Row],[PAYOUT]]&lt;=40%,"CRESCIMENTO",IF(Table_1[[#This Row],[PAYOUT]]&lt;=60%,"INDEFINIDO","DIVIDENDOS"))</f>
        <v/>
      </c>
      <c r="Q638" s="62">
        <f>VLOOKUP(Table_1[[#This Row],[AÇÕES]],'Dados Status Invest'!A:R,18,0)/100</f>
        <v/>
      </c>
      <c r="R638" s="62">
        <f>VLOOKUP(Table_1[[#This Row],[AÇÕES]],'Dados Status Invest'!A:Y,25,0)/100</f>
        <v/>
      </c>
      <c r="S638" s="62">
        <f>(1-Table_1[[#This Row],[PAYOUT]])*Table_1[[#This Row],[ROE]]</f>
        <v/>
      </c>
      <c r="T638" s="98">
        <f>AVERAGE(Table_1[[#This Row],[CAGR LUCRO 5A]],Table_1[[#This Row],[CRESCIMENTO DAMODARAN]])</f>
        <v/>
      </c>
      <c r="U638" s="64">
        <f>(Table_1[[#This Row],[PREÇO JUSTO BAZIN]]-Table_1[[#This Row],[PREÇO]])/Table_1[[#This Row],[PREÇO JUSTO BAZIN]]</f>
        <v/>
      </c>
      <c r="V638" s="129">
        <f>Table_1[[#This Row],[DPA]]/6%</f>
        <v/>
      </c>
      <c r="W638" s="129">
        <f>Table_1[[#This Row],[PREÇO JUSTO BAZIN]]/(1+Table_1[[#This Row],[MARGEM DE DESCONTO]])</f>
        <v/>
      </c>
      <c r="X638" s="64">
        <f>(Table_1[[#This Row],[PREÇO JUSTO GRAHAM]]-Table_1[[#This Row],[PREÇO]])/Table_1[[#This Row],[PREÇO JUSTO GRAHAM]]</f>
        <v/>
      </c>
      <c r="Y638" s="129">
        <f>(22.5*Table_1[[#This Row],[LPA]]*Table_1[[#This Row],[VPA]])^0.5</f>
        <v/>
      </c>
      <c r="Z638" s="129">
        <f>Table_1[[#This Row],[PREÇO JUSTO GRAHAM]]/(1+Table_1[[#This Row],[MARGEM DE DESCONTO]])</f>
        <v/>
      </c>
      <c r="AA638" s="64">
        <f>(Table_1[[#This Row],[PREÇO JUSTO GORDON]]-Table_1[[#This Row],[PREÇO]])/Table_1[[#This Row],[PREÇO JUSTO GORDON]]</f>
        <v/>
      </c>
      <c r="AB638" s="130">
        <f>Table_1[[#This Row],[DPA]]*(1+Table_1[[#This Row],[MÉDIA DE CRESCIMENTO]])</f>
        <v/>
      </c>
      <c r="AC638" s="130">
        <f>Table_1[[#This Row],[D1]]/(Table_1[[#This Row],[RISCO]]-Table_1[[#This Row],[MÉDIA DE CRESCIMENTO]])</f>
        <v/>
      </c>
      <c r="AD638" s="130">
        <f>Table_1[[#This Row],[PREÇO JUSTO GORDON]]/(1+Table_1[[#This Row],[MARGEM DE DESCONTO]])</f>
        <v/>
      </c>
      <c r="AE638" s="78">
        <f>Table_1[[#This Row],[P/L]]/Table_1[[#This Row],[MÉDIA DE CRESCIMENTO]]</f>
        <v/>
      </c>
    </row>
    <row r="639" ht="15.75" customHeight="1">
      <c r="B639" s="77">
        <f>'Dados Status Invest'!A625</f>
        <v/>
      </c>
      <c r="C639" s="60">
        <f>VLOOKUP(Table_1[[#This Row],[AÇÕES]],'Classificação B3'!A:B,2,0)</f>
        <v/>
      </c>
      <c r="D639" s="60">
        <f>VLOOKUP(Table_1[[#This Row],[AÇÕES]],'Classificação B3'!A:D,4,0)</f>
        <v/>
      </c>
      <c r="E639" s="60">
        <f>VLOOKUP(Table_1[[#This Row],[AÇÕES]],'Classificação B3'!A:F,6,0)</f>
        <v/>
      </c>
      <c r="F639" s="60">
        <f>VLOOKUP(Table_1[[#This Row],[AÇÕES]],'Classificação B3'!A:G,7,0)</f>
        <v/>
      </c>
      <c r="G639" s="61">
        <f>VLOOKUP(Table_1[[#This Row],[AÇÕES]],'Dados Status Invest'!A:B,2,0)</f>
        <v/>
      </c>
      <c r="H639" s="62">
        <f>VLOOKUP(Table_1[[#This Row],[AÇÕES]],'Dados Status Invest'!A:C,3,0)/100</f>
        <v/>
      </c>
      <c r="I639" s="62">
        <f>VLOOKUP(Table_1[[#This Row],[AÇÕES]],'Dados Status Invest'!A:D,4,0)/100</f>
        <v/>
      </c>
      <c r="J639" s="63">
        <f>VLOOKUP(Table_1[[#This Row],[AÇÕES]],'Dados Status Invest'!A:AB,28,0)</f>
        <v/>
      </c>
      <c r="K639" s="63">
        <f>VLOOKUP(Table_1[[#This Row],[AÇÕES]],'Dados Status Invest'!A:AA,27,0)</f>
        <v/>
      </c>
      <c r="L639" s="63">
        <f>Table_1[[#This Row],[PREÇO]]*Table_1[[#This Row],[DY]]</f>
        <v/>
      </c>
      <c r="M639" s="67">
        <f>$E$13</f>
        <v/>
      </c>
      <c r="N639" s="62" t="n">
        <v>0.3</v>
      </c>
      <c r="O639" s="62">
        <f>Table_1[[#This Row],[DPA]]/Table_1[[#This Row],[LPA]]</f>
        <v/>
      </c>
      <c r="P639" s="62">
        <f>IF(Table_1[[#This Row],[PAYOUT]]&lt;=40%,"CRESCIMENTO",IF(Table_1[[#This Row],[PAYOUT]]&lt;=60%,"INDEFINIDO","DIVIDENDOS"))</f>
        <v/>
      </c>
      <c r="Q639" s="62">
        <f>VLOOKUP(Table_1[[#This Row],[AÇÕES]],'Dados Status Invest'!A:R,18,0)/100</f>
        <v/>
      </c>
      <c r="R639" s="62">
        <f>VLOOKUP(Table_1[[#This Row],[AÇÕES]],'Dados Status Invest'!A:Y,25,0)/100</f>
        <v/>
      </c>
      <c r="S639" s="62">
        <f>(1-Table_1[[#This Row],[PAYOUT]])*Table_1[[#This Row],[ROE]]</f>
        <v/>
      </c>
      <c r="T639" s="98">
        <f>AVERAGE(Table_1[[#This Row],[CAGR LUCRO 5A]],Table_1[[#This Row],[CRESCIMENTO DAMODARAN]])</f>
        <v/>
      </c>
      <c r="U639" s="64">
        <f>(Table_1[[#This Row],[PREÇO JUSTO BAZIN]]-Table_1[[#This Row],[PREÇO]])/Table_1[[#This Row],[PREÇO JUSTO BAZIN]]</f>
        <v/>
      </c>
      <c r="V639" s="129">
        <f>Table_1[[#This Row],[DPA]]/6%</f>
        <v/>
      </c>
      <c r="W639" s="129">
        <f>Table_1[[#This Row],[PREÇO JUSTO BAZIN]]/(1+Table_1[[#This Row],[MARGEM DE DESCONTO]])</f>
        <v/>
      </c>
      <c r="X639" s="64">
        <f>(Table_1[[#This Row],[PREÇO JUSTO GRAHAM]]-Table_1[[#This Row],[PREÇO]])/Table_1[[#This Row],[PREÇO JUSTO GRAHAM]]</f>
        <v/>
      </c>
      <c r="Y639" s="129">
        <f>(22.5*Table_1[[#This Row],[LPA]]*Table_1[[#This Row],[VPA]])^0.5</f>
        <v/>
      </c>
      <c r="Z639" s="129">
        <f>Table_1[[#This Row],[PREÇO JUSTO GRAHAM]]/(1+Table_1[[#This Row],[MARGEM DE DESCONTO]])</f>
        <v/>
      </c>
      <c r="AA639" s="64">
        <f>(Table_1[[#This Row],[PREÇO JUSTO GORDON]]-Table_1[[#This Row],[PREÇO]])/Table_1[[#This Row],[PREÇO JUSTO GORDON]]</f>
        <v/>
      </c>
      <c r="AB639" s="130">
        <f>Table_1[[#This Row],[DPA]]*(1+Table_1[[#This Row],[MÉDIA DE CRESCIMENTO]])</f>
        <v/>
      </c>
      <c r="AC639" s="130">
        <f>Table_1[[#This Row],[D1]]/(Table_1[[#This Row],[RISCO]]-Table_1[[#This Row],[MÉDIA DE CRESCIMENTO]])</f>
        <v/>
      </c>
      <c r="AD639" s="130">
        <f>Table_1[[#This Row],[PREÇO JUSTO GORDON]]/(1+Table_1[[#This Row],[MARGEM DE DESCONTO]])</f>
        <v/>
      </c>
      <c r="AE639" s="78">
        <f>Table_1[[#This Row],[P/L]]/Table_1[[#This Row],[MÉDIA DE CRESCIMENTO]]</f>
        <v/>
      </c>
    </row>
    <row r="640" ht="15.75" customHeight="1">
      <c r="B640" s="77">
        <f>'Dados Status Invest'!A626</f>
        <v/>
      </c>
      <c r="C640" s="60">
        <f>VLOOKUP(Table_1[[#This Row],[AÇÕES]],'Classificação B3'!A:B,2,0)</f>
        <v/>
      </c>
      <c r="D640" s="60">
        <f>VLOOKUP(Table_1[[#This Row],[AÇÕES]],'Classificação B3'!A:D,4,0)</f>
        <v/>
      </c>
      <c r="E640" s="60">
        <f>VLOOKUP(Table_1[[#This Row],[AÇÕES]],'Classificação B3'!A:F,6,0)</f>
        <v/>
      </c>
      <c r="F640" s="60">
        <f>VLOOKUP(Table_1[[#This Row],[AÇÕES]],'Classificação B3'!A:G,7,0)</f>
        <v/>
      </c>
      <c r="G640" s="61">
        <f>VLOOKUP(Table_1[[#This Row],[AÇÕES]],'Dados Status Invest'!A:B,2,0)</f>
        <v/>
      </c>
      <c r="H640" s="62">
        <f>VLOOKUP(Table_1[[#This Row],[AÇÕES]],'Dados Status Invest'!A:C,3,0)/100</f>
        <v/>
      </c>
      <c r="I640" s="62">
        <f>VLOOKUP(Table_1[[#This Row],[AÇÕES]],'Dados Status Invest'!A:D,4,0)/100</f>
        <v/>
      </c>
      <c r="J640" s="63">
        <f>VLOOKUP(Table_1[[#This Row],[AÇÕES]],'Dados Status Invest'!A:AB,28,0)</f>
        <v/>
      </c>
      <c r="K640" s="63">
        <f>VLOOKUP(Table_1[[#This Row],[AÇÕES]],'Dados Status Invest'!A:AA,27,0)</f>
        <v/>
      </c>
      <c r="L640" s="63">
        <f>Table_1[[#This Row],[PREÇO]]*Table_1[[#This Row],[DY]]</f>
        <v/>
      </c>
      <c r="M640" s="67">
        <f>$E$13</f>
        <v/>
      </c>
      <c r="N640" s="62" t="n">
        <v>0.3</v>
      </c>
      <c r="O640" s="62">
        <f>Table_1[[#This Row],[DPA]]/Table_1[[#This Row],[LPA]]</f>
        <v/>
      </c>
      <c r="P640" s="62">
        <f>IF(Table_1[[#This Row],[PAYOUT]]&lt;=40%,"CRESCIMENTO",IF(Table_1[[#This Row],[PAYOUT]]&lt;=60%,"INDEFINIDO","DIVIDENDOS"))</f>
        <v/>
      </c>
      <c r="Q640" s="62">
        <f>VLOOKUP(Table_1[[#This Row],[AÇÕES]],'Dados Status Invest'!A:R,18,0)/100</f>
        <v/>
      </c>
      <c r="R640" s="62">
        <f>VLOOKUP(Table_1[[#This Row],[AÇÕES]],'Dados Status Invest'!A:Y,25,0)/100</f>
        <v/>
      </c>
      <c r="S640" s="62">
        <f>(1-Table_1[[#This Row],[PAYOUT]])*Table_1[[#This Row],[ROE]]</f>
        <v/>
      </c>
      <c r="T640" s="98">
        <f>AVERAGE(Table_1[[#This Row],[CAGR LUCRO 5A]],Table_1[[#This Row],[CRESCIMENTO DAMODARAN]])</f>
        <v/>
      </c>
      <c r="U640" s="64">
        <f>(Table_1[[#This Row],[PREÇO JUSTO BAZIN]]-Table_1[[#This Row],[PREÇO]])/Table_1[[#This Row],[PREÇO JUSTO BAZIN]]</f>
        <v/>
      </c>
      <c r="V640" s="129">
        <f>Table_1[[#This Row],[DPA]]/6%</f>
        <v/>
      </c>
      <c r="W640" s="129">
        <f>Table_1[[#This Row],[PREÇO JUSTO BAZIN]]/(1+Table_1[[#This Row],[MARGEM DE DESCONTO]])</f>
        <v/>
      </c>
      <c r="X640" s="64">
        <f>(Table_1[[#This Row],[PREÇO JUSTO GRAHAM]]-Table_1[[#This Row],[PREÇO]])/Table_1[[#This Row],[PREÇO JUSTO GRAHAM]]</f>
        <v/>
      </c>
      <c r="Y640" s="129">
        <f>(22.5*Table_1[[#This Row],[LPA]]*Table_1[[#This Row],[VPA]])^0.5</f>
        <v/>
      </c>
      <c r="Z640" s="129">
        <f>Table_1[[#This Row],[PREÇO JUSTO GRAHAM]]/(1+Table_1[[#This Row],[MARGEM DE DESCONTO]])</f>
        <v/>
      </c>
      <c r="AA640" s="64">
        <f>(Table_1[[#This Row],[PREÇO JUSTO GORDON]]-Table_1[[#This Row],[PREÇO]])/Table_1[[#This Row],[PREÇO JUSTO GORDON]]</f>
        <v/>
      </c>
      <c r="AB640" s="130">
        <f>Table_1[[#This Row],[DPA]]*(1+Table_1[[#This Row],[MÉDIA DE CRESCIMENTO]])</f>
        <v/>
      </c>
      <c r="AC640" s="130">
        <f>Table_1[[#This Row],[D1]]/(Table_1[[#This Row],[RISCO]]-Table_1[[#This Row],[MÉDIA DE CRESCIMENTO]])</f>
        <v/>
      </c>
      <c r="AD640" s="130">
        <f>Table_1[[#This Row],[PREÇO JUSTO GORDON]]/(1+Table_1[[#This Row],[MARGEM DE DESCONTO]])</f>
        <v/>
      </c>
      <c r="AE640" s="78">
        <f>Table_1[[#This Row],[P/L]]/Table_1[[#This Row],[MÉDIA DE CRESCIMENTO]]</f>
        <v/>
      </c>
    </row>
    <row r="641" ht="15.75" customHeight="1">
      <c r="B641" s="77">
        <f>'Dados Status Invest'!A627</f>
        <v/>
      </c>
      <c r="C641" s="60">
        <f>VLOOKUP(Table_1[[#This Row],[AÇÕES]],'Classificação B3'!A:B,2,0)</f>
        <v/>
      </c>
      <c r="D641" s="60">
        <f>VLOOKUP(Table_1[[#This Row],[AÇÕES]],'Classificação B3'!A:D,4,0)</f>
        <v/>
      </c>
      <c r="E641" s="60">
        <f>VLOOKUP(Table_1[[#This Row],[AÇÕES]],'Classificação B3'!A:F,6,0)</f>
        <v/>
      </c>
      <c r="F641" s="60">
        <f>VLOOKUP(Table_1[[#This Row],[AÇÕES]],'Classificação B3'!A:G,7,0)</f>
        <v/>
      </c>
      <c r="G641" s="61">
        <f>VLOOKUP(Table_1[[#This Row],[AÇÕES]],'Dados Status Invest'!A:B,2,0)</f>
        <v/>
      </c>
      <c r="H641" s="62">
        <f>VLOOKUP(Table_1[[#This Row],[AÇÕES]],'Dados Status Invest'!A:C,3,0)/100</f>
        <v/>
      </c>
      <c r="I641" s="62">
        <f>VLOOKUP(Table_1[[#This Row],[AÇÕES]],'Dados Status Invest'!A:D,4,0)/100</f>
        <v/>
      </c>
      <c r="J641" s="63">
        <f>VLOOKUP(Table_1[[#This Row],[AÇÕES]],'Dados Status Invest'!A:AB,28,0)</f>
        <v/>
      </c>
      <c r="K641" s="63">
        <f>VLOOKUP(Table_1[[#This Row],[AÇÕES]],'Dados Status Invest'!A:AA,27,0)</f>
        <v/>
      </c>
      <c r="L641" s="63">
        <f>Table_1[[#This Row],[PREÇO]]*Table_1[[#This Row],[DY]]</f>
        <v/>
      </c>
      <c r="M641" s="67">
        <f>$E$13</f>
        <v/>
      </c>
      <c r="N641" s="62" t="n">
        <v>0.3</v>
      </c>
      <c r="O641" s="62">
        <f>Table_1[[#This Row],[DPA]]/Table_1[[#This Row],[LPA]]</f>
        <v/>
      </c>
      <c r="P641" s="62">
        <f>IF(Table_1[[#This Row],[PAYOUT]]&lt;=40%,"CRESCIMENTO",IF(Table_1[[#This Row],[PAYOUT]]&lt;=60%,"INDEFINIDO","DIVIDENDOS"))</f>
        <v/>
      </c>
      <c r="Q641" s="62">
        <f>VLOOKUP(Table_1[[#This Row],[AÇÕES]],'Dados Status Invest'!A:R,18,0)/100</f>
        <v/>
      </c>
      <c r="R641" s="62">
        <f>VLOOKUP(Table_1[[#This Row],[AÇÕES]],'Dados Status Invest'!A:Y,25,0)/100</f>
        <v/>
      </c>
      <c r="S641" s="62">
        <f>(1-Table_1[[#This Row],[PAYOUT]])*Table_1[[#This Row],[ROE]]</f>
        <v/>
      </c>
      <c r="T641" s="98">
        <f>AVERAGE(Table_1[[#This Row],[CAGR LUCRO 5A]],Table_1[[#This Row],[CRESCIMENTO DAMODARAN]])</f>
        <v/>
      </c>
      <c r="U641" s="64">
        <f>(Table_1[[#This Row],[PREÇO JUSTO BAZIN]]-Table_1[[#This Row],[PREÇO]])/Table_1[[#This Row],[PREÇO JUSTO BAZIN]]</f>
        <v/>
      </c>
      <c r="V641" s="129">
        <f>Table_1[[#This Row],[DPA]]/6%</f>
        <v/>
      </c>
      <c r="W641" s="129">
        <f>Table_1[[#This Row],[PREÇO JUSTO BAZIN]]/(1+Table_1[[#This Row],[MARGEM DE DESCONTO]])</f>
        <v/>
      </c>
      <c r="X641" s="64">
        <f>(Table_1[[#This Row],[PREÇO JUSTO GRAHAM]]-Table_1[[#This Row],[PREÇO]])/Table_1[[#This Row],[PREÇO JUSTO GRAHAM]]</f>
        <v/>
      </c>
      <c r="Y641" s="129">
        <f>(22.5*Table_1[[#This Row],[LPA]]*Table_1[[#This Row],[VPA]])^0.5</f>
        <v/>
      </c>
      <c r="Z641" s="129">
        <f>Table_1[[#This Row],[PREÇO JUSTO GRAHAM]]/(1+Table_1[[#This Row],[MARGEM DE DESCONTO]])</f>
        <v/>
      </c>
      <c r="AA641" s="64">
        <f>(Table_1[[#This Row],[PREÇO JUSTO GORDON]]-Table_1[[#This Row],[PREÇO]])/Table_1[[#This Row],[PREÇO JUSTO GORDON]]</f>
        <v/>
      </c>
      <c r="AB641" s="130">
        <f>Table_1[[#This Row],[DPA]]*(1+Table_1[[#This Row],[MÉDIA DE CRESCIMENTO]])</f>
        <v/>
      </c>
      <c r="AC641" s="130">
        <f>Table_1[[#This Row],[D1]]/(Table_1[[#This Row],[RISCO]]-Table_1[[#This Row],[MÉDIA DE CRESCIMENTO]])</f>
        <v/>
      </c>
      <c r="AD641" s="130">
        <f>Table_1[[#This Row],[PREÇO JUSTO GORDON]]/(1+Table_1[[#This Row],[MARGEM DE DESCONTO]])</f>
        <v/>
      </c>
      <c r="AE641" s="78">
        <f>Table_1[[#This Row],[P/L]]/Table_1[[#This Row],[MÉDIA DE CRESCIMENTO]]</f>
        <v/>
      </c>
    </row>
    <row r="642" ht="15.75" customHeight="1">
      <c r="B642" s="77">
        <f>'Dados Status Invest'!A628</f>
        <v/>
      </c>
      <c r="C642" s="60">
        <f>VLOOKUP(Table_1[[#This Row],[AÇÕES]],'Classificação B3'!A:B,2,0)</f>
        <v/>
      </c>
      <c r="D642" s="60">
        <f>VLOOKUP(Table_1[[#This Row],[AÇÕES]],'Classificação B3'!A:D,4,0)</f>
        <v/>
      </c>
      <c r="E642" s="60">
        <f>VLOOKUP(Table_1[[#This Row],[AÇÕES]],'Classificação B3'!A:F,6,0)</f>
        <v/>
      </c>
      <c r="F642" s="60">
        <f>VLOOKUP(Table_1[[#This Row],[AÇÕES]],'Classificação B3'!A:G,7,0)</f>
        <v/>
      </c>
      <c r="G642" s="61">
        <f>VLOOKUP(Table_1[[#This Row],[AÇÕES]],'Dados Status Invest'!A:B,2,0)</f>
        <v/>
      </c>
      <c r="H642" s="62">
        <f>VLOOKUP(Table_1[[#This Row],[AÇÕES]],'Dados Status Invest'!A:C,3,0)/100</f>
        <v/>
      </c>
      <c r="I642" s="62">
        <f>VLOOKUP(Table_1[[#This Row],[AÇÕES]],'Dados Status Invest'!A:D,4,0)/100</f>
        <v/>
      </c>
      <c r="J642" s="63">
        <f>VLOOKUP(Table_1[[#This Row],[AÇÕES]],'Dados Status Invest'!A:AB,28,0)</f>
        <v/>
      </c>
      <c r="K642" s="63">
        <f>VLOOKUP(Table_1[[#This Row],[AÇÕES]],'Dados Status Invest'!A:AA,27,0)</f>
        <v/>
      </c>
      <c r="L642" s="63">
        <f>Table_1[[#This Row],[PREÇO]]*Table_1[[#This Row],[DY]]</f>
        <v/>
      </c>
      <c r="M642" s="67">
        <f>$E$13</f>
        <v/>
      </c>
      <c r="N642" s="62" t="n">
        <v>0.3</v>
      </c>
      <c r="O642" s="62">
        <f>Table_1[[#This Row],[DPA]]/Table_1[[#This Row],[LPA]]</f>
        <v/>
      </c>
      <c r="P642" s="62">
        <f>IF(Table_1[[#This Row],[PAYOUT]]&lt;=40%,"CRESCIMENTO",IF(Table_1[[#This Row],[PAYOUT]]&lt;=60%,"INDEFINIDO","DIVIDENDOS"))</f>
        <v/>
      </c>
      <c r="Q642" s="62">
        <f>VLOOKUP(Table_1[[#This Row],[AÇÕES]],'Dados Status Invest'!A:R,18,0)/100</f>
        <v/>
      </c>
      <c r="R642" s="62">
        <f>VLOOKUP(Table_1[[#This Row],[AÇÕES]],'Dados Status Invest'!A:Y,25,0)/100</f>
        <v/>
      </c>
      <c r="S642" s="62">
        <f>(1-Table_1[[#This Row],[PAYOUT]])*Table_1[[#This Row],[ROE]]</f>
        <v/>
      </c>
      <c r="T642" s="98">
        <f>AVERAGE(Table_1[[#This Row],[CAGR LUCRO 5A]],Table_1[[#This Row],[CRESCIMENTO DAMODARAN]])</f>
        <v/>
      </c>
      <c r="U642" s="64">
        <f>(Table_1[[#This Row],[PREÇO JUSTO BAZIN]]-Table_1[[#This Row],[PREÇO]])/Table_1[[#This Row],[PREÇO JUSTO BAZIN]]</f>
        <v/>
      </c>
      <c r="V642" s="129">
        <f>Table_1[[#This Row],[DPA]]/6%</f>
        <v/>
      </c>
      <c r="W642" s="129">
        <f>Table_1[[#This Row],[PREÇO JUSTO BAZIN]]/(1+Table_1[[#This Row],[MARGEM DE DESCONTO]])</f>
        <v/>
      </c>
      <c r="X642" s="64">
        <f>(Table_1[[#This Row],[PREÇO JUSTO GRAHAM]]-Table_1[[#This Row],[PREÇO]])/Table_1[[#This Row],[PREÇO JUSTO GRAHAM]]</f>
        <v/>
      </c>
      <c r="Y642" s="129">
        <f>(22.5*Table_1[[#This Row],[LPA]]*Table_1[[#This Row],[VPA]])^0.5</f>
        <v/>
      </c>
      <c r="Z642" s="129">
        <f>Table_1[[#This Row],[PREÇO JUSTO GRAHAM]]/(1+Table_1[[#This Row],[MARGEM DE DESCONTO]])</f>
        <v/>
      </c>
      <c r="AA642" s="64">
        <f>(Table_1[[#This Row],[PREÇO JUSTO GORDON]]-Table_1[[#This Row],[PREÇO]])/Table_1[[#This Row],[PREÇO JUSTO GORDON]]</f>
        <v/>
      </c>
      <c r="AB642" s="130">
        <f>Table_1[[#This Row],[DPA]]*(1+Table_1[[#This Row],[MÉDIA DE CRESCIMENTO]])</f>
        <v/>
      </c>
      <c r="AC642" s="130">
        <f>Table_1[[#This Row],[D1]]/(Table_1[[#This Row],[RISCO]]-Table_1[[#This Row],[MÉDIA DE CRESCIMENTO]])</f>
        <v/>
      </c>
      <c r="AD642" s="130">
        <f>Table_1[[#This Row],[PREÇO JUSTO GORDON]]/(1+Table_1[[#This Row],[MARGEM DE DESCONTO]])</f>
        <v/>
      </c>
      <c r="AE642" s="78">
        <f>Table_1[[#This Row],[P/L]]/Table_1[[#This Row],[MÉDIA DE CRESCIMENTO]]</f>
        <v/>
      </c>
    </row>
    <row r="643" ht="15.75" customHeight="1">
      <c r="B643" s="77">
        <f>'Dados Status Invest'!A629</f>
        <v/>
      </c>
      <c r="C643" s="60">
        <f>VLOOKUP(Table_1[[#This Row],[AÇÕES]],'Classificação B3'!A:B,2,0)</f>
        <v/>
      </c>
      <c r="D643" s="60">
        <f>VLOOKUP(Table_1[[#This Row],[AÇÕES]],'Classificação B3'!A:D,4,0)</f>
        <v/>
      </c>
      <c r="E643" s="60">
        <f>VLOOKUP(Table_1[[#This Row],[AÇÕES]],'Classificação B3'!A:F,6,0)</f>
        <v/>
      </c>
      <c r="F643" s="60">
        <f>VLOOKUP(Table_1[[#This Row],[AÇÕES]],'Classificação B3'!A:G,7,0)</f>
        <v/>
      </c>
      <c r="G643" s="61">
        <f>VLOOKUP(Table_1[[#This Row],[AÇÕES]],'Dados Status Invest'!A:B,2,0)</f>
        <v/>
      </c>
      <c r="H643" s="62">
        <f>VLOOKUP(Table_1[[#This Row],[AÇÕES]],'Dados Status Invest'!A:C,3,0)/100</f>
        <v/>
      </c>
      <c r="I643" s="62">
        <f>VLOOKUP(Table_1[[#This Row],[AÇÕES]],'Dados Status Invest'!A:D,4,0)/100</f>
        <v/>
      </c>
      <c r="J643" s="63">
        <f>VLOOKUP(Table_1[[#This Row],[AÇÕES]],'Dados Status Invest'!A:AB,28,0)</f>
        <v/>
      </c>
      <c r="K643" s="63">
        <f>VLOOKUP(Table_1[[#This Row],[AÇÕES]],'Dados Status Invest'!A:AA,27,0)</f>
        <v/>
      </c>
      <c r="L643" s="63">
        <f>Table_1[[#This Row],[PREÇO]]*Table_1[[#This Row],[DY]]</f>
        <v/>
      </c>
      <c r="M643" s="67">
        <f>$E$13</f>
        <v/>
      </c>
      <c r="N643" s="62" t="n">
        <v>0.3</v>
      </c>
      <c r="O643" s="62">
        <f>Table_1[[#This Row],[DPA]]/Table_1[[#This Row],[LPA]]</f>
        <v/>
      </c>
      <c r="P643" s="62">
        <f>IF(Table_1[[#This Row],[PAYOUT]]&lt;=40%,"CRESCIMENTO",IF(Table_1[[#This Row],[PAYOUT]]&lt;=60%,"INDEFINIDO","DIVIDENDOS"))</f>
        <v/>
      </c>
      <c r="Q643" s="62">
        <f>VLOOKUP(Table_1[[#This Row],[AÇÕES]],'Dados Status Invest'!A:R,18,0)/100</f>
        <v/>
      </c>
      <c r="R643" s="62">
        <f>VLOOKUP(Table_1[[#This Row],[AÇÕES]],'Dados Status Invest'!A:Y,25,0)/100</f>
        <v/>
      </c>
      <c r="S643" s="62">
        <f>(1-Table_1[[#This Row],[PAYOUT]])*Table_1[[#This Row],[ROE]]</f>
        <v/>
      </c>
      <c r="T643" s="98">
        <f>AVERAGE(Table_1[[#This Row],[CAGR LUCRO 5A]],Table_1[[#This Row],[CRESCIMENTO DAMODARAN]])</f>
        <v/>
      </c>
      <c r="U643" s="64">
        <f>(Table_1[[#This Row],[PREÇO JUSTO BAZIN]]-Table_1[[#This Row],[PREÇO]])/Table_1[[#This Row],[PREÇO JUSTO BAZIN]]</f>
        <v/>
      </c>
      <c r="V643" s="129">
        <f>Table_1[[#This Row],[DPA]]/6%</f>
        <v/>
      </c>
      <c r="W643" s="129">
        <f>Table_1[[#This Row],[PREÇO JUSTO BAZIN]]/(1+Table_1[[#This Row],[MARGEM DE DESCONTO]])</f>
        <v/>
      </c>
      <c r="X643" s="64">
        <f>(Table_1[[#This Row],[PREÇO JUSTO GRAHAM]]-Table_1[[#This Row],[PREÇO]])/Table_1[[#This Row],[PREÇO JUSTO GRAHAM]]</f>
        <v/>
      </c>
      <c r="Y643" s="129">
        <f>(22.5*Table_1[[#This Row],[LPA]]*Table_1[[#This Row],[VPA]])^0.5</f>
        <v/>
      </c>
      <c r="Z643" s="129">
        <f>Table_1[[#This Row],[PREÇO JUSTO GRAHAM]]/(1+Table_1[[#This Row],[MARGEM DE DESCONTO]])</f>
        <v/>
      </c>
      <c r="AA643" s="64">
        <f>(Table_1[[#This Row],[PREÇO JUSTO GORDON]]-Table_1[[#This Row],[PREÇO]])/Table_1[[#This Row],[PREÇO JUSTO GORDON]]</f>
        <v/>
      </c>
      <c r="AB643" s="130">
        <f>Table_1[[#This Row],[DPA]]*(1+Table_1[[#This Row],[MÉDIA DE CRESCIMENTO]])</f>
        <v/>
      </c>
      <c r="AC643" s="130">
        <f>Table_1[[#This Row],[D1]]/(Table_1[[#This Row],[RISCO]]-Table_1[[#This Row],[MÉDIA DE CRESCIMENTO]])</f>
        <v/>
      </c>
      <c r="AD643" s="130">
        <f>Table_1[[#This Row],[PREÇO JUSTO GORDON]]/(1+Table_1[[#This Row],[MARGEM DE DESCONTO]])</f>
        <v/>
      </c>
      <c r="AE643" s="78">
        <f>Table_1[[#This Row],[P/L]]/Table_1[[#This Row],[MÉDIA DE CRESCIMENTO]]</f>
        <v/>
      </c>
    </row>
    <row r="644" ht="15.75" customHeight="1">
      <c r="B644" s="77">
        <f>'Dados Status Invest'!A630</f>
        <v/>
      </c>
      <c r="C644" s="60">
        <f>VLOOKUP(Table_1[[#This Row],[AÇÕES]],'Classificação B3'!A:B,2,0)</f>
        <v/>
      </c>
      <c r="D644" s="60">
        <f>VLOOKUP(Table_1[[#This Row],[AÇÕES]],'Classificação B3'!A:D,4,0)</f>
        <v/>
      </c>
      <c r="E644" s="60">
        <f>VLOOKUP(Table_1[[#This Row],[AÇÕES]],'Classificação B3'!A:F,6,0)</f>
        <v/>
      </c>
      <c r="F644" s="60">
        <f>VLOOKUP(Table_1[[#This Row],[AÇÕES]],'Classificação B3'!A:G,7,0)</f>
        <v/>
      </c>
      <c r="G644" s="61">
        <f>VLOOKUP(Table_1[[#This Row],[AÇÕES]],'Dados Status Invest'!A:B,2,0)</f>
        <v/>
      </c>
      <c r="H644" s="62">
        <f>VLOOKUP(Table_1[[#This Row],[AÇÕES]],'Dados Status Invest'!A:C,3,0)/100</f>
        <v/>
      </c>
      <c r="I644" s="62">
        <f>VLOOKUP(Table_1[[#This Row],[AÇÕES]],'Dados Status Invest'!A:D,4,0)/100</f>
        <v/>
      </c>
      <c r="J644" s="63">
        <f>VLOOKUP(Table_1[[#This Row],[AÇÕES]],'Dados Status Invest'!A:AB,28,0)</f>
        <v/>
      </c>
      <c r="K644" s="63">
        <f>VLOOKUP(Table_1[[#This Row],[AÇÕES]],'Dados Status Invest'!A:AA,27,0)</f>
        <v/>
      </c>
      <c r="L644" s="63">
        <f>Table_1[[#This Row],[PREÇO]]*Table_1[[#This Row],[DY]]</f>
        <v/>
      </c>
      <c r="M644" s="67">
        <f>$E$13</f>
        <v/>
      </c>
      <c r="N644" s="62" t="n">
        <v>0.3</v>
      </c>
      <c r="O644" s="62">
        <f>Table_1[[#This Row],[DPA]]/Table_1[[#This Row],[LPA]]</f>
        <v/>
      </c>
      <c r="P644" s="62">
        <f>IF(Table_1[[#This Row],[PAYOUT]]&lt;=40%,"CRESCIMENTO",IF(Table_1[[#This Row],[PAYOUT]]&lt;=60%,"INDEFINIDO","DIVIDENDOS"))</f>
        <v/>
      </c>
      <c r="Q644" s="62">
        <f>VLOOKUP(Table_1[[#This Row],[AÇÕES]],'Dados Status Invest'!A:R,18,0)/100</f>
        <v/>
      </c>
      <c r="R644" s="62">
        <f>VLOOKUP(Table_1[[#This Row],[AÇÕES]],'Dados Status Invest'!A:Y,25,0)/100</f>
        <v/>
      </c>
      <c r="S644" s="62">
        <f>(1-Table_1[[#This Row],[PAYOUT]])*Table_1[[#This Row],[ROE]]</f>
        <v/>
      </c>
      <c r="T644" s="98">
        <f>AVERAGE(Table_1[[#This Row],[CAGR LUCRO 5A]],Table_1[[#This Row],[CRESCIMENTO DAMODARAN]])</f>
        <v/>
      </c>
      <c r="U644" s="64">
        <f>(Table_1[[#This Row],[PREÇO JUSTO BAZIN]]-Table_1[[#This Row],[PREÇO]])/Table_1[[#This Row],[PREÇO JUSTO BAZIN]]</f>
        <v/>
      </c>
      <c r="V644" s="129">
        <f>Table_1[[#This Row],[DPA]]/6%</f>
        <v/>
      </c>
      <c r="W644" s="129">
        <f>Table_1[[#This Row],[PREÇO JUSTO BAZIN]]/(1+Table_1[[#This Row],[MARGEM DE DESCONTO]])</f>
        <v/>
      </c>
      <c r="X644" s="64">
        <f>(Table_1[[#This Row],[PREÇO JUSTO GRAHAM]]-Table_1[[#This Row],[PREÇO]])/Table_1[[#This Row],[PREÇO JUSTO GRAHAM]]</f>
        <v/>
      </c>
      <c r="Y644" s="129">
        <f>(22.5*Table_1[[#This Row],[LPA]]*Table_1[[#This Row],[VPA]])^0.5</f>
        <v/>
      </c>
      <c r="Z644" s="129">
        <f>Table_1[[#This Row],[PREÇO JUSTO GRAHAM]]/(1+Table_1[[#This Row],[MARGEM DE DESCONTO]])</f>
        <v/>
      </c>
      <c r="AA644" s="64">
        <f>(Table_1[[#This Row],[PREÇO JUSTO GORDON]]-Table_1[[#This Row],[PREÇO]])/Table_1[[#This Row],[PREÇO JUSTO GORDON]]</f>
        <v/>
      </c>
      <c r="AB644" s="130">
        <f>Table_1[[#This Row],[DPA]]*(1+Table_1[[#This Row],[MÉDIA DE CRESCIMENTO]])</f>
        <v/>
      </c>
      <c r="AC644" s="130">
        <f>Table_1[[#This Row],[D1]]/(Table_1[[#This Row],[RISCO]]-Table_1[[#This Row],[MÉDIA DE CRESCIMENTO]])</f>
        <v/>
      </c>
      <c r="AD644" s="130">
        <f>Table_1[[#This Row],[PREÇO JUSTO GORDON]]/(1+Table_1[[#This Row],[MARGEM DE DESCONTO]])</f>
        <v/>
      </c>
      <c r="AE644" s="78">
        <f>Table_1[[#This Row],[P/L]]/Table_1[[#This Row],[MÉDIA DE CRESCIMENTO]]</f>
        <v/>
      </c>
    </row>
    <row r="645" ht="15.75" customHeight="1">
      <c r="B645" s="77">
        <f>'Dados Status Invest'!A631</f>
        <v/>
      </c>
      <c r="C645" s="60">
        <f>VLOOKUP(Table_1[[#This Row],[AÇÕES]],'Classificação B3'!A:B,2,0)</f>
        <v/>
      </c>
      <c r="D645" s="60">
        <f>VLOOKUP(Table_1[[#This Row],[AÇÕES]],'Classificação B3'!A:D,4,0)</f>
        <v/>
      </c>
      <c r="E645" s="60">
        <f>VLOOKUP(Table_1[[#This Row],[AÇÕES]],'Classificação B3'!A:F,6,0)</f>
        <v/>
      </c>
      <c r="F645" s="60">
        <f>VLOOKUP(Table_1[[#This Row],[AÇÕES]],'Classificação B3'!A:G,7,0)</f>
        <v/>
      </c>
      <c r="G645" s="61">
        <f>VLOOKUP(Table_1[[#This Row],[AÇÕES]],'Dados Status Invest'!A:B,2,0)</f>
        <v/>
      </c>
      <c r="H645" s="62">
        <f>VLOOKUP(Table_1[[#This Row],[AÇÕES]],'Dados Status Invest'!A:C,3,0)/100</f>
        <v/>
      </c>
      <c r="I645" s="62">
        <f>VLOOKUP(Table_1[[#This Row],[AÇÕES]],'Dados Status Invest'!A:D,4,0)/100</f>
        <v/>
      </c>
      <c r="J645" s="63">
        <f>VLOOKUP(Table_1[[#This Row],[AÇÕES]],'Dados Status Invest'!A:AB,28,0)</f>
        <v/>
      </c>
      <c r="K645" s="63">
        <f>VLOOKUP(Table_1[[#This Row],[AÇÕES]],'Dados Status Invest'!A:AA,27,0)</f>
        <v/>
      </c>
      <c r="L645" s="63">
        <f>Table_1[[#This Row],[PREÇO]]*Table_1[[#This Row],[DY]]</f>
        <v/>
      </c>
      <c r="M645" s="67">
        <f>$E$13</f>
        <v/>
      </c>
      <c r="N645" s="62" t="n">
        <v>0.3</v>
      </c>
      <c r="O645" s="62">
        <f>Table_1[[#This Row],[DPA]]/Table_1[[#This Row],[LPA]]</f>
        <v/>
      </c>
      <c r="P645" s="62">
        <f>IF(Table_1[[#This Row],[PAYOUT]]&lt;=40%,"CRESCIMENTO",IF(Table_1[[#This Row],[PAYOUT]]&lt;=60%,"INDEFINIDO","DIVIDENDOS"))</f>
        <v/>
      </c>
      <c r="Q645" s="62">
        <f>VLOOKUP(Table_1[[#This Row],[AÇÕES]],'Dados Status Invest'!A:R,18,0)/100</f>
        <v/>
      </c>
      <c r="R645" s="62">
        <f>VLOOKUP(Table_1[[#This Row],[AÇÕES]],'Dados Status Invest'!A:Y,25,0)/100</f>
        <v/>
      </c>
      <c r="S645" s="62">
        <f>(1-Table_1[[#This Row],[PAYOUT]])*Table_1[[#This Row],[ROE]]</f>
        <v/>
      </c>
      <c r="T645" s="98">
        <f>AVERAGE(Table_1[[#This Row],[CAGR LUCRO 5A]],Table_1[[#This Row],[CRESCIMENTO DAMODARAN]])</f>
        <v/>
      </c>
      <c r="U645" s="64">
        <f>(Table_1[[#This Row],[PREÇO JUSTO BAZIN]]-Table_1[[#This Row],[PREÇO]])/Table_1[[#This Row],[PREÇO JUSTO BAZIN]]</f>
        <v/>
      </c>
      <c r="V645" s="129">
        <f>Table_1[[#This Row],[DPA]]/6%</f>
        <v/>
      </c>
      <c r="W645" s="129">
        <f>Table_1[[#This Row],[PREÇO JUSTO BAZIN]]/(1+Table_1[[#This Row],[MARGEM DE DESCONTO]])</f>
        <v/>
      </c>
      <c r="X645" s="64">
        <f>(Table_1[[#This Row],[PREÇO JUSTO GRAHAM]]-Table_1[[#This Row],[PREÇO]])/Table_1[[#This Row],[PREÇO JUSTO GRAHAM]]</f>
        <v/>
      </c>
      <c r="Y645" s="129">
        <f>(22.5*Table_1[[#This Row],[LPA]]*Table_1[[#This Row],[VPA]])^0.5</f>
        <v/>
      </c>
      <c r="Z645" s="129">
        <f>Table_1[[#This Row],[PREÇO JUSTO GRAHAM]]/(1+Table_1[[#This Row],[MARGEM DE DESCONTO]])</f>
        <v/>
      </c>
      <c r="AA645" s="64">
        <f>(Table_1[[#This Row],[PREÇO JUSTO GORDON]]-Table_1[[#This Row],[PREÇO]])/Table_1[[#This Row],[PREÇO JUSTO GORDON]]</f>
        <v/>
      </c>
      <c r="AB645" s="130">
        <f>Table_1[[#This Row],[DPA]]*(1+Table_1[[#This Row],[MÉDIA DE CRESCIMENTO]])</f>
        <v/>
      </c>
      <c r="AC645" s="130">
        <f>Table_1[[#This Row],[D1]]/(Table_1[[#This Row],[RISCO]]-Table_1[[#This Row],[MÉDIA DE CRESCIMENTO]])</f>
        <v/>
      </c>
      <c r="AD645" s="130">
        <f>Table_1[[#This Row],[PREÇO JUSTO GORDON]]/(1+Table_1[[#This Row],[MARGEM DE DESCONTO]])</f>
        <v/>
      </c>
      <c r="AE645" s="78">
        <f>Table_1[[#This Row],[P/L]]/Table_1[[#This Row],[MÉDIA DE CRESCIMENTO]]</f>
        <v/>
      </c>
    </row>
    <row r="646" ht="15.75" customHeight="1">
      <c r="B646" s="77">
        <f>'Dados Status Invest'!A632</f>
        <v/>
      </c>
      <c r="C646" s="60">
        <f>VLOOKUP(Table_1[[#This Row],[AÇÕES]],'Classificação B3'!A:B,2,0)</f>
        <v/>
      </c>
      <c r="D646" s="60">
        <f>VLOOKUP(Table_1[[#This Row],[AÇÕES]],'Classificação B3'!A:D,4,0)</f>
        <v/>
      </c>
      <c r="E646" s="60">
        <f>VLOOKUP(Table_1[[#This Row],[AÇÕES]],'Classificação B3'!A:F,6,0)</f>
        <v/>
      </c>
      <c r="F646" s="60">
        <f>VLOOKUP(Table_1[[#This Row],[AÇÕES]],'Classificação B3'!A:G,7,0)</f>
        <v/>
      </c>
      <c r="G646" s="61">
        <f>VLOOKUP(Table_1[[#This Row],[AÇÕES]],'Dados Status Invest'!A:B,2,0)</f>
        <v/>
      </c>
      <c r="H646" s="62">
        <f>VLOOKUP(Table_1[[#This Row],[AÇÕES]],'Dados Status Invest'!A:C,3,0)/100</f>
        <v/>
      </c>
      <c r="I646" s="62">
        <f>VLOOKUP(Table_1[[#This Row],[AÇÕES]],'Dados Status Invest'!A:D,4,0)/100</f>
        <v/>
      </c>
      <c r="J646" s="63">
        <f>VLOOKUP(Table_1[[#This Row],[AÇÕES]],'Dados Status Invest'!A:AB,28,0)</f>
        <v/>
      </c>
      <c r="K646" s="63">
        <f>VLOOKUP(Table_1[[#This Row],[AÇÕES]],'Dados Status Invest'!A:AA,27,0)</f>
        <v/>
      </c>
      <c r="L646" s="63">
        <f>Table_1[[#This Row],[PREÇO]]*Table_1[[#This Row],[DY]]</f>
        <v/>
      </c>
      <c r="M646" s="67">
        <f>$E$13</f>
        <v/>
      </c>
      <c r="N646" s="62" t="n">
        <v>0.3</v>
      </c>
      <c r="O646" s="62">
        <f>Table_1[[#This Row],[DPA]]/Table_1[[#This Row],[LPA]]</f>
        <v/>
      </c>
      <c r="P646" s="62">
        <f>IF(Table_1[[#This Row],[PAYOUT]]&lt;=40%,"CRESCIMENTO",IF(Table_1[[#This Row],[PAYOUT]]&lt;=60%,"INDEFINIDO","DIVIDENDOS"))</f>
        <v/>
      </c>
      <c r="Q646" s="62">
        <f>VLOOKUP(Table_1[[#This Row],[AÇÕES]],'Dados Status Invest'!A:R,18,0)/100</f>
        <v/>
      </c>
      <c r="R646" s="62">
        <f>VLOOKUP(Table_1[[#This Row],[AÇÕES]],'Dados Status Invest'!A:Y,25,0)/100</f>
        <v/>
      </c>
      <c r="S646" s="62">
        <f>(1-Table_1[[#This Row],[PAYOUT]])*Table_1[[#This Row],[ROE]]</f>
        <v/>
      </c>
      <c r="T646" s="98">
        <f>AVERAGE(Table_1[[#This Row],[CAGR LUCRO 5A]],Table_1[[#This Row],[CRESCIMENTO DAMODARAN]])</f>
        <v/>
      </c>
      <c r="U646" s="64">
        <f>(Table_1[[#This Row],[PREÇO JUSTO BAZIN]]-Table_1[[#This Row],[PREÇO]])/Table_1[[#This Row],[PREÇO JUSTO BAZIN]]</f>
        <v/>
      </c>
      <c r="V646" s="129">
        <f>Table_1[[#This Row],[DPA]]/6%</f>
        <v/>
      </c>
      <c r="W646" s="129">
        <f>Table_1[[#This Row],[PREÇO JUSTO BAZIN]]/(1+Table_1[[#This Row],[MARGEM DE DESCONTO]])</f>
        <v/>
      </c>
      <c r="X646" s="64">
        <f>(Table_1[[#This Row],[PREÇO JUSTO GRAHAM]]-Table_1[[#This Row],[PREÇO]])/Table_1[[#This Row],[PREÇO JUSTO GRAHAM]]</f>
        <v/>
      </c>
      <c r="Y646" s="129">
        <f>(22.5*Table_1[[#This Row],[LPA]]*Table_1[[#This Row],[VPA]])^0.5</f>
        <v/>
      </c>
      <c r="Z646" s="129">
        <f>Table_1[[#This Row],[PREÇO JUSTO GRAHAM]]/(1+Table_1[[#This Row],[MARGEM DE DESCONTO]])</f>
        <v/>
      </c>
      <c r="AA646" s="64">
        <f>(Table_1[[#This Row],[PREÇO JUSTO GORDON]]-Table_1[[#This Row],[PREÇO]])/Table_1[[#This Row],[PREÇO JUSTO GORDON]]</f>
        <v/>
      </c>
      <c r="AB646" s="130">
        <f>Table_1[[#This Row],[DPA]]*(1+Table_1[[#This Row],[MÉDIA DE CRESCIMENTO]])</f>
        <v/>
      </c>
      <c r="AC646" s="130">
        <f>Table_1[[#This Row],[D1]]/(Table_1[[#This Row],[RISCO]]-Table_1[[#This Row],[MÉDIA DE CRESCIMENTO]])</f>
        <v/>
      </c>
      <c r="AD646" s="130">
        <f>Table_1[[#This Row],[PREÇO JUSTO GORDON]]/(1+Table_1[[#This Row],[MARGEM DE DESCONTO]])</f>
        <v/>
      </c>
      <c r="AE646" s="78">
        <f>Table_1[[#This Row],[P/L]]/Table_1[[#This Row],[MÉDIA DE CRESCIMENTO]]</f>
        <v/>
      </c>
    </row>
    <row r="647" ht="15.75" customHeight="1">
      <c r="B647" s="77">
        <f>'Dados Status Invest'!A633</f>
        <v/>
      </c>
      <c r="C647" s="60">
        <f>VLOOKUP(Table_1[[#This Row],[AÇÕES]],'Classificação B3'!A:B,2,0)</f>
        <v/>
      </c>
      <c r="D647" s="60">
        <f>VLOOKUP(Table_1[[#This Row],[AÇÕES]],'Classificação B3'!A:D,4,0)</f>
        <v/>
      </c>
      <c r="E647" s="60">
        <f>VLOOKUP(Table_1[[#This Row],[AÇÕES]],'Classificação B3'!A:F,6,0)</f>
        <v/>
      </c>
      <c r="F647" s="60">
        <f>VLOOKUP(Table_1[[#This Row],[AÇÕES]],'Classificação B3'!A:G,7,0)</f>
        <v/>
      </c>
      <c r="G647" s="61">
        <f>VLOOKUP(Table_1[[#This Row],[AÇÕES]],'Dados Status Invest'!A:B,2,0)</f>
        <v/>
      </c>
      <c r="H647" s="62">
        <f>VLOOKUP(Table_1[[#This Row],[AÇÕES]],'Dados Status Invest'!A:C,3,0)/100</f>
        <v/>
      </c>
      <c r="I647" s="62">
        <f>VLOOKUP(Table_1[[#This Row],[AÇÕES]],'Dados Status Invest'!A:D,4,0)/100</f>
        <v/>
      </c>
      <c r="J647" s="63">
        <f>VLOOKUP(Table_1[[#This Row],[AÇÕES]],'Dados Status Invest'!A:AB,28,0)</f>
        <v/>
      </c>
      <c r="K647" s="63">
        <f>VLOOKUP(Table_1[[#This Row],[AÇÕES]],'Dados Status Invest'!A:AA,27,0)</f>
        <v/>
      </c>
      <c r="L647" s="63">
        <f>Table_1[[#This Row],[PREÇO]]*Table_1[[#This Row],[DY]]</f>
        <v/>
      </c>
      <c r="M647" s="67">
        <f>$E$13</f>
        <v/>
      </c>
      <c r="N647" s="62" t="n">
        <v>0.3</v>
      </c>
      <c r="O647" s="62">
        <f>Table_1[[#This Row],[DPA]]/Table_1[[#This Row],[LPA]]</f>
        <v/>
      </c>
      <c r="P647" s="62">
        <f>IF(Table_1[[#This Row],[PAYOUT]]&lt;=40%,"CRESCIMENTO",IF(Table_1[[#This Row],[PAYOUT]]&lt;=60%,"INDEFINIDO","DIVIDENDOS"))</f>
        <v/>
      </c>
      <c r="Q647" s="62">
        <f>VLOOKUP(Table_1[[#This Row],[AÇÕES]],'Dados Status Invest'!A:R,18,0)/100</f>
        <v/>
      </c>
      <c r="R647" s="62">
        <f>VLOOKUP(Table_1[[#This Row],[AÇÕES]],'Dados Status Invest'!A:Y,25,0)/100</f>
        <v/>
      </c>
      <c r="S647" s="62">
        <f>(1-Table_1[[#This Row],[PAYOUT]])*Table_1[[#This Row],[ROE]]</f>
        <v/>
      </c>
      <c r="T647" s="98">
        <f>AVERAGE(Table_1[[#This Row],[CAGR LUCRO 5A]],Table_1[[#This Row],[CRESCIMENTO DAMODARAN]])</f>
        <v/>
      </c>
      <c r="U647" s="64">
        <f>(Table_1[[#This Row],[PREÇO JUSTO BAZIN]]-Table_1[[#This Row],[PREÇO]])/Table_1[[#This Row],[PREÇO JUSTO BAZIN]]</f>
        <v/>
      </c>
      <c r="V647" s="129">
        <f>Table_1[[#This Row],[DPA]]/6%</f>
        <v/>
      </c>
      <c r="W647" s="129">
        <f>Table_1[[#This Row],[PREÇO JUSTO BAZIN]]/(1+Table_1[[#This Row],[MARGEM DE DESCONTO]])</f>
        <v/>
      </c>
      <c r="X647" s="64">
        <f>(Table_1[[#This Row],[PREÇO JUSTO GRAHAM]]-Table_1[[#This Row],[PREÇO]])/Table_1[[#This Row],[PREÇO JUSTO GRAHAM]]</f>
        <v/>
      </c>
      <c r="Y647" s="129">
        <f>(22.5*Table_1[[#This Row],[LPA]]*Table_1[[#This Row],[VPA]])^0.5</f>
        <v/>
      </c>
      <c r="Z647" s="129">
        <f>Table_1[[#This Row],[PREÇO JUSTO GRAHAM]]/(1+Table_1[[#This Row],[MARGEM DE DESCONTO]])</f>
        <v/>
      </c>
      <c r="AA647" s="64">
        <f>(Table_1[[#This Row],[PREÇO JUSTO GORDON]]-Table_1[[#This Row],[PREÇO]])/Table_1[[#This Row],[PREÇO JUSTO GORDON]]</f>
        <v/>
      </c>
      <c r="AB647" s="130">
        <f>Table_1[[#This Row],[DPA]]*(1+Table_1[[#This Row],[MÉDIA DE CRESCIMENTO]])</f>
        <v/>
      </c>
      <c r="AC647" s="130">
        <f>Table_1[[#This Row],[D1]]/(Table_1[[#This Row],[RISCO]]-Table_1[[#This Row],[MÉDIA DE CRESCIMENTO]])</f>
        <v/>
      </c>
      <c r="AD647" s="130">
        <f>Table_1[[#This Row],[PREÇO JUSTO GORDON]]/(1+Table_1[[#This Row],[MARGEM DE DESCONTO]])</f>
        <v/>
      </c>
      <c r="AE647" s="78">
        <f>Table_1[[#This Row],[P/L]]/Table_1[[#This Row],[MÉDIA DE CRESCIMENTO]]</f>
        <v/>
      </c>
    </row>
    <row r="648" ht="15.75" customHeight="1">
      <c r="B648" s="77">
        <f>'Dados Status Invest'!A634</f>
        <v/>
      </c>
      <c r="C648" s="60">
        <f>VLOOKUP(Table_1[[#This Row],[AÇÕES]],'Classificação B3'!A:B,2,0)</f>
        <v/>
      </c>
      <c r="D648" s="60">
        <f>VLOOKUP(Table_1[[#This Row],[AÇÕES]],'Classificação B3'!A:D,4,0)</f>
        <v/>
      </c>
      <c r="E648" s="60">
        <f>VLOOKUP(Table_1[[#This Row],[AÇÕES]],'Classificação B3'!A:F,6,0)</f>
        <v/>
      </c>
      <c r="F648" s="60">
        <f>VLOOKUP(Table_1[[#This Row],[AÇÕES]],'Classificação B3'!A:G,7,0)</f>
        <v/>
      </c>
      <c r="G648" s="61">
        <f>VLOOKUP(Table_1[[#This Row],[AÇÕES]],'Dados Status Invest'!A:B,2,0)</f>
        <v/>
      </c>
      <c r="H648" s="62">
        <f>VLOOKUP(Table_1[[#This Row],[AÇÕES]],'Dados Status Invest'!A:C,3,0)/100</f>
        <v/>
      </c>
      <c r="I648" s="62">
        <f>VLOOKUP(Table_1[[#This Row],[AÇÕES]],'Dados Status Invest'!A:D,4,0)/100</f>
        <v/>
      </c>
      <c r="J648" s="63">
        <f>VLOOKUP(Table_1[[#This Row],[AÇÕES]],'Dados Status Invest'!A:AB,28,0)</f>
        <v/>
      </c>
      <c r="K648" s="63">
        <f>VLOOKUP(Table_1[[#This Row],[AÇÕES]],'Dados Status Invest'!A:AA,27,0)</f>
        <v/>
      </c>
      <c r="L648" s="63">
        <f>Table_1[[#This Row],[PREÇO]]*Table_1[[#This Row],[DY]]</f>
        <v/>
      </c>
      <c r="M648" s="67">
        <f>$E$13</f>
        <v/>
      </c>
      <c r="N648" s="62" t="n">
        <v>0.3</v>
      </c>
      <c r="O648" s="62">
        <f>Table_1[[#This Row],[DPA]]/Table_1[[#This Row],[LPA]]</f>
        <v/>
      </c>
      <c r="P648" s="62">
        <f>IF(Table_1[[#This Row],[PAYOUT]]&lt;=40%,"CRESCIMENTO",IF(Table_1[[#This Row],[PAYOUT]]&lt;=60%,"INDEFINIDO","DIVIDENDOS"))</f>
        <v/>
      </c>
      <c r="Q648" s="62">
        <f>VLOOKUP(Table_1[[#This Row],[AÇÕES]],'Dados Status Invest'!A:R,18,0)/100</f>
        <v/>
      </c>
      <c r="R648" s="62">
        <f>VLOOKUP(Table_1[[#This Row],[AÇÕES]],'Dados Status Invest'!A:Y,25,0)/100</f>
        <v/>
      </c>
      <c r="S648" s="62">
        <f>(1-Table_1[[#This Row],[PAYOUT]])*Table_1[[#This Row],[ROE]]</f>
        <v/>
      </c>
      <c r="T648" s="98">
        <f>AVERAGE(Table_1[[#This Row],[CAGR LUCRO 5A]],Table_1[[#This Row],[CRESCIMENTO DAMODARAN]])</f>
        <v/>
      </c>
      <c r="U648" s="64">
        <f>(Table_1[[#This Row],[PREÇO JUSTO BAZIN]]-Table_1[[#This Row],[PREÇO]])/Table_1[[#This Row],[PREÇO JUSTO BAZIN]]</f>
        <v/>
      </c>
      <c r="V648" s="129">
        <f>Table_1[[#This Row],[DPA]]/6%</f>
        <v/>
      </c>
      <c r="W648" s="129">
        <f>Table_1[[#This Row],[PREÇO JUSTO BAZIN]]/(1+Table_1[[#This Row],[MARGEM DE DESCONTO]])</f>
        <v/>
      </c>
      <c r="X648" s="64">
        <f>(Table_1[[#This Row],[PREÇO JUSTO GRAHAM]]-Table_1[[#This Row],[PREÇO]])/Table_1[[#This Row],[PREÇO JUSTO GRAHAM]]</f>
        <v/>
      </c>
      <c r="Y648" s="129">
        <f>(22.5*Table_1[[#This Row],[LPA]]*Table_1[[#This Row],[VPA]])^0.5</f>
        <v/>
      </c>
      <c r="Z648" s="129">
        <f>Table_1[[#This Row],[PREÇO JUSTO GRAHAM]]/(1+Table_1[[#This Row],[MARGEM DE DESCONTO]])</f>
        <v/>
      </c>
      <c r="AA648" s="64">
        <f>(Table_1[[#This Row],[PREÇO JUSTO GORDON]]-Table_1[[#This Row],[PREÇO]])/Table_1[[#This Row],[PREÇO JUSTO GORDON]]</f>
        <v/>
      </c>
      <c r="AB648" s="130">
        <f>Table_1[[#This Row],[DPA]]*(1+Table_1[[#This Row],[MÉDIA DE CRESCIMENTO]])</f>
        <v/>
      </c>
      <c r="AC648" s="130">
        <f>Table_1[[#This Row],[D1]]/(Table_1[[#This Row],[RISCO]]-Table_1[[#This Row],[MÉDIA DE CRESCIMENTO]])</f>
        <v/>
      </c>
      <c r="AD648" s="130">
        <f>Table_1[[#This Row],[PREÇO JUSTO GORDON]]/(1+Table_1[[#This Row],[MARGEM DE DESCONTO]])</f>
        <v/>
      </c>
      <c r="AE648" s="78">
        <f>Table_1[[#This Row],[P/L]]/Table_1[[#This Row],[MÉDIA DE CRESCIMENTO]]</f>
        <v/>
      </c>
    </row>
    <row r="649" ht="15.75" customHeight="1">
      <c r="B649" s="77">
        <f>'Dados Status Invest'!A635</f>
        <v/>
      </c>
      <c r="C649" s="60">
        <f>VLOOKUP(Table_1[[#This Row],[AÇÕES]],'Classificação B3'!A:B,2,0)</f>
        <v/>
      </c>
      <c r="D649" s="60">
        <f>VLOOKUP(Table_1[[#This Row],[AÇÕES]],'Classificação B3'!A:D,4,0)</f>
        <v/>
      </c>
      <c r="E649" s="60">
        <f>VLOOKUP(Table_1[[#This Row],[AÇÕES]],'Classificação B3'!A:F,6,0)</f>
        <v/>
      </c>
      <c r="F649" s="60">
        <f>VLOOKUP(Table_1[[#This Row],[AÇÕES]],'Classificação B3'!A:G,7,0)</f>
        <v/>
      </c>
      <c r="G649" s="61">
        <f>VLOOKUP(Table_1[[#This Row],[AÇÕES]],'Dados Status Invest'!A:B,2,0)</f>
        <v/>
      </c>
      <c r="H649" s="62">
        <f>VLOOKUP(Table_1[[#This Row],[AÇÕES]],'Dados Status Invest'!A:C,3,0)/100</f>
        <v/>
      </c>
      <c r="I649" s="62">
        <f>VLOOKUP(Table_1[[#This Row],[AÇÕES]],'Dados Status Invest'!A:D,4,0)/100</f>
        <v/>
      </c>
      <c r="J649" s="63">
        <f>VLOOKUP(Table_1[[#This Row],[AÇÕES]],'Dados Status Invest'!A:AB,28,0)</f>
        <v/>
      </c>
      <c r="K649" s="63">
        <f>VLOOKUP(Table_1[[#This Row],[AÇÕES]],'Dados Status Invest'!A:AA,27,0)</f>
        <v/>
      </c>
      <c r="L649" s="63">
        <f>Table_1[[#This Row],[PREÇO]]*Table_1[[#This Row],[DY]]</f>
        <v/>
      </c>
      <c r="M649" s="67">
        <f>$E$13</f>
        <v/>
      </c>
      <c r="N649" s="62" t="n">
        <v>0.3</v>
      </c>
      <c r="O649" s="62">
        <f>Table_1[[#This Row],[DPA]]/Table_1[[#This Row],[LPA]]</f>
        <v/>
      </c>
      <c r="P649" s="62">
        <f>IF(Table_1[[#This Row],[PAYOUT]]&lt;=40%,"CRESCIMENTO",IF(Table_1[[#This Row],[PAYOUT]]&lt;=60%,"INDEFINIDO","DIVIDENDOS"))</f>
        <v/>
      </c>
      <c r="Q649" s="62">
        <f>VLOOKUP(Table_1[[#This Row],[AÇÕES]],'Dados Status Invest'!A:R,18,0)/100</f>
        <v/>
      </c>
      <c r="R649" s="62">
        <f>VLOOKUP(Table_1[[#This Row],[AÇÕES]],'Dados Status Invest'!A:Y,25,0)/100</f>
        <v/>
      </c>
      <c r="S649" s="62">
        <f>(1-Table_1[[#This Row],[PAYOUT]])*Table_1[[#This Row],[ROE]]</f>
        <v/>
      </c>
      <c r="T649" s="98">
        <f>AVERAGE(Table_1[[#This Row],[CAGR LUCRO 5A]],Table_1[[#This Row],[CRESCIMENTO DAMODARAN]])</f>
        <v/>
      </c>
      <c r="U649" s="64">
        <f>(Table_1[[#This Row],[PREÇO JUSTO BAZIN]]-Table_1[[#This Row],[PREÇO]])/Table_1[[#This Row],[PREÇO JUSTO BAZIN]]</f>
        <v/>
      </c>
      <c r="V649" s="129">
        <f>Table_1[[#This Row],[DPA]]/6%</f>
        <v/>
      </c>
      <c r="W649" s="129">
        <f>Table_1[[#This Row],[PREÇO JUSTO BAZIN]]/(1+Table_1[[#This Row],[MARGEM DE DESCONTO]])</f>
        <v/>
      </c>
      <c r="X649" s="64">
        <f>(Table_1[[#This Row],[PREÇO JUSTO GRAHAM]]-Table_1[[#This Row],[PREÇO]])/Table_1[[#This Row],[PREÇO JUSTO GRAHAM]]</f>
        <v/>
      </c>
      <c r="Y649" s="129">
        <f>(22.5*Table_1[[#This Row],[LPA]]*Table_1[[#This Row],[VPA]])^0.5</f>
        <v/>
      </c>
      <c r="Z649" s="129">
        <f>Table_1[[#This Row],[PREÇO JUSTO GRAHAM]]/(1+Table_1[[#This Row],[MARGEM DE DESCONTO]])</f>
        <v/>
      </c>
      <c r="AA649" s="64">
        <f>(Table_1[[#This Row],[PREÇO JUSTO GORDON]]-Table_1[[#This Row],[PREÇO]])/Table_1[[#This Row],[PREÇO JUSTO GORDON]]</f>
        <v/>
      </c>
      <c r="AB649" s="130">
        <f>Table_1[[#This Row],[DPA]]*(1+Table_1[[#This Row],[MÉDIA DE CRESCIMENTO]])</f>
        <v/>
      </c>
      <c r="AC649" s="130">
        <f>Table_1[[#This Row],[D1]]/(Table_1[[#This Row],[RISCO]]-Table_1[[#This Row],[MÉDIA DE CRESCIMENTO]])</f>
        <v/>
      </c>
      <c r="AD649" s="130">
        <f>Table_1[[#This Row],[PREÇO JUSTO GORDON]]/(1+Table_1[[#This Row],[MARGEM DE DESCONTO]])</f>
        <v/>
      </c>
      <c r="AE649" s="78">
        <f>Table_1[[#This Row],[P/L]]/Table_1[[#This Row],[MÉDIA DE CRESCIMENTO]]</f>
        <v/>
      </c>
    </row>
    <row r="650" ht="15.75" customHeight="1">
      <c r="B650" s="77">
        <f>'Dados Status Invest'!A636</f>
        <v/>
      </c>
      <c r="C650" s="60">
        <f>VLOOKUP(Table_1[[#This Row],[AÇÕES]],'Classificação B3'!A:B,2,0)</f>
        <v/>
      </c>
      <c r="D650" s="60">
        <f>VLOOKUP(Table_1[[#This Row],[AÇÕES]],'Classificação B3'!A:D,4,0)</f>
        <v/>
      </c>
      <c r="E650" s="60">
        <f>VLOOKUP(Table_1[[#This Row],[AÇÕES]],'Classificação B3'!A:F,6,0)</f>
        <v/>
      </c>
      <c r="F650" s="60">
        <f>VLOOKUP(Table_1[[#This Row],[AÇÕES]],'Classificação B3'!A:G,7,0)</f>
        <v/>
      </c>
      <c r="G650" s="61">
        <f>VLOOKUP(Table_1[[#This Row],[AÇÕES]],'Dados Status Invest'!A:B,2,0)</f>
        <v/>
      </c>
      <c r="H650" s="62">
        <f>VLOOKUP(Table_1[[#This Row],[AÇÕES]],'Dados Status Invest'!A:C,3,0)/100</f>
        <v/>
      </c>
      <c r="I650" s="62">
        <f>VLOOKUP(Table_1[[#This Row],[AÇÕES]],'Dados Status Invest'!A:D,4,0)/100</f>
        <v/>
      </c>
      <c r="J650" s="63">
        <f>VLOOKUP(Table_1[[#This Row],[AÇÕES]],'Dados Status Invest'!A:AB,28,0)</f>
        <v/>
      </c>
      <c r="K650" s="63">
        <f>VLOOKUP(Table_1[[#This Row],[AÇÕES]],'Dados Status Invest'!A:AA,27,0)</f>
        <v/>
      </c>
      <c r="L650" s="63">
        <f>Table_1[[#This Row],[PREÇO]]*Table_1[[#This Row],[DY]]</f>
        <v/>
      </c>
      <c r="M650" s="67">
        <f>$E$13</f>
        <v/>
      </c>
      <c r="N650" s="62" t="n">
        <v>0.3</v>
      </c>
      <c r="O650" s="62">
        <f>Table_1[[#This Row],[DPA]]/Table_1[[#This Row],[LPA]]</f>
        <v/>
      </c>
      <c r="P650" s="62">
        <f>IF(Table_1[[#This Row],[PAYOUT]]&lt;=40%,"CRESCIMENTO",IF(Table_1[[#This Row],[PAYOUT]]&lt;=60%,"INDEFINIDO","DIVIDENDOS"))</f>
        <v/>
      </c>
      <c r="Q650" s="62">
        <f>VLOOKUP(Table_1[[#This Row],[AÇÕES]],'Dados Status Invest'!A:R,18,0)/100</f>
        <v/>
      </c>
      <c r="R650" s="62">
        <f>VLOOKUP(Table_1[[#This Row],[AÇÕES]],'Dados Status Invest'!A:Y,25,0)/100</f>
        <v/>
      </c>
      <c r="S650" s="62">
        <f>(1-Table_1[[#This Row],[PAYOUT]])*Table_1[[#This Row],[ROE]]</f>
        <v/>
      </c>
      <c r="T650" s="98">
        <f>AVERAGE(Table_1[[#This Row],[CAGR LUCRO 5A]],Table_1[[#This Row],[CRESCIMENTO DAMODARAN]])</f>
        <v/>
      </c>
      <c r="U650" s="64">
        <f>(Table_1[[#This Row],[PREÇO JUSTO BAZIN]]-Table_1[[#This Row],[PREÇO]])/Table_1[[#This Row],[PREÇO JUSTO BAZIN]]</f>
        <v/>
      </c>
      <c r="V650" s="129">
        <f>Table_1[[#This Row],[DPA]]/6%</f>
        <v/>
      </c>
      <c r="W650" s="129">
        <f>Table_1[[#This Row],[PREÇO JUSTO BAZIN]]/(1+Table_1[[#This Row],[MARGEM DE DESCONTO]])</f>
        <v/>
      </c>
      <c r="X650" s="64">
        <f>(Table_1[[#This Row],[PREÇO JUSTO GRAHAM]]-Table_1[[#This Row],[PREÇO]])/Table_1[[#This Row],[PREÇO JUSTO GRAHAM]]</f>
        <v/>
      </c>
      <c r="Y650" s="129">
        <f>(22.5*Table_1[[#This Row],[LPA]]*Table_1[[#This Row],[VPA]])^0.5</f>
        <v/>
      </c>
      <c r="Z650" s="129">
        <f>Table_1[[#This Row],[PREÇO JUSTO GRAHAM]]/(1+Table_1[[#This Row],[MARGEM DE DESCONTO]])</f>
        <v/>
      </c>
      <c r="AA650" s="64">
        <f>(Table_1[[#This Row],[PREÇO JUSTO GORDON]]-Table_1[[#This Row],[PREÇO]])/Table_1[[#This Row],[PREÇO JUSTO GORDON]]</f>
        <v/>
      </c>
      <c r="AB650" s="130">
        <f>Table_1[[#This Row],[DPA]]*(1+Table_1[[#This Row],[MÉDIA DE CRESCIMENTO]])</f>
        <v/>
      </c>
      <c r="AC650" s="130">
        <f>Table_1[[#This Row],[D1]]/(Table_1[[#This Row],[RISCO]]-Table_1[[#This Row],[MÉDIA DE CRESCIMENTO]])</f>
        <v/>
      </c>
      <c r="AD650" s="130">
        <f>Table_1[[#This Row],[PREÇO JUSTO GORDON]]/(1+Table_1[[#This Row],[MARGEM DE DESCONTO]])</f>
        <v/>
      </c>
      <c r="AE650" s="78">
        <f>Table_1[[#This Row],[P/L]]/Table_1[[#This Row],[MÉDIA DE CRESCIMENTO]]</f>
        <v/>
      </c>
    </row>
    <row r="651" ht="15.75" customHeight="1">
      <c r="B651" s="77">
        <f>'Dados Status Invest'!A637</f>
        <v/>
      </c>
      <c r="C651" s="60">
        <f>VLOOKUP(Table_1[[#This Row],[AÇÕES]],'Classificação B3'!A:B,2,0)</f>
        <v/>
      </c>
      <c r="D651" s="60">
        <f>VLOOKUP(Table_1[[#This Row],[AÇÕES]],'Classificação B3'!A:D,4,0)</f>
        <v/>
      </c>
      <c r="E651" s="60">
        <f>VLOOKUP(Table_1[[#This Row],[AÇÕES]],'Classificação B3'!A:F,6,0)</f>
        <v/>
      </c>
      <c r="F651" s="60">
        <f>VLOOKUP(Table_1[[#This Row],[AÇÕES]],'Classificação B3'!A:G,7,0)</f>
        <v/>
      </c>
      <c r="G651" s="61">
        <f>VLOOKUP(Table_1[[#This Row],[AÇÕES]],'Dados Status Invest'!A:B,2,0)</f>
        <v/>
      </c>
      <c r="H651" s="62">
        <f>VLOOKUP(Table_1[[#This Row],[AÇÕES]],'Dados Status Invest'!A:C,3,0)/100</f>
        <v/>
      </c>
      <c r="I651" s="62">
        <f>VLOOKUP(Table_1[[#This Row],[AÇÕES]],'Dados Status Invest'!A:D,4,0)/100</f>
        <v/>
      </c>
      <c r="J651" s="63">
        <f>VLOOKUP(Table_1[[#This Row],[AÇÕES]],'Dados Status Invest'!A:AB,28,0)</f>
        <v/>
      </c>
      <c r="K651" s="63">
        <f>VLOOKUP(Table_1[[#This Row],[AÇÕES]],'Dados Status Invest'!A:AA,27,0)</f>
        <v/>
      </c>
      <c r="L651" s="63">
        <f>Table_1[[#This Row],[PREÇO]]*Table_1[[#This Row],[DY]]</f>
        <v/>
      </c>
      <c r="M651" s="67">
        <f>$E$13</f>
        <v/>
      </c>
      <c r="N651" s="62" t="n">
        <v>0.3</v>
      </c>
      <c r="O651" s="62">
        <f>Table_1[[#This Row],[DPA]]/Table_1[[#This Row],[LPA]]</f>
        <v/>
      </c>
      <c r="P651" s="62">
        <f>IF(Table_1[[#This Row],[PAYOUT]]&lt;=40%,"CRESCIMENTO",IF(Table_1[[#This Row],[PAYOUT]]&lt;=60%,"INDEFINIDO","DIVIDENDOS"))</f>
        <v/>
      </c>
      <c r="Q651" s="62">
        <f>VLOOKUP(Table_1[[#This Row],[AÇÕES]],'Dados Status Invest'!A:R,18,0)/100</f>
        <v/>
      </c>
      <c r="R651" s="62">
        <f>VLOOKUP(Table_1[[#This Row],[AÇÕES]],'Dados Status Invest'!A:Y,25,0)/100</f>
        <v/>
      </c>
      <c r="S651" s="62">
        <f>(1-Table_1[[#This Row],[PAYOUT]])*Table_1[[#This Row],[ROE]]</f>
        <v/>
      </c>
      <c r="T651" s="98">
        <f>AVERAGE(Table_1[[#This Row],[CAGR LUCRO 5A]],Table_1[[#This Row],[CRESCIMENTO DAMODARAN]])</f>
        <v/>
      </c>
      <c r="U651" s="64">
        <f>(Table_1[[#This Row],[PREÇO JUSTO BAZIN]]-Table_1[[#This Row],[PREÇO]])/Table_1[[#This Row],[PREÇO JUSTO BAZIN]]</f>
        <v/>
      </c>
      <c r="V651" s="129">
        <f>Table_1[[#This Row],[DPA]]/6%</f>
        <v/>
      </c>
      <c r="W651" s="129">
        <f>Table_1[[#This Row],[PREÇO JUSTO BAZIN]]/(1+Table_1[[#This Row],[MARGEM DE DESCONTO]])</f>
        <v/>
      </c>
      <c r="X651" s="64">
        <f>(Table_1[[#This Row],[PREÇO JUSTO GRAHAM]]-Table_1[[#This Row],[PREÇO]])/Table_1[[#This Row],[PREÇO JUSTO GRAHAM]]</f>
        <v/>
      </c>
      <c r="Y651" s="129">
        <f>(22.5*Table_1[[#This Row],[LPA]]*Table_1[[#This Row],[VPA]])^0.5</f>
        <v/>
      </c>
      <c r="Z651" s="129">
        <f>Table_1[[#This Row],[PREÇO JUSTO GRAHAM]]/(1+Table_1[[#This Row],[MARGEM DE DESCONTO]])</f>
        <v/>
      </c>
      <c r="AA651" s="64">
        <f>(Table_1[[#This Row],[PREÇO JUSTO GORDON]]-Table_1[[#This Row],[PREÇO]])/Table_1[[#This Row],[PREÇO JUSTO GORDON]]</f>
        <v/>
      </c>
      <c r="AB651" s="130">
        <f>Table_1[[#This Row],[DPA]]*(1+Table_1[[#This Row],[MÉDIA DE CRESCIMENTO]])</f>
        <v/>
      </c>
      <c r="AC651" s="130">
        <f>Table_1[[#This Row],[D1]]/(Table_1[[#This Row],[RISCO]]-Table_1[[#This Row],[MÉDIA DE CRESCIMENTO]])</f>
        <v/>
      </c>
      <c r="AD651" s="130">
        <f>Table_1[[#This Row],[PREÇO JUSTO GORDON]]/(1+Table_1[[#This Row],[MARGEM DE DESCONTO]])</f>
        <v/>
      </c>
      <c r="AE651" s="78">
        <f>Table_1[[#This Row],[P/L]]/Table_1[[#This Row],[MÉDIA DE CRESCIMENTO]]</f>
        <v/>
      </c>
    </row>
    <row r="652" ht="15.75" customHeight="1">
      <c r="B652" s="77">
        <f>'Dados Status Invest'!A638</f>
        <v/>
      </c>
      <c r="C652" s="60">
        <f>VLOOKUP(Table_1[[#This Row],[AÇÕES]],'Classificação B3'!A:B,2,0)</f>
        <v/>
      </c>
      <c r="D652" s="60">
        <f>VLOOKUP(Table_1[[#This Row],[AÇÕES]],'Classificação B3'!A:D,4,0)</f>
        <v/>
      </c>
      <c r="E652" s="60">
        <f>VLOOKUP(Table_1[[#This Row],[AÇÕES]],'Classificação B3'!A:F,6,0)</f>
        <v/>
      </c>
      <c r="F652" s="60">
        <f>VLOOKUP(Table_1[[#This Row],[AÇÕES]],'Classificação B3'!A:G,7,0)</f>
        <v/>
      </c>
      <c r="G652" s="61">
        <f>VLOOKUP(Table_1[[#This Row],[AÇÕES]],'Dados Status Invest'!A:B,2,0)</f>
        <v/>
      </c>
      <c r="H652" s="62">
        <f>VLOOKUP(Table_1[[#This Row],[AÇÕES]],'Dados Status Invest'!A:C,3,0)/100</f>
        <v/>
      </c>
      <c r="I652" s="62">
        <f>VLOOKUP(Table_1[[#This Row],[AÇÕES]],'Dados Status Invest'!A:D,4,0)/100</f>
        <v/>
      </c>
      <c r="J652" s="63">
        <f>VLOOKUP(Table_1[[#This Row],[AÇÕES]],'Dados Status Invest'!A:AB,28,0)</f>
        <v/>
      </c>
      <c r="K652" s="63">
        <f>VLOOKUP(Table_1[[#This Row],[AÇÕES]],'Dados Status Invest'!A:AA,27,0)</f>
        <v/>
      </c>
      <c r="L652" s="63">
        <f>Table_1[[#This Row],[PREÇO]]*Table_1[[#This Row],[DY]]</f>
        <v/>
      </c>
      <c r="M652" s="67">
        <f>$E$13</f>
        <v/>
      </c>
      <c r="N652" s="62" t="n">
        <v>0.3</v>
      </c>
      <c r="O652" s="62">
        <f>Table_1[[#This Row],[DPA]]/Table_1[[#This Row],[LPA]]</f>
        <v/>
      </c>
      <c r="P652" s="62">
        <f>IF(Table_1[[#This Row],[PAYOUT]]&lt;=40%,"CRESCIMENTO",IF(Table_1[[#This Row],[PAYOUT]]&lt;=60%,"INDEFINIDO","DIVIDENDOS"))</f>
        <v/>
      </c>
      <c r="Q652" s="62">
        <f>VLOOKUP(Table_1[[#This Row],[AÇÕES]],'Dados Status Invest'!A:R,18,0)/100</f>
        <v/>
      </c>
      <c r="R652" s="62">
        <f>VLOOKUP(Table_1[[#This Row],[AÇÕES]],'Dados Status Invest'!A:Y,25,0)/100</f>
        <v/>
      </c>
      <c r="S652" s="62">
        <f>(1-Table_1[[#This Row],[PAYOUT]])*Table_1[[#This Row],[ROE]]</f>
        <v/>
      </c>
      <c r="T652" s="98">
        <f>AVERAGE(Table_1[[#This Row],[CAGR LUCRO 5A]],Table_1[[#This Row],[CRESCIMENTO DAMODARAN]])</f>
        <v/>
      </c>
      <c r="U652" s="64">
        <f>(Table_1[[#This Row],[PREÇO JUSTO BAZIN]]-Table_1[[#This Row],[PREÇO]])/Table_1[[#This Row],[PREÇO JUSTO BAZIN]]</f>
        <v/>
      </c>
      <c r="V652" s="129">
        <f>Table_1[[#This Row],[DPA]]/6%</f>
        <v/>
      </c>
      <c r="W652" s="129">
        <f>Table_1[[#This Row],[PREÇO JUSTO BAZIN]]/(1+Table_1[[#This Row],[MARGEM DE DESCONTO]])</f>
        <v/>
      </c>
      <c r="X652" s="64">
        <f>(Table_1[[#This Row],[PREÇO JUSTO GRAHAM]]-Table_1[[#This Row],[PREÇO]])/Table_1[[#This Row],[PREÇO JUSTO GRAHAM]]</f>
        <v/>
      </c>
      <c r="Y652" s="129">
        <f>(22.5*Table_1[[#This Row],[LPA]]*Table_1[[#This Row],[VPA]])^0.5</f>
        <v/>
      </c>
      <c r="Z652" s="129">
        <f>Table_1[[#This Row],[PREÇO JUSTO GRAHAM]]/(1+Table_1[[#This Row],[MARGEM DE DESCONTO]])</f>
        <v/>
      </c>
      <c r="AA652" s="64">
        <f>(Table_1[[#This Row],[PREÇO JUSTO GORDON]]-Table_1[[#This Row],[PREÇO]])/Table_1[[#This Row],[PREÇO JUSTO GORDON]]</f>
        <v/>
      </c>
      <c r="AB652" s="130">
        <f>Table_1[[#This Row],[DPA]]*(1+Table_1[[#This Row],[MÉDIA DE CRESCIMENTO]])</f>
        <v/>
      </c>
      <c r="AC652" s="130">
        <f>Table_1[[#This Row],[D1]]/(Table_1[[#This Row],[RISCO]]-Table_1[[#This Row],[MÉDIA DE CRESCIMENTO]])</f>
        <v/>
      </c>
      <c r="AD652" s="130">
        <f>Table_1[[#This Row],[PREÇO JUSTO GORDON]]/(1+Table_1[[#This Row],[MARGEM DE DESCONTO]])</f>
        <v/>
      </c>
      <c r="AE652" s="78">
        <f>Table_1[[#This Row],[P/L]]/Table_1[[#This Row],[MÉDIA DE CRESCIMENTO]]</f>
        <v/>
      </c>
    </row>
    <row r="653" ht="15.75" customHeight="1">
      <c r="B653" s="77">
        <f>'Dados Status Invest'!A639</f>
        <v/>
      </c>
      <c r="C653" s="60">
        <f>VLOOKUP(Table_1[[#This Row],[AÇÕES]],'Classificação B3'!A:B,2,0)</f>
        <v/>
      </c>
      <c r="D653" s="60">
        <f>VLOOKUP(Table_1[[#This Row],[AÇÕES]],'Classificação B3'!A:D,4,0)</f>
        <v/>
      </c>
      <c r="E653" s="60">
        <f>VLOOKUP(Table_1[[#This Row],[AÇÕES]],'Classificação B3'!A:F,6,0)</f>
        <v/>
      </c>
      <c r="F653" s="60">
        <f>VLOOKUP(Table_1[[#This Row],[AÇÕES]],'Classificação B3'!A:G,7,0)</f>
        <v/>
      </c>
      <c r="G653" s="61">
        <f>VLOOKUP(Table_1[[#This Row],[AÇÕES]],'Dados Status Invest'!A:B,2,0)</f>
        <v/>
      </c>
      <c r="H653" s="62">
        <f>VLOOKUP(Table_1[[#This Row],[AÇÕES]],'Dados Status Invest'!A:C,3,0)/100</f>
        <v/>
      </c>
      <c r="I653" s="62">
        <f>VLOOKUP(Table_1[[#This Row],[AÇÕES]],'Dados Status Invest'!A:D,4,0)/100</f>
        <v/>
      </c>
      <c r="J653" s="63">
        <f>VLOOKUP(Table_1[[#This Row],[AÇÕES]],'Dados Status Invest'!A:AB,28,0)</f>
        <v/>
      </c>
      <c r="K653" s="63">
        <f>VLOOKUP(Table_1[[#This Row],[AÇÕES]],'Dados Status Invest'!A:AA,27,0)</f>
        <v/>
      </c>
      <c r="L653" s="63">
        <f>Table_1[[#This Row],[PREÇO]]*Table_1[[#This Row],[DY]]</f>
        <v/>
      </c>
      <c r="M653" s="67">
        <f>$E$13</f>
        <v/>
      </c>
      <c r="N653" s="62" t="n">
        <v>0.3</v>
      </c>
      <c r="O653" s="62">
        <f>Table_1[[#This Row],[DPA]]/Table_1[[#This Row],[LPA]]</f>
        <v/>
      </c>
      <c r="P653" s="62">
        <f>IF(Table_1[[#This Row],[PAYOUT]]&lt;=40%,"CRESCIMENTO",IF(Table_1[[#This Row],[PAYOUT]]&lt;=60%,"INDEFINIDO","DIVIDENDOS"))</f>
        <v/>
      </c>
      <c r="Q653" s="62">
        <f>VLOOKUP(Table_1[[#This Row],[AÇÕES]],'Dados Status Invest'!A:R,18,0)/100</f>
        <v/>
      </c>
      <c r="R653" s="62">
        <f>VLOOKUP(Table_1[[#This Row],[AÇÕES]],'Dados Status Invest'!A:Y,25,0)/100</f>
        <v/>
      </c>
      <c r="S653" s="62">
        <f>(1-Table_1[[#This Row],[PAYOUT]])*Table_1[[#This Row],[ROE]]</f>
        <v/>
      </c>
      <c r="T653" s="98">
        <f>AVERAGE(Table_1[[#This Row],[CAGR LUCRO 5A]],Table_1[[#This Row],[CRESCIMENTO DAMODARAN]])</f>
        <v/>
      </c>
      <c r="U653" s="64">
        <f>(Table_1[[#This Row],[PREÇO JUSTO BAZIN]]-Table_1[[#This Row],[PREÇO]])/Table_1[[#This Row],[PREÇO JUSTO BAZIN]]</f>
        <v/>
      </c>
      <c r="V653" s="129">
        <f>Table_1[[#This Row],[DPA]]/6%</f>
        <v/>
      </c>
      <c r="W653" s="129">
        <f>Table_1[[#This Row],[PREÇO JUSTO BAZIN]]/(1+Table_1[[#This Row],[MARGEM DE DESCONTO]])</f>
        <v/>
      </c>
      <c r="X653" s="64">
        <f>(Table_1[[#This Row],[PREÇO JUSTO GRAHAM]]-Table_1[[#This Row],[PREÇO]])/Table_1[[#This Row],[PREÇO JUSTO GRAHAM]]</f>
        <v/>
      </c>
      <c r="Y653" s="129">
        <f>(22.5*Table_1[[#This Row],[LPA]]*Table_1[[#This Row],[VPA]])^0.5</f>
        <v/>
      </c>
      <c r="Z653" s="129">
        <f>Table_1[[#This Row],[PREÇO JUSTO GRAHAM]]/(1+Table_1[[#This Row],[MARGEM DE DESCONTO]])</f>
        <v/>
      </c>
      <c r="AA653" s="64">
        <f>(Table_1[[#This Row],[PREÇO JUSTO GORDON]]-Table_1[[#This Row],[PREÇO]])/Table_1[[#This Row],[PREÇO JUSTO GORDON]]</f>
        <v/>
      </c>
      <c r="AB653" s="130">
        <f>Table_1[[#This Row],[DPA]]*(1+Table_1[[#This Row],[MÉDIA DE CRESCIMENTO]])</f>
        <v/>
      </c>
      <c r="AC653" s="130">
        <f>Table_1[[#This Row],[D1]]/(Table_1[[#This Row],[RISCO]]-Table_1[[#This Row],[MÉDIA DE CRESCIMENTO]])</f>
        <v/>
      </c>
      <c r="AD653" s="130">
        <f>Table_1[[#This Row],[PREÇO JUSTO GORDON]]/(1+Table_1[[#This Row],[MARGEM DE DESCONTO]])</f>
        <v/>
      </c>
      <c r="AE653" s="78">
        <f>Table_1[[#This Row],[P/L]]/Table_1[[#This Row],[MÉDIA DE CRESCIMENTO]]</f>
        <v/>
      </c>
    </row>
    <row r="654" ht="15.75" customHeight="1">
      <c r="B654" s="77">
        <f>'Dados Status Invest'!A640</f>
        <v/>
      </c>
      <c r="C654" s="60">
        <f>VLOOKUP(Table_1[[#This Row],[AÇÕES]],'Classificação B3'!A:B,2,0)</f>
        <v/>
      </c>
      <c r="D654" s="60">
        <f>VLOOKUP(Table_1[[#This Row],[AÇÕES]],'Classificação B3'!A:D,4,0)</f>
        <v/>
      </c>
      <c r="E654" s="60">
        <f>VLOOKUP(Table_1[[#This Row],[AÇÕES]],'Classificação B3'!A:F,6,0)</f>
        <v/>
      </c>
      <c r="F654" s="60">
        <f>VLOOKUP(Table_1[[#This Row],[AÇÕES]],'Classificação B3'!A:G,7,0)</f>
        <v/>
      </c>
      <c r="G654" s="61">
        <f>VLOOKUP(Table_1[[#This Row],[AÇÕES]],'Dados Status Invest'!A:B,2,0)</f>
        <v/>
      </c>
      <c r="H654" s="62">
        <f>VLOOKUP(Table_1[[#This Row],[AÇÕES]],'Dados Status Invest'!A:C,3,0)/100</f>
        <v/>
      </c>
      <c r="I654" s="62">
        <f>VLOOKUP(Table_1[[#This Row],[AÇÕES]],'Dados Status Invest'!A:D,4,0)/100</f>
        <v/>
      </c>
      <c r="J654" s="63">
        <f>VLOOKUP(Table_1[[#This Row],[AÇÕES]],'Dados Status Invest'!A:AB,28,0)</f>
        <v/>
      </c>
      <c r="K654" s="63">
        <f>VLOOKUP(Table_1[[#This Row],[AÇÕES]],'Dados Status Invest'!A:AA,27,0)</f>
        <v/>
      </c>
      <c r="L654" s="63">
        <f>Table_1[[#This Row],[PREÇO]]*Table_1[[#This Row],[DY]]</f>
        <v/>
      </c>
      <c r="M654" s="67">
        <f>$E$13</f>
        <v/>
      </c>
      <c r="N654" s="62" t="n">
        <v>0.3</v>
      </c>
      <c r="O654" s="62">
        <f>Table_1[[#This Row],[DPA]]/Table_1[[#This Row],[LPA]]</f>
        <v/>
      </c>
      <c r="P654" s="62">
        <f>IF(Table_1[[#This Row],[PAYOUT]]&lt;=40%,"CRESCIMENTO",IF(Table_1[[#This Row],[PAYOUT]]&lt;=60%,"INDEFINIDO","DIVIDENDOS"))</f>
        <v/>
      </c>
      <c r="Q654" s="62">
        <f>VLOOKUP(Table_1[[#This Row],[AÇÕES]],'Dados Status Invest'!A:R,18,0)/100</f>
        <v/>
      </c>
      <c r="R654" s="62">
        <f>VLOOKUP(Table_1[[#This Row],[AÇÕES]],'Dados Status Invest'!A:Y,25,0)/100</f>
        <v/>
      </c>
      <c r="S654" s="62">
        <f>(1-Table_1[[#This Row],[PAYOUT]])*Table_1[[#This Row],[ROE]]</f>
        <v/>
      </c>
      <c r="T654" s="98">
        <f>AVERAGE(Table_1[[#This Row],[CAGR LUCRO 5A]],Table_1[[#This Row],[CRESCIMENTO DAMODARAN]])</f>
        <v/>
      </c>
      <c r="U654" s="64">
        <f>(Table_1[[#This Row],[PREÇO JUSTO BAZIN]]-Table_1[[#This Row],[PREÇO]])/Table_1[[#This Row],[PREÇO JUSTO BAZIN]]</f>
        <v/>
      </c>
      <c r="V654" s="129">
        <f>Table_1[[#This Row],[DPA]]/6%</f>
        <v/>
      </c>
      <c r="W654" s="129">
        <f>Table_1[[#This Row],[PREÇO JUSTO BAZIN]]/(1+Table_1[[#This Row],[MARGEM DE DESCONTO]])</f>
        <v/>
      </c>
      <c r="X654" s="64">
        <f>(Table_1[[#This Row],[PREÇO JUSTO GRAHAM]]-Table_1[[#This Row],[PREÇO]])/Table_1[[#This Row],[PREÇO JUSTO GRAHAM]]</f>
        <v/>
      </c>
      <c r="Y654" s="129">
        <f>(22.5*Table_1[[#This Row],[LPA]]*Table_1[[#This Row],[VPA]])^0.5</f>
        <v/>
      </c>
      <c r="Z654" s="129">
        <f>Table_1[[#This Row],[PREÇO JUSTO GRAHAM]]/(1+Table_1[[#This Row],[MARGEM DE DESCONTO]])</f>
        <v/>
      </c>
      <c r="AA654" s="64">
        <f>(Table_1[[#This Row],[PREÇO JUSTO GORDON]]-Table_1[[#This Row],[PREÇO]])/Table_1[[#This Row],[PREÇO JUSTO GORDON]]</f>
        <v/>
      </c>
      <c r="AB654" s="130">
        <f>Table_1[[#This Row],[DPA]]*(1+Table_1[[#This Row],[MÉDIA DE CRESCIMENTO]])</f>
        <v/>
      </c>
      <c r="AC654" s="130">
        <f>Table_1[[#This Row],[D1]]/(Table_1[[#This Row],[RISCO]]-Table_1[[#This Row],[MÉDIA DE CRESCIMENTO]])</f>
        <v/>
      </c>
      <c r="AD654" s="130">
        <f>Table_1[[#This Row],[PREÇO JUSTO GORDON]]/(1+Table_1[[#This Row],[MARGEM DE DESCONTO]])</f>
        <v/>
      </c>
      <c r="AE654" s="78">
        <f>Table_1[[#This Row],[P/L]]/Table_1[[#This Row],[MÉDIA DE CRESCIMENTO]]</f>
        <v/>
      </c>
    </row>
    <row r="655" ht="15.75" customHeight="1">
      <c r="B655" s="77">
        <f>'Dados Status Invest'!A641</f>
        <v/>
      </c>
      <c r="C655" s="60">
        <f>VLOOKUP(Table_1[[#This Row],[AÇÕES]],'Classificação B3'!A:B,2,0)</f>
        <v/>
      </c>
      <c r="D655" s="60">
        <f>VLOOKUP(Table_1[[#This Row],[AÇÕES]],'Classificação B3'!A:D,4,0)</f>
        <v/>
      </c>
      <c r="E655" s="60">
        <f>VLOOKUP(Table_1[[#This Row],[AÇÕES]],'Classificação B3'!A:F,6,0)</f>
        <v/>
      </c>
      <c r="F655" s="60">
        <f>VLOOKUP(Table_1[[#This Row],[AÇÕES]],'Classificação B3'!A:G,7,0)</f>
        <v/>
      </c>
      <c r="G655" s="61">
        <f>VLOOKUP(Table_1[[#This Row],[AÇÕES]],'Dados Status Invest'!A:B,2,0)</f>
        <v/>
      </c>
      <c r="H655" s="62">
        <f>VLOOKUP(Table_1[[#This Row],[AÇÕES]],'Dados Status Invest'!A:C,3,0)/100</f>
        <v/>
      </c>
      <c r="I655" s="62">
        <f>VLOOKUP(Table_1[[#This Row],[AÇÕES]],'Dados Status Invest'!A:D,4,0)/100</f>
        <v/>
      </c>
      <c r="J655" s="63">
        <f>VLOOKUP(Table_1[[#This Row],[AÇÕES]],'Dados Status Invest'!A:AB,28,0)</f>
        <v/>
      </c>
      <c r="K655" s="63">
        <f>VLOOKUP(Table_1[[#This Row],[AÇÕES]],'Dados Status Invest'!A:AA,27,0)</f>
        <v/>
      </c>
      <c r="L655" s="63">
        <f>Table_1[[#This Row],[PREÇO]]*Table_1[[#This Row],[DY]]</f>
        <v/>
      </c>
      <c r="M655" s="67">
        <f>$E$13</f>
        <v/>
      </c>
      <c r="N655" s="62" t="n">
        <v>0.3</v>
      </c>
      <c r="O655" s="62">
        <f>Table_1[[#This Row],[DPA]]/Table_1[[#This Row],[LPA]]</f>
        <v/>
      </c>
      <c r="P655" s="62">
        <f>IF(Table_1[[#This Row],[PAYOUT]]&lt;=40%,"CRESCIMENTO",IF(Table_1[[#This Row],[PAYOUT]]&lt;=60%,"INDEFINIDO","DIVIDENDOS"))</f>
        <v/>
      </c>
      <c r="Q655" s="62">
        <f>VLOOKUP(Table_1[[#This Row],[AÇÕES]],'Dados Status Invest'!A:R,18,0)/100</f>
        <v/>
      </c>
      <c r="R655" s="62">
        <f>VLOOKUP(Table_1[[#This Row],[AÇÕES]],'Dados Status Invest'!A:Y,25,0)/100</f>
        <v/>
      </c>
      <c r="S655" s="62">
        <f>(1-Table_1[[#This Row],[PAYOUT]])*Table_1[[#This Row],[ROE]]</f>
        <v/>
      </c>
      <c r="T655" s="98">
        <f>AVERAGE(Table_1[[#This Row],[CAGR LUCRO 5A]],Table_1[[#This Row],[CRESCIMENTO DAMODARAN]])</f>
        <v/>
      </c>
      <c r="U655" s="64">
        <f>(Table_1[[#This Row],[PREÇO JUSTO BAZIN]]-Table_1[[#This Row],[PREÇO]])/Table_1[[#This Row],[PREÇO JUSTO BAZIN]]</f>
        <v/>
      </c>
      <c r="V655" s="129">
        <f>Table_1[[#This Row],[DPA]]/6%</f>
        <v/>
      </c>
      <c r="W655" s="129">
        <f>Table_1[[#This Row],[PREÇO JUSTO BAZIN]]/(1+Table_1[[#This Row],[MARGEM DE DESCONTO]])</f>
        <v/>
      </c>
      <c r="X655" s="64">
        <f>(Table_1[[#This Row],[PREÇO JUSTO GRAHAM]]-Table_1[[#This Row],[PREÇO]])/Table_1[[#This Row],[PREÇO JUSTO GRAHAM]]</f>
        <v/>
      </c>
      <c r="Y655" s="129">
        <f>(22.5*Table_1[[#This Row],[LPA]]*Table_1[[#This Row],[VPA]])^0.5</f>
        <v/>
      </c>
      <c r="Z655" s="129">
        <f>Table_1[[#This Row],[PREÇO JUSTO GRAHAM]]/(1+Table_1[[#This Row],[MARGEM DE DESCONTO]])</f>
        <v/>
      </c>
      <c r="AA655" s="64">
        <f>(Table_1[[#This Row],[PREÇO JUSTO GORDON]]-Table_1[[#This Row],[PREÇO]])/Table_1[[#This Row],[PREÇO JUSTO GORDON]]</f>
        <v/>
      </c>
      <c r="AB655" s="130">
        <f>Table_1[[#This Row],[DPA]]*(1+Table_1[[#This Row],[MÉDIA DE CRESCIMENTO]])</f>
        <v/>
      </c>
      <c r="AC655" s="130">
        <f>Table_1[[#This Row],[D1]]/(Table_1[[#This Row],[RISCO]]-Table_1[[#This Row],[MÉDIA DE CRESCIMENTO]])</f>
        <v/>
      </c>
      <c r="AD655" s="130">
        <f>Table_1[[#This Row],[PREÇO JUSTO GORDON]]/(1+Table_1[[#This Row],[MARGEM DE DESCONTO]])</f>
        <v/>
      </c>
      <c r="AE655" s="78">
        <f>Table_1[[#This Row],[P/L]]/Table_1[[#This Row],[MÉDIA DE CRESCIMENTO]]</f>
        <v/>
      </c>
    </row>
    <row r="656" ht="15.75" customHeight="1">
      <c r="B656" s="77">
        <f>'Dados Status Invest'!A642</f>
        <v/>
      </c>
      <c r="C656" s="60">
        <f>VLOOKUP(Table_1[[#This Row],[AÇÕES]],'Classificação B3'!A:B,2,0)</f>
        <v/>
      </c>
      <c r="D656" s="60">
        <f>VLOOKUP(Table_1[[#This Row],[AÇÕES]],'Classificação B3'!A:D,4,0)</f>
        <v/>
      </c>
      <c r="E656" s="60">
        <f>VLOOKUP(Table_1[[#This Row],[AÇÕES]],'Classificação B3'!A:F,6,0)</f>
        <v/>
      </c>
      <c r="F656" s="60">
        <f>VLOOKUP(Table_1[[#This Row],[AÇÕES]],'Classificação B3'!A:G,7,0)</f>
        <v/>
      </c>
      <c r="G656" s="61">
        <f>VLOOKUP(Table_1[[#This Row],[AÇÕES]],'Dados Status Invest'!A:B,2,0)</f>
        <v/>
      </c>
      <c r="H656" s="62">
        <f>VLOOKUP(Table_1[[#This Row],[AÇÕES]],'Dados Status Invest'!A:C,3,0)/100</f>
        <v/>
      </c>
      <c r="I656" s="62">
        <f>VLOOKUP(Table_1[[#This Row],[AÇÕES]],'Dados Status Invest'!A:D,4,0)/100</f>
        <v/>
      </c>
      <c r="J656" s="63">
        <f>VLOOKUP(Table_1[[#This Row],[AÇÕES]],'Dados Status Invest'!A:AB,28,0)</f>
        <v/>
      </c>
      <c r="K656" s="63">
        <f>VLOOKUP(Table_1[[#This Row],[AÇÕES]],'Dados Status Invest'!A:AA,27,0)</f>
        <v/>
      </c>
      <c r="L656" s="63">
        <f>Table_1[[#This Row],[PREÇO]]*Table_1[[#This Row],[DY]]</f>
        <v/>
      </c>
      <c r="M656" s="67">
        <f>$E$13</f>
        <v/>
      </c>
      <c r="N656" s="62" t="n">
        <v>0.3</v>
      </c>
      <c r="O656" s="62">
        <f>Table_1[[#This Row],[DPA]]/Table_1[[#This Row],[LPA]]</f>
        <v/>
      </c>
      <c r="P656" s="62">
        <f>IF(Table_1[[#This Row],[PAYOUT]]&lt;=40%,"CRESCIMENTO",IF(Table_1[[#This Row],[PAYOUT]]&lt;=60%,"INDEFINIDO","DIVIDENDOS"))</f>
        <v/>
      </c>
      <c r="Q656" s="62">
        <f>VLOOKUP(Table_1[[#This Row],[AÇÕES]],'Dados Status Invest'!A:R,18,0)/100</f>
        <v/>
      </c>
      <c r="R656" s="62">
        <f>VLOOKUP(Table_1[[#This Row],[AÇÕES]],'Dados Status Invest'!A:Y,25,0)/100</f>
        <v/>
      </c>
      <c r="S656" s="62">
        <f>(1-Table_1[[#This Row],[PAYOUT]])*Table_1[[#This Row],[ROE]]</f>
        <v/>
      </c>
      <c r="T656" s="98">
        <f>AVERAGE(Table_1[[#This Row],[CAGR LUCRO 5A]],Table_1[[#This Row],[CRESCIMENTO DAMODARAN]])</f>
        <v/>
      </c>
      <c r="U656" s="64">
        <f>(Table_1[[#This Row],[PREÇO JUSTO BAZIN]]-Table_1[[#This Row],[PREÇO]])/Table_1[[#This Row],[PREÇO JUSTO BAZIN]]</f>
        <v/>
      </c>
      <c r="V656" s="129">
        <f>Table_1[[#This Row],[DPA]]/6%</f>
        <v/>
      </c>
      <c r="W656" s="129">
        <f>Table_1[[#This Row],[PREÇO JUSTO BAZIN]]/(1+Table_1[[#This Row],[MARGEM DE DESCONTO]])</f>
        <v/>
      </c>
      <c r="X656" s="64">
        <f>(Table_1[[#This Row],[PREÇO JUSTO GRAHAM]]-Table_1[[#This Row],[PREÇO]])/Table_1[[#This Row],[PREÇO JUSTO GRAHAM]]</f>
        <v/>
      </c>
      <c r="Y656" s="129">
        <f>(22.5*Table_1[[#This Row],[LPA]]*Table_1[[#This Row],[VPA]])^0.5</f>
        <v/>
      </c>
      <c r="Z656" s="129">
        <f>Table_1[[#This Row],[PREÇO JUSTO GRAHAM]]/(1+Table_1[[#This Row],[MARGEM DE DESCONTO]])</f>
        <v/>
      </c>
      <c r="AA656" s="64">
        <f>(Table_1[[#This Row],[PREÇO JUSTO GORDON]]-Table_1[[#This Row],[PREÇO]])/Table_1[[#This Row],[PREÇO JUSTO GORDON]]</f>
        <v/>
      </c>
      <c r="AB656" s="130">
        <f>Table_1[[#This Row],[DPA]]*(1+Table_1[[#This Row],[MÉDIA DE CRESCIMENTO]])</f>
        <v/>
      </c>
      <c r="AC656" s="130">
        <f>Table_1[[#This Row],[D1]]/(Table_1[[#This Row],[RISCO]]-Table_1[[#This Row],[MÉDIA DE CRESCIMENTO]])</f>
        <v/>
      </c>
      <c r="AD656" s="130">
        <f>Table_1[[#This Row],[PREÇO JUSTO GORDON]]/(1+Table_1[[#This Row],[MARGEM DE DESCONTO]])</f>
        <v/>
      </c>
      <c r="AE656" s="78">
        <f>Table_1[[#This Row],[P/L]]/Table_1[[#This Row],[MÉDIA DE CRESCIMENTO]]</f>
        <v/>
      </c>
    </row>
    <row r="657" ht="15.75" customHeight="1">
      <c r="B657" s="77">
        <f>'Dados Status Invest'!A643</f>
        <v/>
      </c>
      <c r="C657" s="60">
        <f>VLOOKUP(Table_1[[#This Row],[AÇÕES]],'Classificação B3'!A:B,2,0)</f>
        <v/>
      </c>
      <c r="D657" s="60">
        <f>VLOOKUP(Table_1[[#This Row],[AÇÕES]],'Classificação B3'!A:D,4,0)</f>
        <v/>
      </c>
      <c r="E657" s="60">
        <f>VLOOKUP(Table_1[[#This Row],[AÇÕES]],'Classificação B3'!A:F,6,0)</f>
        <v/>
      </c>
      <c r="F657" s="60">
        <f>VLOOKUP(Table_1[[#This Row],[AÇÕES]],'Classificação B3'!A:G,7,0)</f>
        <v/>
      </c>
      <c r="G657" s="61">
        <f>VLOOKUP(Table_1[[#This Row],[AÇÕES]],'Dados Status Invest'!A:B,2,0)</f>
        <v/>
      </c>
      <c r="H657" s="62">
        <f>VLOOKUP(Table_1[[#This Row],[AÇÕES]],'Dados Status Invest'!A:C,3,0)/100</f>
        <v/>
      </c>
      <c r="I657" s="62">
        <f>VLOOKUP(Table_1[[#This Row],[AÇÕES]],'Dados Status Invest'!A:D,4,0)/100</f>
        <v/>
      </c>
      <c r="J657" s="63">
        <f>VLOOKUP(Table_1[[#This Row],[AÇÕES]],'Dados Status Invest'!A:AB,28,0)</f>
        <v/>
      </c>
      <c r="K657" s="63">
        <f>VLOOKUP(Table_1[[#This Row],[AÇÕES]],'Dados Status Invest'!A:AA,27,0)</f>
        <v/>
      </c>
      <c r="L657" s="63">
        <f>Table_1[[#This Row],[PREÇO]]*Table_1[[#This Row],[DY]]</f>
        <v/>
      </c>
      <c r="M657" s="67">
        <f>$E$13</f>
        <v/>
      </c>
      <c r="N657" s="62" t="n">
        <v>0.3</v>
      </c>
      <c r="O657" s="62">
        <f>Table_1[[#This Row],[DPA]]/Table_1[[#This Row],[LPA]]</f>
        <v/>
      </c>
      <c r="P657" s="62">
        <f>IF(Table_1[[#This Row],[PAYOUT]]&lt;=40%,"CRESCIMENTO",IF(Table_1[[#This Row],[PAYOUT]]&lt;=60%,"INDEFINIDO","DIVIDENDOS"))</f>
        <v/>
      </c>
      <c r="Q657" s="62">
        <f>VLOOKUP(Table_1[[#This Row],[AÇÕES]],'Dados Status Invest'!A:R,18,0)/100</f>
        <v/>
      </c>
      <c r="R657" s="62">
        <f>VLOOKUP(Table_1[[#This Row],[AÇÕES]],'Dados Status Invest'!A:Y,25,0)/100</f>
        <v/>
      </c>
      <c r="S657" s="62">
        <f>(1-Table_1[[#This Row],[PAYOUT]])*Table_1[[#This Row],[ROE]]</f>
        <v/>
      </c>
      <c r="T657" s="98">
        <f>AVERAGE(Table_1[[#This Row],[CAGR LUCRO 5A]],Table_1[[#This Row],[CRESCIMENTO DAMODARAN]])</f>
        <v/>
      </c>
      <c r="U657" s="64">
        <f>(Table_1[[#This Row],[PREÇO JUSTO BAZIN]]-Table_1[[#This Row],[PREÇO]])/Table_1[[#This Row],[PREÇO JUSTO BAZIN]]</f>
        <v/>
      </c>
      <c r="V657" s="129">
        <f>Table_1[[#This Row],[DPA]]/6%</f>
        <v/>
      </c>
      <c r="W657" s="129">
        <f>Table_1[[#This Row],[PREÇO JUSTO BAZIN]]/(1+Table_1[[#This Row],[MARGEM DE DESCONTO]])</f>
        <v/>
      </c>
      <c r="X657" s="64">
        <f>(Table_1[[#This Row],[PREÇO JUSTO GRAHAM]]-Table_1[[#This Row],[PREÇO]])/Table_1[[#This Row],[PREÇO JUSTO GRAHAM]]</f>
        <v/>
      </c>
      <c r="Y657" s="129">
        <f>(22.5*Table_1[[#This Row],[LPA]]*Table_1[[#This Row],[VPA]])^0.5</f>
        <v/>
      </c>
      <c r="Z657" s="129">
        <f>Table_1[[#This Row],[PREÇO JUSTO GRAHAM]]/(1+Table_1[[#This Row],[MARGEM DE DESCONTO]])</f>
        <v/>
      </c>
      <c r="AA657" s="64">
        <f>(Table_1[[#This Row],[PREÇO JUSTO GORDON]]-Table_1[[#This Row],[PREÇO]])/Table_1[[#This Row],[PREÇO JUSTO GORDON]]</f>
        <v/>
      </c>
      <c r="AB657" s="130">
        <f>Table_1[[#This Row],[DPA]]*(1+Table_1[[#This Row],[MÉDIA DE CRESCIMENTO]])</f>
        <v/>
      </c>
      <c r="AC657" s="130">
        <f>Table_1[[#This Row],[D1]]/(Table_1[[#This Row],[RISCO]]-Table_1[[#This Row],[MÉDIA DE CRESCIMENTO]])</f>
        <v/>
      </c>
      <c r="AD657" s="130">
        <f>Table_1[[#This Row],[PREÇO JUSTO GORDON]]/(1+Table_1[[#This Row],[MARGEM DE DESCONTO]])</f>
        <v/>
      </c>
      <c r="AE657" s="78">
        <f>Table_1[[#This Row],[P/L]]/Table_1[[#This Row],[MÉDIA DE CRESCIMENTO]]</f>
        <v/>
      </c>
    </row>
    <row r="658" ht="15.75" customHeight="1">
      <c r="B658" s="77">
        <f>'Dados Status Invest'!A644</f>
        <v/>
      </c>
      <c r="C658" s="60">
        <f>VLOOKUP(Table_1[[#This Row],[AÇÕES]],'Classificação B3'!A:B,2,0)</f>
        <v/>
      </c>
      <c r="D658" s="60">
        <f>VLOOKUP(Table_1[[#This Row],[AÇÕES]],'Classificação B3'!A:D,4,0)</f>
        <v/>
      </c>
      <c r="E658" s="60">
        <f>VLOOKUP(Table_1[[#This Row],[AÇÕES]],'Classificação B3'!A:F,6,0)</f>
        <v/>
      </c>
      <c r="F658" s="60">
        <f>VLOOKUP(Table_1[[#This Row],[AÇÕES]],'Classificação B3'!A:G,7,0)</f>
        <v/>
      </c>
      <c r="G658" s="61">
        <f>VLOOKUP(Table_1[[#This Row],[AÇÕES]],'Dados Status Invest'!A:B,2,0)</f>
        <v/>
      </c>
      <c r="H658" s="62">
        <f>VLOOKUP(Table_1[[#This Row],[AÇÕES]],'Dados Status Invest'!A:C,3,0)/100</f>
        <v/>
      </c>
      <c r="I658" s="62">
        <f>VLOOKUP(Table_1[[#This Row],[AÇÕES]],'Dados Status Invest'!A:D,4,0)/100</f>
        <v/>
      </c>
      <c r="J658" s="63">
        <f>VLOOKUP(Table_1[[#This Row],[AÇÕES]],'Dados Status Invest'!A:AB,28,0)</f>
        <v/>
      </c>
      <c r="K658" s="63">
        <f>VLOOKUP(Table_1[[#This Row],[AÇÕES]],'Dados Status Invest'!A:AA,27,0)</f>
        <v/>
      </c>
      <c r="L658" s="63">
        <f>Table_1[[#This Row],[PREÇO]]*Table_1[[#This Row],[DY]]</f>
        <v/>
      </c>
      <c r="M658" s="67">
        <f>$E$13</f>
        <v/>
      </c>
      <c r="N658" s="62" t="n">
        <v>0.3</v>
      </c>
      <c r="O658" s="62">
        <f>Table_1[[#This Row],[DPA]]/Table_1[[#This Row],[LPA]]</f>
        <v/>
      </c>
      <c r="P658" s="62">
        <f>IF(Table_1[[#This Row],[PAYOUT]]&lt;=40%,"CRESCIMENTO",IF(Table_1[[#This Row],[PAYOUT]]&lt;=60%,"INDEFINIDO","DIVIDENDOS"))</f>
        <v/>
      </c>
      <c r="Q658" s="62">
        <f>VLOOKUP(Table_1[[#This Row],[AÇÕES]],'Dados Status Invest'!A:R,18,0)/100</f>
        <v/>
      </c>
      <c r="R658" s="62">
        <f>VLOOKUP(Table_1[[#This Row],[AÇÕES]],'Dados Status Invest'!A:Y,25,0)/100</f>
        <v/>
      </c>
      <c r="S658" s="62">
        <f>(1-Table_1[[#This Row],[PAYOUT]])*Table_1[[#This Row],[ROE]]</f>
        <v/>
      </c>
      <c r="T658" s="98">
        <f>AVERAGE(Table_1[[#This Row],[CAGR LUCRO 5A]],Table_1[[#This Row],[CRESCIMENTO DAMODARAN]])</f>
        <v/>
      </c>
      <c r="U658" s="64">
        <f>(Table_1[[#This Row],[PREÇO JUSTO BAZIN]]-Table_1[[#This Row],[PREÇO]])/Table_1[[#This Row],[PREÇO JUSTO BAZIN]]</f>
        <v/>
      </c>
      <c r="V658" s="129">
        <f>Table_1[[#This Row],[DPA]]/6%</f>
        <v/>
      </c>
      <c r="W658" s="129">
        <f>Table_1[[#This Row],[PREÇO JUSTO BAZIN]]/(1+Table_1[[#This Row],[MARGEM DE DESCONTO]])</f>
        <v/>
      </c>
      <c r="X658" s="64">
        <f>(Table_1[[#This Row],[PREÇO JUSTO GRAHAM]]-Table_1[[#This Row],[PREÇO]])/Table_1[[#This Row],[PREÇO JUSTO GRAHAM]]</f>
        <v/>
      </c>
      <c r="Y658" s="129">
        <f>(22.5*Table_1[[#This Row],[LPA]]*Table_1[[#This Row],[VPA]])^0.5</f>
        <v/>
      </c>
      <c r="Z658" s="129">
        <f>Table_1[[#This Row],[PREÇO JUSTO GRAHAM]]/(1+Table_1[[#This Row],[MARGEM DE DESCONTO]])</f>
        <v/>
      </c>
      <c r="AA658" s="64">
        <f>(Table_1[[#This Row],[PREÇO JUSTO GORDON]]-Table_1[[#This Row],[PREÇO]])/Table_1[[#This Row],[PREÇO JUSTO GORDON]]</f>
        <v/>
      </c>
      <c r="AB658" s="130">
        <f>Table_1[[#This Row],[DPA]]*(1+Table_1[[#This Row],[MÉDIA DE CRESCIMENTO]])</f>
        <v/>
      </c>
      <c r="AC658" s="130">
        <f>Table_1[[#This Row],[D1]]/(Table_1[[#This Row],[RISCO]]-Table_1[[#This Row],[MÉDIA DE CRESCIMENTO]])</f>
        <v/>
      </c>
      <c r="AD658" s="130">
        <f>Table_1[[#This Row],[PREÇO JUSTO GORDON]]/(1+Table_1[[#This Row],[MARGEM DE DESCONTO]])</f>
        <v/>
      </c>
      <c r="AE658" s="78">
        <f>Table_1[[#This Row],[P/L]]/Table_1[[#This Row],[MÉDIA DE CRESCIMENTO]]</f>
        <v/>
      </c>
    </row>
    <row r="659" ht="15.75" customHeight="1">
      <c r="B659" s="77">
        <f>'Dados Status Invest'!A645</f>
        <v/>
      </c>
      <c r="C659" s="60">
        <f>VLOOKUP(Table_1[[#This Row],[AÇÕES]],'Classificação B3'!A:B,2,0)</f>
        <v/>
      </c>
      <c r="D659" s="60">
        <f>VLOOKUP(Table_1[[#This Row],[AÇÕES]],'Classificação B3'!A:D,4,0)</f>
        <v/>
      </c>
      <c r="E659" s="60">
        <f>VLOOKUP(Table_1[[#This Row],[AÇÕES]],'Classificação B3'!A:F,6,0)</f>
        <v/>
      </c>
      <c r="F659" s="60">
        <f>VLOOKUP(Table_1[[#This Row],[AÇÕES]],'Classificação B3'!A:G,7,0)</f>
        <v/>
      </c>
      <c r="G659" s="61">
        <f>VLOOKUP(Table_1[[#This Row],[AÇÕES]],'Dados Status Invest'!A:B,2,0)</f>
        <v/>
      </c>
      <c r="H659" s="62">
        <f>VLOOKUP(Table_1[[#This Row],[AÇÕES]],'Dados Status Invest'!A:C,3,0)/100</f>
        <v/>
      </c>
      <c r="I659" s="62">
        <f>VLOOKUP(Table_1[[#This Row],[AÇÕES]],'Dados Status Invest'!A:D,4,0)/100</f>
        <v/>
      </c>
      <c r="J659" s="63">
        <f>VLOOKUP(Table_1[[#This Row],[AÇÕES]],'Dados Status Invest'!A:AB,28,0)</f>
        <v/>
      </c>
      <c r="K659" s="63">
        <f>VLOOKUP(Table_1[[#This Row],[AÇÕES]],'Dados Status Invest'!A:AA,27,0)</f>
        <v/>
      </c>
      <c r="L659" s="63">
        <f>Table_1[[#This Row],[PREÇO]]*Table_1[[#This Row],[DY]]</f>
        <v/>
      </c>
      <c r="M659" s="67">
        <f>$E$13</f>
        <v/>
      </c>
      <c r="N659" s="62" t="n">
        <v>0.3</v>
      </c>
      <c r="O659" s="62">
        <f>Table_1[[#This Row],[DPA]]/Table_1[[#This Row],[LPA]]</f>
        <v/>
      </c>
      <c r="P659" s="62">
        <f>IF(Table_1[[#This Row],[PAYOUT]]&lt;=40%,"CRESCIMENTO",IF(Table_1[[#This Row],[PAYOUT]]&lt;=60%,"INDEFINIDO","DIVIDENDOS"))</f>
        <v/>
      </c>
      <c r="Q659" s="62">
        <f>VLOOKUP(Table_1[[#This Row],[AÇÕES]],'Dados Status Invest'!A:R,18,0)/100</f>
        <v/>
      </c>
      <c r="R659" s="62">
        <f>VLOOKUP(Table_1[[#This Row],[AÇÕES]],'Dados Status Invest'!A:Y,25,0)/100</f>
        <v/>
      </c>
      <c r="S659" s="62">
        <f>(1-Table_1[[#This Row],[PAYOUT]])*Table_1[[#This Row],[ROE]]</f>
        <v/>
      </c>
      <c r="T659" s="98">
        <f>AVERAGE(Table_1[[#This Row],[CAGR LUCRO 5A]],Table_1[[#This Row],[CRESCIMENTO DAMODARAN]])</f>
        <v/>
      </c>
      <c r="U659" s="64">
        <f>(Table_1[[#This Row],[PREÇO JUSTO BAZIN]]-Table_1[[#This Row],[PREÇO]])/Table_1[[#This Row],[PREÇO JUSTO BAZIN]]</f>
        <v/>
      </c>
      <c r="V659" s="129">
        <f>Table_1[[#This Row],[DPA]]/6%</f>
        <v/>
      </c>
      <c r="W659" s="129">
        <f>Table_1[[#This Row],[PREÇO JUSTO BAZIN]]/(1+Table_1[[#This Row],[MARGEM DE DESCONTO]])</f>
        <v/>
      </c>
      <c r="X659" s="64">
        <f>(Table_1[[#This Row],[PREÇO JUSTO GRAHAM]]-Table_1[[#This Row],[PREÇO]])/Table_1[[#This Row],[PREÇO JUSTO GRAHAM]]</f>
        <v/>
      </c>
      <c r="Y659" s="129">
        <f>(22.5*Table_1[[#This Row],[LPA]]*Table_1[[#This Row],[VPA]])^0.5</f>
        <v/>
      </c>
      <c r="Z659" s="129">
        <f>Table_1[[#This Row],[PREÇO JUSTO GRAHAM]]/(1+Table_1[[#This Row],[MARGEM DE DESCONTO]])</f>
        <v/>
      </c>
      <c r="AA659" s="64">
        <f>(Table_1[[#This Row],[PREÇO JUSTO GORDON]]-Table_1[[#This Row],[PREÇO]])/Table_1[[#This Row],[PREÇO JUSTO GORDON]]</f>
        <v/>
      </c>
      <c r="AB659" s="130">
        <f>Table_1[[#This Row],[DPA]]*(1+Table_1[[#This Row],[MÉDIA DE CRESCIMENTO]])</f>
        <v/>
      </c>
      <c r="AC659" s="130">
        <f>Table_1[[#This Row],[D1]]/(Table_1[[#This Row],[RISCO]]-Table_1[[#This Row],[MÉDIA DE CRESCIMENTO]])</f>
        <v/>
      </c>
      <c r="AD659" s="130">
        <f>Table_1[[#This Row],[PREÇO JUSTO GORDON]]/(1+Table_1[[#This Row],[MARGEM DE DESCONTO]])</f>
        <v/>
      </c>
      <c r="AE659" s="78">
        <f>Table_1[[#This Row],[P/L]]/Table_1[[#This Row],[MÉDIA DE CRESCIMENTO]]</f>
        <v/>
      </c>
    </row>
    <row r="660" ht="15.75" customHeight="1">
      <c r="B660" s="77">
        <f>'Dados Status Invest'!A646</f>
        <v/>
      </c>
      <c r="C660" s="60">
        <f>VLOOKUP(Table_1[[#This Row],[AÇÕES]],'Classificação B3'!A:B,2,0)</f>
        <v/>
      </c>
      <c r="D660" s="60">
        <f>VLOOKUP(Table_1[[#This Row],[AÇÕES]],'Classificação B3'!A:D,4,0)</f>
        <v/>
      </c>
      <c r="E660" s="60">
        <f>VLOOKUP(Table_1[[#This Row],[AÇÕES]],'Classificação B3'!A:F,6,0)</f>
        <v/>
      </c>
      <c r="F660" s="60">
        <f>VLOOKUP(Table_1[[#This Row],[AÇÕES]],'Classificação B3'!A:G,7,0)</f>
        <v/>
      </c>
      <c r="G660" s="61">
        <f>VLOOKUP(Table_1[[#This Row],[AÇÕES]],'Dados Status Invest'!A:B,2,0)</f>
        <v/>
      </c>
      <c r="H660" s="62">
        <f>VLOOKUP(Table_1[[#This Row],[AÇÕES]],'Dados Status Invest'!A:C,3,0)/100</f>
        <v/>
      </c>
      <c r="I660" s="62">
        <f>VLOOKUP(Table_1[[#This Row],[AÇÕES]],'Dados Status Invest'!A:D,4,0)/100</f>
        <v/>
      </c>
      <c r="J660" s="63">
        <f>VLOOKUP(Table_1[[#This Row],[AÇÕES]],'Dados Status Invest'!A:AB,28,0)</f>
        <v/>
      </c>
      <c r="K660" s="63">
        <f>VLOOKUP(Table_1[[#This Row],[AÇÕES]],'Dados Status Invest'!A:AA,27,0)</f>
        <v/>
      </c>
      <c r="L660" s="63">
        <f>Table_1[[#This Row],[PREÇO]]*Table_1[[#This Row],[DY]]</f>
        <v/>
      </c>
      <c r="M660" s="67">
        <f>$E$13</f>
        <v/>
      </c>
      <c r="N660" s="62" t="n">
        <v>0.3</v>
      </c>
      <c r="O660" s="62">
        <f>Table_1[[#This Row],[DPA]]/Table_1[[#This Row],[LPA]]</f>
        <v/>
      </c>
      <c r="P660" s="62">
        <f>IF(Table_1[[#This Row],[PAYOUT]]&lt;=40%,"CRESCIMENTO",IF(Table_1[[#This Row],[PAYOUT]]&lt;=60%,"INDEFINIDO","DIVIDENDOS"))</f>
        <v/>
      </c>
      <c r="Q660" s="62">
        <f>VLOOKUP(Table_1[[#This Row],[AÇÕES]],'Dados Status Invest'!A:R,18,0)/100</f>
        <v/>
      </c>
      <c r="R660" s="62">
        <f>VLOOKUP(Table_1[[#This Row],[AÇÕES]],'Dados Status Invest'!A:Y,25,0)/100</f>
        <v/>
      </c>
      <c r="S660" s="62">
        <f>(1-Table_1[[#This Row],[PAYOUT]])*Table_1[[#This Row],[ROE]]</f>
        <v/>
      </c>
      <c r="T660" s="98">
        <f>AVERAGE(Table_1[[#This Row],[CAGR LUCRO 5A]],Table_1[[#This Row],[CRESCIMENTO DAMODARAN]])</f>
        <v/>
      </c>
      <c r="U660" s="64">
        <f>(Table_1[[#This Row],[PREÇO JUSTO BAZIN]]-Table_1[[#This Row],[PREÇO]])/Table_1[[#This Row],[PREÇO JUSTO BAZIN]]</f>
        <v/>
      </c>
      <c r="V660" s="129">
        <f>Table_1[[#This Row],[DPA]]/6%</f>
        <v/>
      </c>
      <c r="W660" s="129">
        <f>Table_1[[#This Row],[PREÇO JUSTO BAZIN]]/(1+Table_1[[#This Row],[MARGEM DE DESCONTO]])</f>
        <v/>
      </c>
      <c r="X660" s="64">
        <f>(Table_1[[#This Row],[PREÇO JUSTO GRAHAM]]-Table_1[[#This Row],[PREÇO]])/Table_1[[#This Row],[PREÇO JUSTO GRAHAM]]</f>
        <v/>
      </c>
      <c r="Y660" s="129">
        <f>(22.5*Table_1[[#This Row],[LPA]]*Table_1[[#This Row],[VPA]])^0.5</f>
        <v/>
      </c>
      <c r="Z660" s="129">
        <f>Table_1[[#This Row],[PREÇO JUSTO GRAHAM]]/(1+Table_1[[#This Row],[MARGEM DE DESCONTO]])</f>
        <v/>
      </c>
      <c r="AA660" s="64">
        <f>(Table_1[[#This Row],[PREÇO JUSTO GORDON]]-Table_1[[#This Row],[PREÇO]])/Table_1[[#This Row],[PREÇO JUSTO GORDON]]</f>
        <v/>
      </c>
      <c r="AB660" s="130">
        <f>Table_1[[#This Row],[DPA]]*(1+Table_1[[#This Row],[MÉDIA DE CRESCIMENTO]])</f>
        <v/>
      </c>
      <c r="AC660" s="130">
        <f>Table_1[[#This Row],[D1]]/(Table_1[[#This Row],[RISCO]]-Table_1[[#This Row],[MÉDIA DE CRESCIMENTO]])</f>
        <v/>
      </c>
      <c r="AD660" s="130">
        <f>Table_1[[#This Row],[PREÇO JUSTO GORDON]]/(1+Table_1[[#This Row],[MARGEM DE DESCONTO]])</f>
        <v/>
      </c>
      <c r="AE660" s="78">
        <f>Table_1[[#This Row],[P/L]]/Table_1[[#This Row],[MÉDIA DE CRESCIMENTO]]</f>
        <v/>
      </c>
    </row>
    <row r="661" ht="15.75" customHeight="1">
      <c r="B661" s="77">
        <f>'Dados Status Invest'!A647</f>
        <v/>
      </c>
      <c r="C661" s="60">
        <f>VLOOKUP(Table_1[[#This Row],[AÇÕES]],'Classificação B3'!A:B,2,0)</f>
        <v/>
      </c>
      <c r="D661" s="60">
        <f>VLOOKUP(Table_1[[#This Row],[AÇÕES]],'Classificação B3'!A:D,4,0)</f>
        <v/>
      </c>
      <c r="E661" s="60">
        <f>VLOOKUP(Table_1[[#This Row],[AÇÕES]],'Classificação B3'!A:F,6,0)</f>
        <v/>
      </c>
      <c r="F661" s="60">
        <f>VLOOKUP(Table_1[[#This Row],[AÇÕES]],'Classificação B3'!A:G,7,0)</f>
        <v/>
      </c>
      <c r="G661" s="61">
        <f>VLOOKUP(Table_1[[#This Row],[AÇÕES]],'Dados Status Invest'!A:B,2,0)</f>
        <v/>
      </c>
      <c r="H661" s="62">
        <f>VLOOKUP(Table_1[[#This Row],[AÇÕES]],'Dados Status Invest'!A:C,3,0)/100</f>
        <v/>
      </c>
      <c r="I661" s="62">
        <f>VLOOKUP(Table_1[[#This Row],[AÇÕES]],'Dados Status Invest'!A:D,4,0)/100</f>
        <v/>
      </c>
      <c r="J661" s="63">
        <f>VLOOKUP(Table_1[[#This Row],[AÇÕES]],'Dados Status Invest'!A:AB,28,0)</f>
        <v/>
      </c>
      <c r="K661" s="63">
        <f>VLOOKUP(Table_1[[#This Row],[AÇÕES]],'Dados Status Invest'!A:AA,27,0)</f>
        <v/>
      </c>
      <c r="L661" s="63">
        <f>Table_1[[#This Row],[PREÇO]]*Table_1[[#This Row],[DY]]</f>
        <v/>
      </c>
      <c r="M661" s="67">
        <f>$E$13</f>
        <v/>
      </c>
      <c r="N661" s="62" t="n">
        <v>0.3</v>
      </c>
      <c r="O661" s="62">
        <f>Table_1[[#This Row],[DPA]]/Table_1[[#This Row],[LPA]]</f>
        <v/>
      </c>
      <c r="P661" s="62">
        <f>IF(Table_1[[#This Row],[PAYOUT]]&lt;=40%,"CRESCIMENTO",IF(Table_1[[#This Row],[PAYOUT]]&lt;=60%,"INDEFINIDO","DIVIDENDOS"))</f>
        <v/>
      </c>
      <c r="Q661" s="62">
        <f>VLOOKUP(Table_1[[#This Row],[AÇÕES]],'Dados Status Invest'!A:R,18,0)/100</f>
        <v/>
      </c>
      <c r="R661" s="62">
        <f>VLOOKUP(Table_1[[#This Row],[AÇÕES]],'Dados Status Invest'!A:Y,25,0)/100</f>
        <v/>
      </c>
      <c r="S661" s="62">
        <f>(1-Table_1[[#This Row],[PAYOUT]])*Table_1[[#This Row],[ROE]]</f>
        <v/>
      </c>
      <c r="T661" s="98">
        <f>AVERAGE(Table_1[[#This Row],[CAGR LUCRO 5A]],Table_1[[#This Row],[CRESCIMENTO DAMODARAN]])</f>
        <v/>
      </c>
      <c r="U661" s="64">
        <f>(Table_1[[#This Row],[PREÇO JUSTO BAZIN]]-Table_1[[#This Row],[PREÇO]])/Table_1[[#This Row],[PREÇO JUSTO BAZIN]]</f>
        <v/>
      </c>
      <c r="V661" s="129">
        <f>Table_1[[#This Row],[DPA]]/6%</f>
        <v/>
      </c>
      <c r="W661" s="129">
        <f>Table_1[[#This Row],[PREÇO JUSTO BAZIN]]/(1+Table_1[[#This Row],[MARGEM DE DESCONTO]])</f>
        <v/>
      </c>
      <c r="X661" s="64">
        <f>(Table_1[[#This Row],[PREÇO JUSTO GRAHAM]]-Table_1[[#This Row],[PREÇO]])/Table_1[[#This Row],[PREÇO JUSTO GRAHAM]]</f>
        <v/>
      </c>
      <c r="Y661" s="129">
        <f>(22.5*Table_1[[#This Row],[LPA]]*Table_1[[#This Row],[VPA]])^0.5</f>
        <v/>
      </c>
      <c r="Z661" s="129">
        <f>Table_1[[#This Row],[PREÇO JUSTO GRAHAM]]/(1+Table_1[[#This Row],[MARGEM DE DESCONTO]])</f>
        <v/>
      </c>
      <c r="AA661" s="64">
        <f>(Table_1[[#This Row],[PREÇO JUSTO GORDON]]-Table_1[[#This Row],[PREÇO]])/Table_1[[#This Row],[PREÇO JUSTO GORDON]]</f>
        <v/>
      </c>
      <c r="AB661" s="130">
        <f>Table_1[[#This Row],[DPA]]*(1+Table_1[[#This Row],[MÉDIA DE CRESCIMENTO]])</f>
        <v/>
      </c>
      <c r="AC661" s="130">
        <f>Table_1[[#This Row],[D1]]/(Table_1[[#This Row],[RISCO]]-Table_1[[#This Row],[MÉDIA DE CRESCIMENTO]])</f>
        <v/>
      </c>
      <c r="AD661" s="130">
        <f>Table_1[[#This Row],[PREÇO JUSTO GORDON]]/(1+Table_1[[#This Row],[MARGEM DE DESCONTO]])</f>
        <v/>
      </c>
      <c r="AE661" s="78">
        <f>Table_1[[#This Row],[P/L]]/Table_1[[#This Row],[MÉDIA DE CRESCIMENTO]]</f>
        <v/>
      </c>
    </row>
    <row r="662" ht="15.75" customHeight="1">
      <c r="B662" s="77">
        <f>'Dados Status Invest'!A648</f>
        <v/>
      </c>
      <c r="C662" s="60">
        <f>VLOOKUP(Table_1[[#This Row],[AÇÕES]],'Classificação B3'!A:B,2,0)</f>
        <v/>
      </c>
      <c r="D662" s="60">
        <f>VLOOKUP(Table_1[[#This Row],[AÇÕES]],'Classificação B3'!A:D,4,0)</f>
        <v/>
      </c>
      <c r="E662" s="60">
        <f>VLOOKUP(Table_1[[#This Row],[AÇÕES]],'Classificação B3'!A:F,6,0)</f>
        <v/>
      </c>
      <c r="F662" s="60">
        <f>VLOOKUP(Table_1[[#This Row],[AÇÕES]],'Classificação B3'!A:G,7,0)</f>
        <v/>
      </c>
      <c r="G662" s="61">
        <f>VLOOKUP(Table_1[[#This Row],[AÇÕES]],'Dados Status Invest'!A:B,2,0)</f>
        <v/>
      </c>
      <c r="H662" s="62">
        <f>VLOOKUP(Table_1[[#This Row],[AÇÕES]],'Dados Status Invest'!A:C,3,0)/100</f>
        <v/>
      </c>
      <c r="I662" s="62">
        <f>VLOOKUP(Table_1[[#This Row],[AÇÕES]],'Dados Status Invest'!A:D,4,0)/100</f>
        <v/>
      </c>
      <c r="J662" s="63">
        <f>VLOOKUP(Table_1[[#This Row],[AÇÕES]],'Dados Status Invest'!A:AB,28,0)</f>
        <v/>
      </c>
      <c r="K662" s="63">
        <f>VLOOKUP(Table_1[[#This Row],[AÇÕES]],'Dados Status Invest'!A:AA,27,0)</f>
        <v/>
      </c>
      <c r="L662" s="63">
        <f>Table_1[[#This Row],[PREÇO]]*Table_1[[#This Row],[DY]]</f>
        <v/>
      </c>
      <c r="M662" s="67">
        <f>$E$13</f>
        <v/>
      </c>
      <c r="N662" s="62" t="n">
        <v>0.3</v>
      </c>
      <c r="O662" s="62">
        <f>Table_1[[#This Row],[DPA]]/Table_1[[#This Row],[LPA]]</f>
        <v/>
      </c>
      <c r="P662" s="62">
        <f>IF(Table_1[[#This Row],[PAYOUT]]&lt;=40%,"CRESCIMENTO",IF(Table_1[[#This Row],[PAYOUT]]&lt;=60%,"INDEFINIDO","DIVIDENDOS"))</f>
        <v/>
      </c>
      <c r="Q662" s="62">
        <f>VLOOKUP(Table_1[[#This Row],[AÇÕES]],'Dados Status Invest'!A:R,18,0)/100</f>
        <v/>
      </c>
      <c r="R662" s="62">
        <f>VLOOKUP(Table_1[[#This Row],[AÇÕES]],'Dados Status Invest'!A:Y,25,0)/100</f>
        <v/>
      </c>
      <c r="S662" s="62">
        <f>(1-Table_1[[#This Row],[PAYOUT]])*Table_1[[#This Row],[ROE]]</f>
        <v/>
      </c>
      <c r="T662" s="98">
        <f>AVERAGE(Table_1[[#This Row],[CAGR LUCRO 5A]],Table_1[[#This Row],[CRESCIMENTO DAMODARAN]])</f>
        <v/>
      </c>
      <c r="U662" s="64">
        <f>(Table_1[[#This Row],[PREÇO JUSTO BAZIN]]-Table_1[[#This Row],[PREÇO]])/Table_1[[#This Row],[PREÇO JUSTO BAZIN]]</f>
        <v/>
      </c>
      <c r="V662" s="129">
        <f>Table_1[[#This Row],[DPA]]/6%</f>
        <v/>
      </c>
      <c r="W662" s="129">
        <f>Table_1[[#This Row],[PREÇO JUSTO BAZIN]]/(1+Table_1[[#This Row],[MARGEM DE DESCONTO]])</f>
        <v/>
      </c>
      <c r="X662" s="64">
        <f>(Table_1[[#This Row],[PREÇO JUSTO GRAHAM]]-Table_1[[#This Row],[PREÇO]])/Table_1[[#This Row],[PREÇO JUSTO GRAHAM]]</f>
        <v/>
      </c>
      <c r="Y662" s="129">
        <f>(22.5*Table_1[[#This Row],[LPA]]*Table_1[[#This Row],[VPA]])^0.5</f>
        <v/>
      </c>
      <c r="Z662" s="129">
        <f>Table_1[[#This Row],[PREÇO JUSTO GRAHAM]]/(1+Table_1[[#This Row],[MARGEM DE DESCONTO]])</f>
        <v/>
      </c>
      <c r="AA662" s="64">
        <f>(Table_1[[#This Row],[PREÇO JUSTO GORDON]]-Table_1[[#This Row],[PREÇO]])/Table_1[[#This Row],[PREÇO JUSTO GORDON]]</f>
        <v/>
      </c>
      <c r="AB662" s="130">
        <f>Table_1[[#This Row],[DPA]]*(1+Table_1[[#This Row],[MÉDIA DE CRESCIMENTO]])</f>
        <v/>
      </c>
      <c r="AC662" s="130">
        <f>Table_1[[#This Row],[D1]]/(Table_1[[#This Row],[RISCO]]-Table_1[[#This Row],[MÉDIA DE CRESCIMENTO]])</f>
        <v/>
      </c>
      <c r="AD662" s="130">
        <f>Table_1[[#This Row],[PREÇO JUSTO GORDON]]/(1+Table_1[[#This Row],[MARGEM DE DESCONTO]])</f>
        <v/>
      </c>
      <c r="AE662" s="78">
        <f>Table_1[[#This Row],[P/L]]/Table_1[[#This Row],[MÉDIA DE CRESCIMENTO]]</f>
        <v/>
      </c>
    </row>
    <row r="663" ht="15.75" customHeight="1">
      <c r="B663" s="77">
        <f>'Dados Status Invest'!A649</f>
        <v/>
      </c>
      <c r="C663" s="60">
        <f>VLOOKUP(Table_1[[#This Row],[AÇÕES]],'Classificação B3'!A:B,2,0)</f>
        <v/>
      </c>
      <c r="D663" s="60">
        <f>VLOOKUP(Table_1[[#This Row],[AÇÕES]],'Classificação B3'!A:D,4,0)</f>
        <v/>
      </c>
      <c r="E663" s="60">
        <f>VLOOKUP(Table_1[[#This Row],[AÇÕES]],'Classificação B3'!A:F,6,0)</f>
        <v/>
      </c>
      <c r="F663" s="60">
        <f>VLOOKUP(Table_1[[#This Row],[AÇÕES]],'Classificação B3'!A:G,7,0)</f>
        <v/>
      </c>
      <c r="G663" s="61">
        <f>VLOOKUP(Table_1[[#This Row],[AÇÕES]],'Dados Status Invest'!A:B,2,0)</f>
        <v/>
      </c>
      <c r="H663" s="62">
        <f>VLOOKUP(Table_1[[#This Row],[AÇÕES]],'Dados Status Invest'!A:C,3,0)/100</f>
        <v/>
      </c>
      <c r="I663" s="62">
        <f>VLOOKUP(Table_1[[#This Row],[AÇÕES]],'Dados Status Invest'!A:D,4,0)/100</f>
        <v/>
      </c>
      <c r="J663" s="63">
        <f>VLOOKUP(Table_1[[#This Row],[AÇÕES]],'Dados Status Invest'!A:AB,28,0)</f>
        <v/>
      </c>
      <c r="K663" s="63">
        <f>VLOOKUP(Table_1[[#This Row],[AÇÕES]],'Dados Status Invest'!A:AA,27,0)</f>
        <v/>
      </c>
      <c r="L663" s="63">
        <f>Table_1[[#This Row],[PREÇO]]*Table_1[[#This Row],[DY]]</f>
        <v/>
      </c>
      <c r="M663" s="67">
        <f>$E$13</f>
        <v/>
      </c>
      <c r="N663" s="62" t="n">
        <v>0.3</v>
      </c>
      <c r="O663" s="62">
        <f>Table_1[[#This Row],[DPA]]/Table_1[[#This Row],[LPA]]</f>
        <v/>
      </c>
      <c r="P663" s="62">
        <f>IF(Table_1[[#This Row],[PAYOUT]]&lt;=40%,"CRESCIMENTO",IF(Table_1[[#This Row],[PAYOUT]]&lt;=60%,"INDEFINIDO","DIVIDENDOS"))</f>
        <v/>
      </c>
      <c r="Q663" s="62">
        <f>VLOOKUP(Table_1[[#This Row],[AÇÕES]],'Dados Status Invest'!A:R,18,0)/100</f>
        <v/>
      </c>
      <c r="R663" s="62">
        <f>VLOOKUP(Table_1[[#This Row],[AÇÕES]],'Dados Status Invest'!A:Y,25,0)/100</f>
        <v/>
      </c>
      <c r="S663" s="62">
        <f>(1-Table_1[[#This Row],[PAYOUT]])*Table_1[[#This Row],[ROE]]</f>
        <v/>
      </c>
      <c r="T663" s="98">
        <f>AVERAGE(Table_1[[#This Row],[CAGR LUCRO 5A]],Table_1[[#This Row],[CRESCIMENTO DAMODARAN]])</f>
        <v/>
      </c>
      <c r="U663" s="64">
        <f>(Table_1[[#This Row],[PREÇO JUSTO BAZIN]]-Table_1[[#This Row],[PREÇO]])/Table_1[[#This Row],[PREÇO JUSTO BAZIN]]</f>
        <v/>
      </c>
      <c r="V663" s="129">
        <f>Table_1[[#This Row],[DPA]]/6%</f>
        <v/>
      </c>
      <c r="W663" s="129">
        <f>Table_1[[#This Row],[PREÇO JUSTO BAZIN]]/(1+Table_1[[#This Row],[MARGEM DE DESCONTO]])</f>
        <v/>
      </c>
      <c r="X663" s="64">
        <f>(Table_1[[#This Row],[PREÇO JUSTO GRAHAM]]-Table_1[[#This Row],[PREÇO]])/Table_1[[#This Row],[PREÇO JUSTO GRAHAM]]</f>
        <v/>
      </c>
      <c r="Y663" s="129">
        <f>(22.5*Table_1[[#This Row],[LPA]]*Table_1[[#This Row],[VPA]])^0.5</f>
        <v/>
      </c>
      <c r="Z663" s="129">
        <f>Table_1[[#This Row],[PREÇO JUSTO GRAHAM]]/(1+Table_1[[#This Row],[MARGEM DE DESCONTO]])</f>
        <v/>
      </c>
      <c r="AA663" s="64">
        <f>(Table_1[[#This Row],[PREÇO JUSTO GORDON]]-Table_1[[#This Row],[PREÇO]])/Table_1[[#This Row],[PREÇO JUSTO GORDON]]</f>
        <v/>
      </c>
      <c r="AB663" s="130">
        <f>Table_1[[#This Row],[DPA]]*(1+Table_1[[#This Row],[MÉDIA DE CRESCIMENTO]])</f>
        <v/>
      </c>
      <c r="AC663" s="130">
        <f>Table_1[[#This Row],[D1]]/(Table_1[[#This Row],[RISCO]]-Table_1[[#This Row],[MÉDIA DE CRESCIMENTO]])</f>
        <v/>
      </c>
      <c r="AD663" s="130">
        <f>Table_1[[#This Row],[PREÇO JUSTO GORDON]]/(1+Table_1[[#This Row],[MARGEM DE DESCONTO]])</f>
        <v/>
      </c>
      <c r="AE663" s="78">
        <f>Table_1[[#This Row],[P/L]]/Table_1[[#This Row],[MÉDIA DE CRESCIMENTO]]</f>
        <v/>
      </c>
    </row>
    <row r="664" ht="15.75" customHeight="1">
      <c r="B664" s="77">
        <f>'Dados Status Invest'!A650</f>
        <v/>
      </c>
      <c r="C664" s="60">
        <f>VLOOKUP(Table_1[[#This Row],[AÇÕES]],'Classificação B3'!A:B,2,0)</f>
        <v/>
      </c>
      <c r="D664" s="60">
        <f>VLOOKUP(Table_1[[#This Row],[AÇÕES]],'Classificação B3'!A:D,4,0)</f>
        <v/>
      </c>
      <c r="E664" s="60">
        <f>VLOOKUP(Table_1[[#This Row],[AÇÕES]],'Classificação B3'!A:F,6,0)</f>
        <v/>
      </c>
      <c r="F664" s="60">
        <f>VLOOKUP(Table_1[[#This Row],[AÇÕES]],'Classificação B3'!A:G,7,0)</f>
        <v/>
      </c>
      <c r="G664" s="61">
        <f>VLOOKUP(Table_1[[#This Row],[AÇÕES]],'Dados Status Invest'!A:B,2,0)</f>
        <v/>
      </c>
      <c r="H664" s="62">
        <f>VLOOKUP(Table_1[[#This Row],[AÇÕES]],'Dados Status Invest'!A:C,3,0)/100</f>
        <v/>
      </c>
      <c r="I664" s="62">
        <f>VLOOKUP(Table_1[[#This Row],[AÇÕES]],'Dados Status Invest'!A:D,4,0)/100</f>
        <v/>
      </c>
      <c r="J664" s="63">
        <f>VLOOKUP(Table_1[[#This Row],[AÇÕES]],'Dados Status Invest'!A:AB,28,0)</f>
        <v/>
      </c>
      <c r="K664" s="63">
        <f>VLOOKUP(Table_1[[#This Row],[AÇÕES]],'Dados Status Invest'!A:AA,27,0)</f>
        <v/>
      </c>
      <c r="L664" s="63">
        <f>Table_1[[#This Row],[PREÇO]]*Table_1[[#This Row],[DY]]</f>
        <v/>
      </c>
      <c r="M664" s="67">
        <f>$E$13</f>
        <v/>
      </c>
      <c r="N664" s="62" t="n">
        <v>0.3</v>
      </c>
      <c r="O664" s="62">
        <f>Table_1[[#This Row],[DPA]]/Table_1[[#This Row],[LPA]]</f>
        <v/>
      </c>
      <c r="P664" s="62">
        <f>IF(Table_1[[#This Row],[PAYOUT]]&lt;=40%,"CRESCIMENTO",IF(Table_1[[#This Row],[PAYOUT]]&lt;=60%,"INDEFINIDO","DIVIDENDOS"))</f>
        <v/>
      </c>
      <c r="Q664" s="62">
        <f>VLOOKUP(Table_1[[#This Row],[AÇÕES]],'Dados Status Invest'!A:R,18,0)/100</f>
        <v/>
      </c>
      <c r="R664" s="62">
        <f>VLOOKUP(Table_1[[#This Row],[AÇÕES]],'Dados Status Invest'!A:Y,25,0)/100</f>
        <v/>
      </c>
      <c r="S664" s="62">
        <f>(1-Table_1[[#This Row],[PAYOUT]])*Table_1[[#This Row],[ROE]]</f>
        <v/>
      </c>
      <c r="T664" s="98">
        <f>AVERAGE(Table_1[[#This Row],[CAGR LUCRO 5A]],Table_1[[#This Row],[CRESCIMENTO DAMODARAN]])</f>
        <v/>
      </c>
      <c r="U664" s="64">
        <f>(Table_1[[#This Row],[PREÇO JUSTO BAZIN]]-Table_1[[#This Row],[PREÇO]])/Table_1[[#This Row],[PREÇO JUSTO BAZIN]]</f>
        <v/>
      </c>
      <c r="V664" s="129">
        <f>Table_1[[#This Row],[DPA]]/6%</f>
        <v/>
      </c>
      <c r="W664" s="129">
        <f>Table_1[[#This Row],[PREÇO JUSTO BAZIN]]/(1+Table_1[[#This Row],[MARGEM DE DESCONTO]])</f>
        <v/>
      </c>
      <c r="X664" s="64">
        <f>(Table_1[[#This Row],[PREÇO JUSTO GRAHAM]]-Table_1[[#This Row],[PREÇO]])/Table_1[[#This Row],[PREÇO JUSTO GRAHAM]]</f>
        <v/>
      </c>
      <c r="Y664" s="129">
        <f>(22.5*Table_1[[#This Row],[LPA]]*Table_1[[#This Row],[VPA]])^0.5</f>
        <v/>
      </c>
      <c r="Z664" s="129">
        <f>Table_1[[#This Row],[PREÇO JUSTO GRAHAM]]/(1+Table_1[[#This Row],[MARGEM DE DESCONTO]])</f>
        <v/>
      </c>
      <c r="AA664" s="64">
        <f>(Table_1[[#This Row],[PREÇO JUSTO GORDON]]-Table_1[[#This Row],[PREÇO]])/Table_1[[#This Row],[PREÇO JUSTO GORDON]]</f>
        <v/>
      </c>
      <c r="AB664" s="130">
        <f>Table_1[[#This Row],[DPA]]*(1+Table_1[[#This Row],[MÉDIA DE CRESCIMENTO]])</f>
        <v/>
      </c>
      <c r="AC664" s="130">
        <f>Table_1[[#This Row],[D1]]/(Table_1[[#This Row],[RISCO]]-Table_1[[#This Row],[MÉDIA DE CRESCIMENTO]])</f>
        <v/>
      </c>
      <c r="AD664" s="130">
        <f>Table_1[[#This Row],[PREÇO JUSTO GORDON]]/(1+Table_1[[#This Row],[MARGEM DE DESCONTO]])</f>
        <v/>
      </c>
      <c r="AE664" s="78">
        <f>Table_1[[#This Row],[P/L]]/Table_1[[#This Row],[MÉDIA DE CRESCIMENTO]]</f>
        <v/>
      </c>
    </row>
    <row r="665" ht="15.75" customHeight="1">
      <c r="B665" s="77">
        <f>'Dados Status Invest'!A651</f>
        <v/>
      </c>
      <c r="C665" s="60">
        <f>VLOOKUP(Table_1[[#This Row],[AÇÕES]],'Classificação B3'!A:B,2,0)</f>
        <v/>
      </c>
      <c r="D665" s="60">
        <f>VLOOKUP(Table_1[[#This Row],[AÇÕES]],'Classificação B3'!A:D,4,0)</f>
        <v/>
      </c>
      <c r="E665" s="60">
        <f>VLOOKUP(Table_1[[#This Row],[AÇÕES]],'Classificação B3'!A:F,6,0)</f>
        <v/>
      </c>
      <c r="F665" s="60">
        <f>VLOOKUP(Table_1[[#This Row],[AÇÕES]],'Classificação B3'!A:G,7,0)</f>
        <v/>
      </c>
      <c r="G665" s="61">
        <f>VLOOKUP(Table_1[[#This Row],[AÇÕES]],'Dados Status Invest'!A:B,2,0)</f>
        <v/>
      </c>
      <c r="H665" s="62">
        <f>VLOOKUP(Table_1[[#This Row],[AÇÕES]],'Dados Status Invest'!A:C,3,0)/100</f>
        <v/>
      </c>
      <c r="I665" s="62">
        <f>VLOOKUP(Table_1[[#This Row],[AÇÕES]],'Dados Status Invest'!A:D,4,0)/100</f>
        <v/>
      </c>
      <c r="J665" s="63">
        <f>VLOOKUP(Table_1[[#This Row],[AÇÕES]],'Dados Status Invest'!A:AB,28,0)</f>
        <v/>
      </c>
      <c r="K665" s="63">
        <f>VLOOKUP(Table_1[[#This Row],[AÇÕES]],'Dados Status Invest'!A:AA,27,0)</f>
        <v/>
      </c>
      <c r="L665" s="63">
        <f>Table_1[[#This Row],[PREÇO]]*Table_1[[#This Row],[DY]]</f>
        <v/>
      </c>
      <c r="M665" s="67">
        <f>$E$13</f>
        <v/>
      </c>
      <c r="N665" s="62" t="n">
        <v>0.3</v>
      </c>
      <c r="O665" s="62">
        <f>Table_1[[#This Row],[DPA]]/Table_1[[#This Row],[LPA]]</f>
        <v/>
      </c>
      <c r="P665" s="62">
        <f>IF(Table_1[[#This Row],[PAYOUT]]&lt;=40%,"CRESCIMENTO",IF(Table_1[[#This Row],[PAYOUT]]&lt;=60%,"INDEFINIDO","DIVIDENDOS"))</f>
        <v/>
      </c>
      <c r="Q665" s="62">
        <f>VLOOKUP(Table_1[[#This Row],[AÇÕES]],'Dados Status Invest'!A:R,18,0)/100</f>
        <v/>
      </c>
      <c r="R665" s="62">
        <f>VLOOKUP(Table_1[[#This Row],[AÇÕES]],'Dados Status Invest'!A:Y,25,0)/100</f>
        <v/>
      </c>
      <c r="S665" s="62">
        <f>(1-Table_1[[#This Row],[PAYOUT]])*Table_1[[#This Row],[ROE]]</f>
        <v/>
      </c>
      <c r="T665" s="98">
        <f>AVERAGE(Table_1[[#This Row],[CAGR LUCRO 5A]],Table_1[[#This Row],[CRESCIMENTO DAMODARAN]])</f>
        <v/>
      </c>
      <c r="U665" s="64">
        <f>(Table_1[[#This Row],[PREÇO JUSTO BAZIN]]-Table_1[[#This Row],[PREÇO]])/Table_1[[#This Row],[PREÇO JUSTO BAZIN]]</f>
        <v/>
      </c>
      <c r="V665" s="129">
        <f>Table_1[[#This Row],[DPA]]/6%</f>
        <v/>
      </c>
      <c r="W665" s="129">
        <f>Table_1[[#This Row],[PREÇO JUSTO BAZIN]]/(1+Table_1[[#This Row],[MARGEM DE DESCONTO]])</f>
        <v/>
      </c>
      <c r="X665" s="64">
        <f>(Table_1[[#This Row],[PREÇO JUSTO GRAHAM]]-Table_1[[#This Row],[PREÇO]])/Table_1[[#This Row],[PREÇO JUSTO GRAHAM]]</f>
        <v/>
      </c>
      <c r="Y665" s="129">
        <f>(22.5*Table_1[[#This Row],[LPA]]*Table_1[[#This Row],[VPA]])^0.5</f>
        <v/>
      </c>
      <c r="Z665" s="129">
        <f>Table_1[[#This Row],[PREÇO JUSTO GRAHAM]]/(1+Table_1[[#This Row],[MARGEM DE DESCONTO]])</f>
        <v/>
      </c>
      <c r="AA665" s="64">
        <f>(Table_1[[#This Row],[PREÇO JUSTO GORDON]]-Table_1[[#This Row],[PREÇO]])/Table_1[[#This Row],[PREÇO JUSTO GORDON]]</f>
        <v/>
      </c>
      <c r="AB665" s="130">
        <f>Table_1[[#This Row],[DPA]]*(1+Table_1[[#This Row],[MÉDIA DE CRESCIMENTO]])</f>
        <v/>
      </c>
      <c r="AC665" s="130">
        <f>Table_1[[#This Row],[D1]]/(Table_1[[#This Row],[RISCO]]-Table_1[[#This Row],[MÉDIA DE CRESCIMENTO]])</f>
        <v/>
      </c>
      <c r="AD665" s="130">
        <f>Table_1[[#This Row],[PREÇO JUSTO GORDON]]/(1+Table_1[[#This Row],[MARGEM DE DESCONTO]])</f>
        <v/>
      </c>
      <c r="AE665" s="78">
        <f>Table_1[[#This Row],[P/L]]/Table_1[[#This Row],[MÉDIA DE CRESCIMENTO]]</f>
        <v/>
      </c>
    </row>
    <row r="666" ht="15.75" customHeight="1">
      <c r="B666" s="77">
        <f>'Dados Status Invest'!A652</f>
        <v/>
      </c>
      <c r="C666" s="60">
        <f>VLOOKUP(Table_1[[#This Row],[AÇÕES]],'Classificação B3'!A:B,2,0)</f>
        <v/>
      </c>
      <c r="D666" s="60">
        <f>VLOOKUP(Table_1[[#This Row],[AÇÕES]],'Classificação B3'!A:D,4,0)</f>
        <v/>
      </c>
      <c r="E666" s="60">
        <f>VLOOKUP(Table_1[[#This Row],[AÇÕES]],'Classificação B3'!A:F,6,0)</f>
        <v/>
      </c>
      <c r="F666" s="60">
        <f>VLOOKUP(Table_1[[#This Row],[AÇÕES]],'Classificação B3'!A:G,7,0)</f>
        <v/>
      </c>
      <c r="G666" s="61">
        <f>VLOOKUP(Table_1[[#This Row],[AÇÕES]],'Dados Status Invest'!A:B,2,0)</f>
        <v/>
      </c>
      <c r="H666" s="62">
        <f>VLOOKUP(Table_1[[#This Row],[AÇÕES]],'Dados Status Invest'!A:C,3,0)/100</f>
        <v/>
      </c>
      <c r="I666" s="62">
        <f>VLOOKUP(Table_1[[#This Row],[AÇÕES]],'Dados Status Invest'!A:D,4,0)/100</f>
        <v/>
      </c>
      <c r="J666" s="63">
        <f>VLOOKUP(Table_1[[#This Row],[AÇÕES]],'Dados Status Invest'!A:AB,28,0)</f>
        <v/>
      </c>
      <c r="K666" s="63">
        <f>VLOOKUP(Table_1[[#This Row],[AÇÕES]],'Dados Status Invest'!A:AA,27,0)</f>
        <v/>
      </c>
      <c r="L666" s="63">
        <f>Table_1[[#This Row],[PREÇO]]*Table_1[[#This Row],[DY]]</f>
        <v/>
      </c>
      <c r="M666" s="67">
        <f>$E$13</f>
        <v/>
      </c>
      <c r="N666" s="62" t="n">
        <v>0.3</v>
      </c>
      <c r="O666" s="62">
        <f>Table_1[[#This Row],[DPA]]/Table_1[[#This Row],[LPA]]</f>
        <v/>
      </c>
      <c r="P666" s="62">
        <f>IF(Table_1[[#This Row],[PAYOUT]]&lt;=40%,"CRESCIMENTO",IF(Table_1[[#This Row],[PAYOUT]]&lt;=60%,"INDEFINIDO","DIVIDENDOS"))</f>
        <v/>
      </c>
      <c r="Q666" s="62">
        <f>VLOOKUP(Table_1[[#This Row],[AÇÕES]],'Dados Status Invest'!A:R,18,0)/100</f>
        <v/>
      </c>
      <c r="R666" s="62">
        <f>VLOOKUP(Table_1[[#This Row],[AÇÕES]],'Dados Status Invest'!A:Y,25,0)/100</f>
        <v/>
      </c>
      <c r="S666" s="62">
        <f>(1-Table_1[[#This Row],[PAYOUT]])*Table_1[[#This Row],[ROE]]</f>
        <v/>
      </c>
      <c r="T666" s="98">
        <f>AVERAGE(Table_1[[#This Row],[CAGR LUCRO 5A]],Table_1[[#This Row],[CRESCIMENTO DAMODARAN]])</f>
        <v/>
      </c>
      <c r="U666" s="64">
        <f>(Table_1[[#This Row],[PREÇO JUSTO BAZIN]]-Table_1[[#This Row],[PREÇO]])/Table_1[[#This Row],[PREÇO JUSTO BAZIN]]</f>
        <v/>
      </c>
      <c r="V666" s="129">
        <f>Table_1[[#This Row],[DPA]]/6%</f>
        <v/>
      </c>
      <c r="W666" s="129">
        <f>Table_1[[#This Row],[PREÇO JUSTO BAZIN]]/(1+Table_1[[#This Row],[MARGEM DE DESCONTO]])</f>
        <v/>
      </c>
      <c r="X666" s="64">
        <f>(Table_1[[#This Row],[PREÇO JUSTO GRAHAM]]-Table_1[[#This Row],[PREÇO]])/Table_1[[#This Row],[PREÇO JUSTO GRAHAM]]</f>
        <v/>
      </c>
      <c r="Y666" s="129">
        <f>(22.5*Table_1[[#This Row],[LPA]]*Table_1[[#This Row],[VPA]])^0.5</f>
        <v/>
      </c>
      <c r="Z666" s="129">
        <f>Table_1[[#This Row],[PREÇO JUSTO GRAHAM]]/(1+Table_1[[#This Row],[MARGEM DE DESCONTO]])</f>
        <v/>
      </c>
      <c r="AA666" s="64">
        <f>(Table_1[[#This Row],[PREÇO JUSTO GORDON]]-Table_1[[#This Row],[PREÇO]])/Table_1[[#This Row],[PREÇO JUSTO GORDON]]</f>
        <v/>
      </c>
      <c r="AB666" s="130">
        <f>Table_1[[#This Row],[DPA]]*(1+Table_1[[#This Row],[MÉDIA DE CRESCIMENTO]])</f>
        <v/>
      </c>
      <c r="AC666" s="130">
        <f>Table_1[[#This Row],[D1]]/(Table_1[[#This Row],[RISCO]]-Table_1[[#This Row],[MÉDIA DE CRESCIMENTO]])</f>
        <v/>
      </c>
      <c r="AD666" s="130">
        <f>Table_1[[#This Row],[PREÇO JUSTO GORDON]]/(1+Table_1[[#This Row],[MARGEM DE DESCONTO]])</f>
        <v/>
      </c>
      <c r="AE666" s="78">
        <f>Table_1[[#This Row],[P/L]]/Table_1[[#This Row],[MÉDIA DE CRESCIMENTO]]</f>
        <v/>
      </c>
    </row>
    <row r="667" ht="15.75" customHeight="1">
      <c r="B667" s="77">
        <f>'Dados Status Invest'!A653</f>
        <v/>
      </c>
      <c r="C667" s="60">
        <f>VLOOKUP(Table_1[[#This Row],[AÇÕES]],'Classificação B3'!A:B,2,0)</f>
        <v/>
      </c>
      <c r="D667" s="60">
        <f>VLOOKUP(Table_1[[#This Row],[AÇÕES]],'Classificação B3'!A:D,4,0)</f>
        <v/>
      </c>
      <c r="E667" s="60">
        <f>VLOOKUP(Table_1[[#This Row],[AÇÕES]],'Classificação B3'!A:F,6,0)</f>
        <v/>
      </c>
      <c r="F667" s="60">
        <f>VLOOKUP(Table_1[[#This Row],[AÇÕES]],'Classificação B3'!A:G,7,0)</f>
        <v/>
      </c>
      <c r="G667" s="61">
        <f>VLOOKUP(Table_1[[#This Row],[AÇÕES]],'Dados Status Invest'!A:B,2,0)</f>
        <v/>
      </c>
      <c r="H667" s="62">
        <f>VLOOKUP(Table_1[[#This Row],[AÇÕES]],'Dados Status Invest'!A:C,3,0)/100</f>
        <v/>
      </c>
      <c r="I667" s="62">
        <f>VLOOKUP(Table_1[[#This Row],[AÇÕES]],'Dados Status Invest'!A:D,4,0)/100</f>
        <v/>
      </c>
      <c r="J667" s="63">
        <f>VLOOKUP(Table_1[[#This Row],[AÇÕES]],'Dados Status Invest'!A:AB,28,0)</f>
        <v/>
      </c>
      <c r="K667" s="63">
        <f>VLOOKUP(Table_1[[#This Row],[AÇÕES]],'Dados Status Invest'!A:AA,27,0)</f>
        <v/>
      </c>
      <c r="L667" s="63">
        <f>Table_1[[#This Row],[PREÇO]]*Table_1[[#This Row],[DY]]</f>
        <v/>
      </c>
      <c r="M667" s="67">
        <f>$E$13</f>
        <v/>
      </c>
      <c r="N667" s="62" t="n">
        <v>0.3</v>
      </c>
      <c r="O667" s="62">
        <f>Table_1[[#This Row],[DPA]]/Table_1[[#This Row],[LPA]]</f>
        <v/>
      </c>
      <c r="P667" s="62">
        <f>IF(Table_1[[#This Row],[PAYOUT]]&lt;=40%,"CRESCIMENTO",IF(Table_1[[#This Row],[PAYOUT]]&lt;=60%,"INDEFINIDO","DIVIDENDOS"))</f>
        <v/>
      </c>
      <c r="Q667" s="62">
        <f>VLOOKUP(Table_1[[#This Row],[AÇÕES]],'Dados Status Invest'!A:R,18,0)/100</f>
        <v/>
      </c>
      <c r="R667" s="62">
        <f>VLOOKUP(Table_1[[#This Row],[AÇÕES]],'Dados Status Invest'!A:Y,25,0)/100</f>
        <v/>
      </c>
      <c r="S667" s="62">
        <f>(1-Table_1[[#This Row],[PAYOUT]])*Table_1[[#This Row],[ROE]]</f>
        <v/>
      </c>
      <c r="T667" s="98">
        <f>AVERAGE(Table_1[[#This Row],[CAGR LUCRO 5A]],Table_1[[#This Row],[CRESCIMENTO DAMODARAN]])</f>
        <v/>
      </c>
      <c r="U667" s="64">
        <f>(Table_1[[#This Row],[PREÇO JUSTO BAZIN]]-Table_1[[#This Row],[PREÇO]])/Table_1[[#This Row],[PREÇO JUSTO BAZIN]]</f>
        <v/>
      </c>
      <c r="V667" s="129">
        <f>Table_1[[#This Row],[DPA]]/6%</f>
        <v/>
      </c>
      <c r="W667" s="129">
        <f>Table_1[[#This Row],[PREÇO JUSTO BAZIN]]/(1+Table_1[[#This Row],[MARGEM DE DESCONTO]])</f>
        <v/>
      </c>
      <c r="X667" s="64">
        <f>(Table_1[[#This Row],[PREÇO JUSTO GRAHAM]]-Table_1[[#This Row],[PREÇO]])/Table_1[[#This Row],[PREÇO JUSTO GRAHAM]]</f>
        <v/>
      </c>
      <c r="Y667" s="129">
        <f>(22.5*Table_1[[#This Row],[LPA]]*Table_1[[#This Row],[VPA]])^0.5</f>
        <v/>
      </c>
      <c r="Z667" s="129">
        <f>Table_1[[#This Row],[PREÇO JUSTO GRAHAM]]/(1+Table_1[[#This Row],[MARGEM DE DESCONTO]])</f>
        <v/>
      </c>
      <c r="AA667" s="64">
        <f>(Table_1[[#This Row],[PREÇO JUSTO GORDON]]-Table_1[[#This Row],[PREÇO]])/Table_1[[#This Row],[PREÇO JUSTO GORDON]]</f>
        <v/>
      </c>
      <c r="AB667" s="130">
        <f>Table_1[[#This Row],[DPA]]*(1+Table_1[[#This Row],[MÉDIA DE CRESCIMENTO]])</f>
        <v/>
      </c>
      <c r="AC667" s="130">
        <f>Table_1[[#This Row],[D1]]/(Table_1[[#This Row],[RISCO]]-Table_1[[#This Row],[MÉDIA DE CRESCIMENTO]])</f>
        <v/>
      </c>
      <c r="AD667" s="130">
        <f>Table_1[[#This Row],[PREÇO JUSTO GORDON]]/(1+Table_1[[#This Row],[MARGEM DE DESCONTO]])</f>
        <v/>
      </c>
      <c r="AE667" s="78">
        <f>Table_1[[#This Row],[P/L]]/Table_1[[#This Row],[MÉDIA DE CRESCIMENTO]]</f>
        <v/>
      </c>
    </row>
    <row r="668" ht="15.75" customHeight="1">
      <c r="B668" s="77">
        <f>'Dados Status Invest'!A654</f>
        <v/>
      </c>
      <c r="C668" s="60">
        <f>VLOOKUP(Table_1[[#This Row],[AÇÕES]],'Classificação B3'!A:B,2,0)</f>
        <v/>
      </c>
      <c r="D668" s="60">
        <f>VLOOKUP(Table_1[[#This Row],[AÇÕES]],'Classificação B3'!A:D,4,0)</f>
        <v/>
      </c>
      <c r="E668" s="60">
        <f>VLOOKUP(Table_1[[#This Row],[AÇÕES]],'Classificação B3'!A:F,6,0)</f>
        <v/>
      </c>
      <c r="F668" s="60">
        <f>VLOOKUP(Table_1[[#This Row],[AÇÕES]],'Classificação B3'!A:G,7,0)</f>
        <v/>
      </c>
      <c r="G668" s="61">
        <f>VLOOKUP(Table_1[[#This Row],[AÇÕES]],'Dados Status Invest'!A:B,2,0)</f>
        <v/>
      </c>
      <c r="H668" s="62">
        <f>VLOOKUP(Table_1[[#This Row],[AÇÕES]],'Dados Status Invest'!A:C,3,0)/100</f>
        <v/>
      </c>
      <c r="I668" s="62">
        <f>VLOOKUP(Table_1[[#This Row],[AÇÕES]],'Dados Status Invest'!A:D,4,0)/100</f>
        <v/>
      </c>
      <c r="J668" s="63">
        <f>VLOOKUP(Table_1[[#This Row],[AÇÕES]],'Dados Status Invest'!A:AB,28,0)</f>
        <v/>
      </c>
      <c r="K668" s="63">
        <f>VLOOKUP(Table_1[[#This Row],[AÇÕES]],'Dados Status Invest'!A:AA,27,0)</f>
        <v/>
      </c>
      <c r="L668" s="63">
        <f>Table_1[[#This Row],[PREÇO]]*Table_1[[#This Row],[DY]]</f>
        <v/>
      </c>
      <c r="M668" s="67">
        <f>$E$13</f>
        <v/>
      </c>
      <c r="N668" s="62" t="n">
        <v>0.3</v>
      </c>
      <c r="O668" s="62">
        <f>Table_1[[#This Row],[DPA]]/Table_1[[#This Row],[LPA]]</f>
        <v/>
      </c>
      <c r="P668" s="62">
        <f>IF(Table_1[[#This Row],[PAYOUT]]&lt;=40%,"CRESCIMENTO",IF(Table_1[[#This Row],[PAYOUT]]&lt;=60%,"INDEFINIDO","DIVIDENDOS"))</f>
        <v/>
      </c>
      <c r="Q668" s="62">
        <f>VLOOKUP(Table_1[[#This Row],[AÇÕES]],'Dados Status Invest'!A:R,18,0)/100</f>
        <v/>
      </c>
      <c r="R668" s="62">
        <f>VLOOKUP(Table_1[[#This Row],[AÇÕES]],'Dados Status Invest'!A:Y,25,0)/100</f>
        <v/>
      </c>
      <c r="S668" s="62">
        <f>(1-Table_1[[#This Row],[PAYOUT]])*Table_1[[#This Row],[ROE]]</f>
        <v/>
      </c>
      <c r="T668" s="98">
        <f>AVERAGE(Table_1[[#This Row],[CAGR LUCRO 5A]],Table_1[[#This Row],[CRESCIMENTO DAMODARAN]])</f>
        <v/>
      </c>
      <c r="U668" s="64">
        <f>(Table_1[[#This Row],[PREÇO JUSTO BAZIN]]-Table_1[[#This Row],[PREÇO]])/Table_1[[#This Row],[PREÇO JUSTO BAZIN]]</f>
        <v/>
      </c>
      <c r="V668" s="129">
        <f>Table_1[[#This Row],[DPA]]/6%</f>
        <v/>
      </c>
      <c r="W668" s="129">
        <f>Table_1[[#This Row],[PREÇO JUSTO BAZIN]]/(1+Table_1[[#This Row],[MARGEM DE DESCONTO]])</f>
        <v/>
      </c>
      <c r="X668" s="64">
        <f>(Table_1[[#This Row],[PREÇO JUSTO GRAHAM]]-Table_1[[#This Row],[PREÇO]])/Table_1[[#This Row],[PREÇO JUSTO GRAHAM]]</f>
        <v/>
      </c>
      <c r="Y668" s="129">
        <f>(22.5*Table_1[[#This Row],[LPA]]*Table_1[[#This Row],[VPA]])^0.5</f>
        <v/>
      </c>
      <c r="Z668" s="129">
        <f>Table_1[[#This Row],[PREÇO JUSTO GRAHAM]]/(1+Table_1[[#This Row],[MARGEM DE DESCONTO]])</f>
        <v/>
      </c>
      <c r="AA668" s="64">
        <f>(Table_1[[#This Row],[PREÇO JUSTO GORDON]]-Table_1[[#This Row],[PREÇO]])/Table_1[[#This Row],[PREÇO JUSTO GORDON]]</f>
        <v/>
      </c>
      <c r="AB668" s="130">
        <f>Table_1[[#This Row],[DPA]]*(1+Table_1[[#This Row],[MÉDIA DE CRESCIMENTO]])</f>
        <v/>
      </c>
      <c r="AC668" s="130">
        <f>Table_1[[#This Row],[D1]]/(Table_1[[#This Row],[RISCO]]-Table_1[[#This Row],[MÉDIA DE CRESCIMENTO]])</f>
        <v/>
      </c>
      <c r="AD668" s="130">
        <f>Table_1[[#This Row],[PREÇO JUSTO GORDON]]/(1+Table_1[[#This Row],[MARGEM DE DESCONTO]])</f>
        <v/>
      </c>
      <c r="AE668" s="78">
        <f>Table_1[[#This Row],[P/L]]/Table_1[[#This Row],[MÉDIA DE CRESCIMENTO]]</f>
        <v/>
      </c>
    </row>
    <row r="669" ht="15.75" customHeight="1">
      <c r="B669" s="77">
        <f>'Dados Status Invest'!A655</f>
        <v/>
      </c>
      <c r="C669" s="60">
        <f>VLOOKUP(Table_1[[#This Row],[AÇÕES]],'Classificação B3'!A:B,2,0)</f>
        <v/>
      </c>
      <c r="D669" s="60">
        <f>VLOOKUP(Table_1[[#This Row],[AÇÕES]],'Classificação B3'!A:D,4,0)</f>
        <v/>
      </c>
      <c r="E669" s="60">
        <f>VLOOKUP(Table_1[[#This Row],[AÇÕES]],'Classificação B3'!A:F,6,0)</f>
        <v/>
      </c>
      <c r="F669" s="60">
        <f>VLOOKUP(Table_1[[#This Row],[AÇÕES]],'Classificação B3'!A:G,7,0)</f>
        <v/>
      </c>
      <c r="G669" s="61">
        <f>VLOOKUP(Table_1[[#This Row],[AÇÕES]],'Dados Status Invest'!A:B,2,0)</f>
        <v/>
      </c>
      <c r="H669" s="62">
        <f>VLOOKUP(Table_1[[#This Row],[AÇÕES]],'Dados Status Invest'!A:C,3,0)/100</f>
        <v/>
      </c>
      <c r="I669" s="62">
        <f>VLOOKUP(Table_1[[#This Row],[AÇÕES]],'Dados Status Invest'!A:D,4,0)/100</f>
        <v/>
      </c>
      <c r="J669" s="63">
        <f>VLOOKUP(Table_1[[#This Row],[AÇÕES]],'Dados Status Invest'!A:AB,28,0)</f>
        <v/>
      </c>
      <c r="K669" s="63">
        <f>VLOOKUP(Table_1[[#This Row],[AÇÕES]],'Dados Status Invest'!A:AA,27,0)</f>
        <v/>
      </c>
      <c r="L669" s="63">
        <f>Table_1[[#This Row],[PREÇO]]*Table_1[[#This Row],[DY]]</f>
        <v/>
      </c>
      <c r="M669" s="67">
        <f>$E$13</f>
        <v/>
      </c>
      <c r="N669" s="62" t="n">
        <v>0.3</v>
      </c>
      <c r="O669" s="62">
        <f>Table_1[[#This Row],[DPA]]/Table_1[[#This Row],[LPA]]</f>
        <v/>
      </c>
      <c r="P669" s="62">
        <f>IF(Table_1[[#This Row],[PAYOUT]]&lt;=40%,"CRESCIMENTO",IF(Table_1[[#This Row],[PAYOUT]]&lt;=60%,"INDEFINIDO","DIVIDENDOS"))</f>
        <v/>
      </c>
      <c r="Q669" s="62">
        <f>VLOOKUP(Table_1[[#This Row],[AÇÕES]],'Dados Status Invest'!A:R,18,0)/100</f>
        <v/>
      </c>
      <c r="R669" s="62">
        <f>VLOOKUP(Table_1[[#This Row],[AÇÕES]],'Dados Status Invest'!A:Y,25,0)/100</f>
        <v/>
      </c>
      <c r="S669" s="62">
        <f>(1-Table_1[[#This Row],[PAYOUT]])*Table_1[[#This Row],[ROE]]</f>
        <v/>
      </c>
      <c r="T669" s="98">
        <f>AVERAGE(Table_1[[#This Row],[CAGR LUCRO 5A]],Table_1[[#This Row],[CRESCIMENTO DAMODARAN]])</f>
        <v/>
      </c>
      <c r="U669" s="64">
        <f>(Table_1[[#This Row],[PREÇO JUSTO BAZIN]]-Table_1[[#This Row],[PREÇO]])/Table_1[[#This Row],[PREÇO JUSTO BAZIN]]</f>
        <v/>
      </c>
      <c r="V669" s="129">
        <f>Table_1[[#This Row],[DPA]]/6%</f>
        <v/>
      </c>
      <c r="W669" s="129">
        <f>Table_1[[#This Row],[PREÇO JUSTO BAZIN]]/(1+Table_1[[#This Row],[MARGEM DE DESCONTO]])</f>
        <v/>
      </c>
      <c r="X669" s="64">
        <f>(Table_1[[#This Row],[PREÇO JUSTO GRAHAM]]-Table_1[[#This Row],[PREÇO]])/Table_1[[#This Row],[PREÇO JUSTO GRAHAM]]</f>
        <v/>
      </c>
      <c r="Y669" s="129">
        <f>(22.5*Table_1[[#This Row],[LPA]]*Table_1[[#This Row],[VPA]])^0.5</f>
        <v/>
      </c>
      <c r="Z669" s="129">
        <f>Table_1[[#This Row],[PREÇO JUSTO GRAHAM]]/(1+Table_1[[#This Row],[MARGEM DE DESCONTO]])</f>
        <v/>
      </c>
      <c r="AA669" s="64">
        <f>(Table_1[[#This Row],[PREÇO JUSTO GORDON]]-Table_1[[#This Row],[PREÇO]])/Table_1[[#This Row],[PREÇO JUSTO GORDON]]</f>
        <v/>
      </c>
      <c r="AB669" s="130">
        <f>Table_1[[#This Row],[DPA]]*(1+Table_1[[#This Row],[MÉDIA DE CRESCIMENTO]])</f>
        <v/>
      </c>
      <c r="AC669" s="130">
        <f>Table_1[[#This Row],[D1]]/(Table_1[[#This Row],[RISCO]]-Table_1[[#This Row],[MÉDIA DE CRESCIMENTO]])</f>
        <v/>
      </c>
      <c r="AD669" s="130">
        <f>Table_1[[#This Row],[PREÇO JUSTO GORDON]]/(1+Table_1[[#This Row],[MARGEM DE DESCONTO]])</f>
        <v/>
      </c>
      <c r="AE669" s="78">
        <f>Table_1[[#This Row],[P/L]]/Table_1[[#This Row],[MÉDIA DE CRESCIMENTO]]</f>
        <v/>
      </c>
    </row>
    <row r="670" ht="15.75" customHeight="1">
      <c r="B670" s="77">
        <f>'Dados Status Invest'!A656</f>
        <v/>
      </c>
      <c r="C670" s="60">
        <f>VLOOKUP(Table_1[[#This Row],[AÇÕES]],'Classificação B3'!A:B,2,0)</f>
        <v/>
      </c>
      <c r="D670" s="60">
        <f>VLOOKUP(Table_1[[#This Row],[AÇÕES]],'Classificação B3'!A:D,4,0)</f>
        <v/>
      </c>
      <c r="E670" s="60">
        <f>VLOOKUP(Table_1[[#This Row],[AÇÕES]],'Classificação B3'!A:F,6,0)</f>
        <v/>
      </c>
      <c r="F670" s="60">
        <f>VLOOKUP(Table_1[[#This Row],[AÇÕES]],'Classificação B3'!A:G,7,0)</f>
        <v/>
      </c>
      <c r="G670" s="61">
        <f>VLOOKUP(Table_1[[#This Row],[AÇÕES]],'Dados Status Invest'!A:B,2,0)</f>
        <v/>
      </c>
      <c r="H670" s="62">
        <f>VLOOKUP(Table_1[[#This Row],[AÇÕES]],'Dados Status Invest'!A:C,3,0)/100</f>
        <v/>
      </c>
      <c r="I670" s="62">
        <f>VLOOKUP(Table_1[[#This Row],[AÇÕES]],'Dados Status Invest'!A:D,4,0)/100</f>
        <v/>
      </c>
      <c r="J670" s="63">
        <f>VLOOKUP(Table_1[[#This Row],[AÇÕES]],'Dados Status Invest'!A:AB,28,0)</f>
        <v/>
      </c>
      <c r="K670" s="63">
        <f>VLOOKUP(Table_1[[#This Row],[AÇÕES]],'Dados Status Invest'!A:AA,27,0)</f>
        <v/>
      </c>
      <c r="L670" s="63">
        <f>Table_1[[#This Row],[PREÇO]]*Table_1[[#This Row],[DY]]</f>
        <v/>
      </c>
      <c r="M670" s="67">
        <f>$E$13</f>
        <v/>
      </c>
      <c r="N670" s="62" t="n">
        <v>0.3</v>
      </c>
      <c r="O670" s="62">
        <f>Table_1[[#This Row],[DPA]]/Table_1[[#This Row],[LPA]]</f>
        <v/>
      </c>
      <c r="P670" s="62">
        <f>IF(Table_1[[#This Row],[PAYOUT]]&lt;=40%,"CRESCIMENTO",IF(Table_1[[#This Row],[PAYOUT]]&lt;=60%,"INDEFINIDO","DIVIDENDOS"))</f>
        <v/>
      </c>
      <c r="Q670" s="62">
        <f>VLOOKUP(Table_1[[#This Row],[AÇÕES]],'Dados Status Invest'!A:R,18,0)/100</f>
        <v/>
      </c>
      <c r="R670" s="62">
        <f>VLOOKUP(Table_1[[#This Row],[AÇÕES]],'Dados Status Invest'!A:Y,25,0)/100</f>
        <v/>
      </c>
      <c r="S670" s="62">
        <f>(1-Table_1[[#This Row],[PAYOUT]])*Table_1[[#This Row],[ROE]]</f>
        <v/>
      </c>
      <c r="T670" s="98">
        <f>AVERAGE(Table_1[[#This Row],[CAGR LUCRO 5A]],Table_1[[#This Row],[CRESCIMENTO DAMODARAN]])</f>
        <v/>
      </c>
      <c r="U670" s="64">
        <f>(Table_1[[#This Row],[PREÇO JUSTO BAZIN]]-Table_1[[#This Row],[PREÇO]])/Table_1[[#This Row],[PREÇO JUSTO BAZIN]]</f>
        <v/>
      </c>
      <c r="V670" s="129">
        <f>Table_1[[#This Row],[DPA]]/6%</f>
        <v/>
      </c>
      <c r="W670" s="129">
        <f>Table_1[[#This Row],[PREÇO JUSTO BAZIN]]/(1+Table_1[[#This Row],[MARGEM DE DESCONTO]])</f>
        <v/>
      </c>
      <c r="X670" s="64">
        <f>(Table_1[[#This Row],[PREÇO JUSTO GRAHAM]]-Table_1[[#This Row],[PREÇO]])/Table_1[[#This Row],[PREÇO JUSTO GRAHAM]]</f>
        <v/>
      </c>
      <c r="Y670" s="129">
        <f>(22.5*Table_1[[#This Row],[LPA]]*Table_1[[#This Row],[VPA]])^0.5</f>
        <v/>
      </c>
      <c r="Z670" s="129">
        <f>Table_1[[#This Row],[PREÇO JUSTO GRAHAM]]/(1+Table_1[[#This Row],[MARGEM DE DESCONTO]])</f>
        <v/>
      </c>
      <c r="AA670" s="64">
        <f>(Table_1[[#This Row],[PREÇO JUSTO GORDON]]-Table_1[[#This Row],[PREÇO]])/Table_1[[#This Row],[PREÇO JUSTO GORDON]]</f>
        <v/>
      </c>
      <c r="AB670" s="130">
        <f>Table_1[[#This Row],[DPA]]*(1+Table_1[[#This Row],[MÉDIA DE CRESCIMENTO]])</f>
        <v/>
      </c>
      <c r="AC670" s="130">
        <f>Table_1[[#This Row],[D1]]/(Table_1[[#This Row],[RISCO]]-Table_1[[#This Row],[MÉDIA DE CRESCIMENTO]])</f>
        <v/>
      </c>
      <c r="AD670" s="130">
        <f>Table_1[[#This Row],[PREÇO JUSTO GORDON]]/(1+Table_1[[#This Row],[MARGEM DE DESCONTO]])</f>
        <v/>
      </c>
      <c r="AE670" s="78">
        <f>Table_1[[#This Row],[P/L]]/Table_1[[#This Row],[MÉDIA DE CRESCIMENTO]]</f>
        <v/>
      </c>
    </row>
    <row r="671" ht="15.75" customHeight="1">
      <c r="B671" s="77">
        <f>'Dados Status Invest'!A657</f>
        <v/>
      </c>
      <c r="C671" s="60">
        <f>VLOOKUP(Table_1[[#This Row],[AÇÕES]],'Classificação B3'!A:B,2,0)</f>
        <v/>
      </c>
      <c r="D671" s="60">
        <f>VLOOKUP(Table_1[[#This Row],[AÇÕES]],'Classificação B3'!A:D,4,0)</f>
        <v/>
      </c>
      <c r="E671" s="60">
        <f>VLOOKUP(Table_1[[#This Row],[AÇÕES]],'Classificação B3'!A:F,6,0)</f>
        <v/>
      </c>
      <c r="F671" s="60">
        <f>VLOOKUP(Table_1[[#This Row],[AÇÕES]],'Classificação B3'!A:G,7,0)</f>
        <v/>
      </c>
      <c r="G671" s="61">
        <f>VLOOKUP(Table_1[[#This Row],[AÇÕES]],'Dados Status Invest'!A:B,2,0)</f>
        <v/>
      </c>
      <c r="H671" s="62">
        <f>VLOOKUP(Table_1[[#This Row],[AÇÕES]],'Dados Status Invest'!A:C,3,0)/100</f>
        <v/>
      </c>
      <c r="I671" s="62">
        <f>VLOOKUP(Table_1[[#This Row],[AÇÕES]],'Dados Status Invest'!A:D,4,0)/100</f>
        <v/>
      </c>
      <c r="J671" s="63">
        <f>VLOOKUP(Table_1[[#This Row],[AÇÕES]],'Dados Status Invest'!A:AB,28,0)</f>
        <v/>
      </c>
      <c r="K671" s="63">
        <f>VLOOKUP(Table_1[[#This Row],[AÇÕES]],'Dados Status Invest'!A:AA,27,0)</f>
        <v/>
      </c>
      <c r="L671" s="63">
        <f>Table_1[[#This Row],[PREÇO]]*Table_1[[#This Row],[DY]]</f>
        <v/>
      </c>
      <c r="M671" s="67">
        <f>$E$13</f>
        <v/>
      </c>
      <c r="N671" s="62" t="n">
        <v>0.3</v>
      </c>
      <c r="O671" s="62">
        <f>Table_1[[#This Row],[DPA]]/Table_1[[#This Row],[LPA]]</f>
        <v/>
      </c>
      <c r="P671" s="62">
        <f>IF(Table_1[[#This Row],[PAYOUT]]&lt;=40%,"CRESCIMENTO",IF(Table_1[[#This Row],[PAYOUT]]&lt;=60%,"INDEFINIDO","DIVIDENDOS"))</f>
        <v/>
      </c>
      <c r="Q671" s="62">
        <f>VLOOKUP(Table_1[[#This Row],[AÇÕES]],'Dados Status Invest'!A:R,18,0)/100</f>
        <v/>
      </c>
      <c r="R671" s="62">
        <f>VLOOKUP(Table_1[[#This Row],[AÇÕES]],'Dados Status Invest'!A:Y,25,0)/100</f>
        <v/>
      </c>
      <c r="S671" s="62">
        <f>(1-Table_1[[#This Row],[PAYOUT]])*Table_1[[#This Row],[ROE]]</f>
        <v/>
      </c>
      <c r="T671" s="98">
        <f>AVERAGE(Table_1[[#This Row],[CAGR LUCRO 5A]],Table_1[[#This Row],[CRESCIMENTO DAMODARAN]])</f>
        <v/>
      </c>
      <c r="U671" s="64">
        <f>(Table_1[[#This Row],[PREÇO JUSTO BAZIN]]-Table_1[[#This Row],[PREÇO]])/Table_1[[#This Row],[PREÇO JUSTO BAZIN]]</f>
        <v/>
      </c>
      <c r="V671" s="129">
        <f>Table_1[[#This Row],[DPA]]/6%</f>
        <v/>
      </c>
      <c r="W671" s="129">
        <f>Table_1[[#This Row],[PREÇO JUSTO BAZIN]]/(1+Table_1[[#This Row],[MARGEM DE DESCONTO]])</f>
        <v/>
      </c>
      <c r="X671" s="64">
        <f>(Table_1[[#This Row],[PREÇO JUSTO GRAHAM]]-Table_1[[#This Row],[PREÇO]])/Table_1[[#This Row],[PREÇO JUSTO GRAHAM]]</f>
        <v/>
      </c>
      <c r="Y671" s="129">
        <f>(22.5*Table_1[[#This Row],[LPA]]*Table_1[[#This Row],[VPA]])^0.5</f>
        <v/>
      </c>
      <c r="Z671" s="129">
        <f>Table_1[[#This Row],[PREÇO JUSTO GRAHAM]]/(1+Table_1[[#This Row],[MARGEM DE DESCONTO]])</f>
        <v/>
      </c>
      <c r="AA671" s="64">
        <f>(Table_1[[#This Row],[PREÇO JUSTO GORDON]]-Table_1[[#This Row],[PREÇO]])/Table_1[[#This Row],[PREÇO JUSTO GORDON]]</f>
        <v/>
      </c>
      <c r="AB671" s="130">
        <f>Table_1[[#This Row],[DPA]]*(1+Table_1[[#This Row],[MÉDIA DE CRESCIMENTO]])</f>
        <v/>
      </c>
      <c r="AC671" s="130">
        <f>Table_1[[#This Row],[D1]]/(Table_1[[#This Row],[RISCO]]-Table_1[[#This Row],[MÉDIA DE CRESCIMENTO]])</f>
        <v/>
      </c>
      <c r="AD671" s="130">
        <f>Table_1[[#This Row],[PREÇO JUSTO GORDON]]/(1+Table_1[[#This Row],[MARGEM DE DESCONTO]])</f>
        <v/>
      </c>
      <c r="AE671" s="78">
        <f>Table_1[[#This Row],[P/L]]/Table_1[[#This Row],[MÉDIA DE CRESCIMENTO]]</f>
        <v/>
      </c>
    </row>
    <row r="672" ht="15.75" customHeight="1">
      <c r="B672" s="77">
        <f>'Dados Status Invest'!A658</f>
        <v/>
      </c>
      <c r="C672" s="60">
        <f>VLOOKUP(Table_1[[#This Row],[AÇÕES]],'Classificação B3'!A:B,2,0)</f>
        <v/>
      </c>
      <c r="D672" s="60">
        <f>VLOOKUP(Table_1[[#This Row],[AÇÕES]],'Classificação B3'!A:D,4,0)</f>
        <v/>
      </c>
      <c r="E672" s="60">
        <f>VLOOKUP(Table_1[[#This Row],[AÇÕES]],'Classificação B3'!A:F,6,0)</f>
        <v/>
      </c>
      <c r="F672" s="60">
        <f>VLOOKUP(Table_1[[#This Row],[AÇÕES]],'Classificação B3'!A:G,7,0)</f>
        <v/>
      </c>
      <c r="G672" s="61">
        <f>VLOOKUP(Table_1[[#This Row],[AÇÕES]],'Dados Status Invest'!A:B,2,0)</f>
        <v/>
      </c>
      <c r="H672" s="62">
        <f>VLOOKUP(Table_1[[#This Row],[AÇÕES]],'Dados Status Invest'!A:C,3,0)/100</f>
        <v/>
      </c>
      <c r="I672" s="62">
        <f>VLOOKUP(Table_1[[#This Row],[AÇÕES]],'Dados Status Invest'!A:D,4,0)/100</f>
        <v/>
      </c>
      <c r="J672" s="63">
        <f>VLOOKUP(Table_1[[#This Row],[AÇÕES]],'Dados Status Invest'!A:AB,28,0)</f>
        <v/>
      </c>
      <c r="K672" s="63">
        <f>VLOOKUP(Table_1[[#This Row],[AÇÕES]],'Dados Status Invest'!A:AA,27,0)</f>
        <v/>
      </c>
      <c r="L672" s="63">
        <f>Table_1[[#This Row],[PREÇO]]*Table_1[[#This Row],[DY]]</f>
        <v/>
      </c>
      <c r="M672" s="67">
        <f>$E$13</f>
        <v/>
      </c>
      <c r="N672" s="62" t="n">
        <v>0.3</v>
      </c>
      <c r="O672" s="62">
        <f>Table_1[[#This Row],[DPA]]/Table_1[[#This Row],[LPA]]</f>
        <v/>
      </c>
      <c r="P672" s="62">
        <f>IF(Table_1[[#This Row],[PAYOUT]]&lt;=40%,"CRESCIMENTO",IF(Table_1[[#This Row],[PAYOUT]]&lt;=60%,"INDEFINIDO","DIVIDENDOS"))</f>
        <v/>
      </c>
      <c r="Q672" s="62">
        <f>VLOOKUP(Table_1[[#This Row],[AÇÕES]],'Dados Status Invest'!A:R,18,0)/100</f>
        <v/>
      </c>
      <c r="R672" s="62">
        <f>VLOOKUP(Table_1[[#This Row],[AÇÕES]],'Dados Status Invest'!A:Y,25,0)/100</f>
        <v/>
      </c>
      <c r="S672" s="62">
        <f>(1-Table_1[[#This Row],[PAYOUT]])*Table_1[[#This Row],[ROE]]</f>
        <v/>
      </c>
      <c r="T672" s="98">
        <f>AVERAGE(Table_1[[#This Row],[CAGR LUCRO 5A]],Table_1[[#This Row],[CRESCIMENTO DAMODARAN]])</f>
        <v/>
      </c>
      <c r="U672" s="64">
        <f>(Table_1[[#This Row],[PREÇO JUSTO BAZIN]]-Table_1[[#This Row],[PREÇO]])/Table_1[[#This Row],[PREÇO JUSTO BAZIN]]</f>
        <v/>
      </c>
      <c r="V672" s="129">
        <f>Table_1[[#This Row],[DPA]]/6%</f>
        <v/>
      </c>
      <c r="W672" s="129">
        <f>Table_1[[#This Row],[PREÇO JUSTO BAZIN]]/(1+Table_1[[#This Row],[MARGEM DE DESCONTO]])</f>
        <v/>
      </c>
      <c r="X672" s="64">
        <f>(Table_1[[#This Row],[PREÇO JUSTO GRAHAM]]-Table_1[[#This Row],[PREÇO]])/Table_1[[#This Row],[PREÇO JUSTO GRAHAM]]</f>
        <v/>
      </c>
      <c r="Y672" s="129">
        <f>(22.5*Table_1[[#This Row],[LPA]]*Table_1[[#This Row],[VPA]])^0.5</f>
        <v/>
      </c>
      <c r="Z672" s="129">
        <f>Table_1[[#This Row],[PREÇO JUSTO GRAHAM]]/(1+Table_1[[#This Row],[MARGEM DE DESCONTO]])</f>
        <v/>
      </c>
      <c r="AA672" s="64">
        <f>(Table_1[[#This Row],[PREÇO JUSTO GORDON]]-Table_1[[#This Row],[PREÇO]])/Table_1[[#This Row],[PREÇO JUSTO GORDON]]</f>
        <v/>
      </c>
      <c r="AB672" s="130">
        <f>Table_1[[#This Row],[DPA]]*(1+Table_1[[#This Row],[MÉDIA DE CRESCIMENTO]])</f>
        <v/>
      </c>
      <c r="AC672" s="130">
        <f>Table_1[[#This Row],[D1]]/(Table_1[[#This Row],[RISCO]]-Table_1[[#This Row],[MÉDIA DE CRESCIMENTO]])</f>
        <v/>
      </c>
      <c r="AD672" s="130">
        <f>Table_1[[#This Row],[PREÇO JUSTO GORDON]]/(1+Table_1[[#This Row],[MARGEM DE DESCONTO]])</f>
        <v/>
      </c>
      <c r="AE672" s="78">
        <f>Table_1[[#This Row],[P/L]]/Table_1[[#This Row],[MÉDIA DE CRESCIMENTO]]</f>
        <v/>
      </c>
    </row>
    <row r="673" ht="15.75" customHeight="1">
      <c r="B673" s="77">
        <f>'Dados Status Invest'!A659</f>
        <v/>
      </c>
      <c r="C673" s="60">
        <f>VLOOKUP(Table_1[[#This Row],[AÇÕES]],'Classificação B3'!A:B,2,0)</f>
        <v/>
      </c>
      <c r="D673" s="60">
        <f>VLOOKUP(Table_1[[#This Row],[AÇÕES]],'Classificação B3'!A:D,4,0)</f>
        <v/>
      </c>
      <c r="E673" s="60">
        <f>VLOOKUP(Table_1[[#This Row],[AÇÕES]],'Classificação B3'!A:F,6,0)</f>
        <v/>
      </c>
      <c r="F673" s="60">
        <f>VLOOKUP(Table_1[[#This Row],[AÇÕES]],'Classificação B3'!A:G,7,0)</f>
        <v/>
      </c>
      <c r="G673" s="61">
        <f>VLOOKUP(Table_1[[#This Row],[AÇÕES]],'Dados Status Invest'!A:B,2,0)</f>
        <v/>
      </c>
      <c r="H673" s="62">
        <f>VLOOKUP(Table_1[[#This Row],[AÇÕES]],'Dados Status Invest'!A:C,3,0)/100</f>
        <v/>
      </c>
      <c r="I673" s="62">
        <f>VLOOKUP(Table_1[[#This Row],[AÇÕES]],'Dados Status Invest'!A:D,4,0)/100</f>
        <v/>
      </c>
      <c r="J673" s="63">
        <f>VLOOKUP(Table_1[[#This Row],[AÇÕES]],'Dados Status Invest'!A:AB,28,0)</f>
        <v/>
      </c>
      <c r="K673" s="63">
        <f>VLOOKUP(Table_1[[#This Row],[AÇÕES]],'Dados Status Invest'!A:AA,27,0)</f>
        <v/>
      </c>
      <c r="L673" s="63">
        <f>Table_1[[#This Row],[PREÇO]]*Table_1[[#This Row],[DY]]</f>
        <v/>
      </c>
      <c r="M673" s="67">
        <f>$E$13</f>
        <v/>
      </c>
      <c r="N673" s="62" t="n">
        <v>0.3</v>
      </c>
      <c r="O673" s="62">
        <f>Table_1[[#This Row],[DPA]]/Table_1[[#This Row],[LPA]]</f>
        <v/>
      </c>
      <c r="P673" s="62">
        <f>IF(Table_1[[#This Row],[PAYOUT]]&lt;=40%,"CRESCIMENTO",IF(Table_1[[#This Row],[PAYOUT]]&lt;=60%,"INDEFINIDO","DIVIDENDOS"))</f>
        <v/>
      </c>
      <c r="Q673" s="62">
        <f>VLOOKUP(Table_1[[#This Row],[AÇÕES]],'Dados Status Invest'!A:R,18,0)/100</f>
        <v/>
      </c>
      <c r="R673" s="62">
        <f>VLOOKUP(Table_1[[#This Row],[AÇÕES]],'Dados Status Invest'!A:Y,25,0)/100</f>
        <v/>
      </c>
      <c r="S673" s="62">
        <f>(1-Table_1[[#This Row],[PAYOUT]])*Table_1[[#This Row],[ROE]]</f>
        <v/>
      </c>
      <c r="T673" s="98">
        <f>AVERAGE(Table_1[[#This Row],[CAGR LUCRO 5A]],Table_1[[#This Row],[CRESCIMENTO DAMODARAN]])</f>
        <v/>
      </c>
      <c r="U673" s="64">
        <f>(Table_1[[#This Row],[PREÇO JUSTO BAZIN]]-Table_1[[#This Row],[PREÇO]])/Table_1[[#This Row],[PREÇO JUSTO BAZIN]]</f>
        <v/>
      </c>
      <c r="V673" s="129">
        <f>Table_1[[#This Row],[DPA]]/6%</f>
        <v/>
      </c>
      <c r="W673" s="129">
        <f>Table_1[[#This Row],[PREÇO JUSTO BAZIN]]/(1+Table_1[[#This Row],[MARGEM DE DESCONTO]])</f>
        <v/>
      </c>
      <c r="X673" s="64">
        <f>(Table_1[[#This Row],[PREÇO JUSTO GRAHAM]]-Table_1[[#This Row],[PREÇO]])/Table_1[[#This Row],[PREÇO JUSTO GRAHAM]]</f>
        <v/>
      </c>
      <c r="Y673" s="129">
        <f>(22.5*Table_1[[#This Row],[LPA]]*Table_1[[#This Row],[VPA]])^0.5</f>
        <v/>
      </c>
      <c r="Z673" s="129">
        <f>Table_1[[#This Row],[PREÇO JUSTO GRAHAM]]/(1+Table_1[[#This Row],[MARGEM DE DESCONTO]])</f>
        <v/>
      </c>
      <c r="AA673" s="64">
        <f>(Table_1[[#This Row],[PREÇO JUSTO GORDON]]-Table_1[[#This Row],[PREÇO]])/Table_1[[#This Row],[PREÇO JUSTO GORDON]]</f>
        <v/>
      </c>
      <c r="AB673" s="130">
        <f>Table_1[[#This Row],[DPA]]*(1+Table_1[[#This Row],[MÉDIA DE CRESCIMENTO]])</f>
        <v/>
      </c>
      <c r="AC673" s="130">
        <f>Table_1[[#This Row],[D1]]/(Table_1[[#This Row],[RISCO]]-Table_1[[#This Row],[MÉDIA DE CRESCIMENTO]])</f>
        <v/>
      </c>
      <c r="AD673" s="130">
        <f>Table_1[[#This Row],[PREÇO JUSTO GORDON]]/(1+Table_1[[#This Row],[MARGEM DE DESCONTO]])</f>
        <v/>
      </c>
      <c r="AE673" s="78">
        <f>Table_1[[#This Row],[P/L]]/Table_1[[#This Row],[MÉDIA DE CRESCIMENTO]]</f>
        <v/>
      </c>
    </row>
    <row r="674" ht="15.75" customHeight="1">
      <c r="B674" s="77">
        <f>'Dados Status Invest'!A660</f>
        <v/>
      </c>
      <c r="C674" s="60">
        <f>VLOOKUP(Table_1[[#This Row],[AÇÕES]],'Classificação B3'!A:B,2,0)</f>
        <v/>
      </c>
      <c r="D674" s="60">
        <f>VLOOKUP(Table_1[[#This Row],[AÇÕES]],'Classificação B3'!A:D,4,0)</f>
        <v/>
      </c>
      <c r="E674" s="60">
        <f>VLOOKUP(Table_1[[#This Row],[AÇÕES]],'Classificação B3'!A:F,6,0)</f>
        <v/>
      </c>
      <c r="F674" s="60">
        <f>VLOOKUP(Table_1[[#This Row],[AÇÕES]],'Classificação B3'!A:G,7,0)</f>
        <v/>
      </c>
      <c r="G674" s="61">
        <f>VLOOKUP(Table_1[[#This Row],[AÇÕES]],'Dados Status Invest'!A:B,2,0)</f>
        <v/>
      </c>
      <c r="H674" s="62">
        <f>VLOOKUP(Table_1[[#This Row],[AÇÕES]],'Dados Status Invest'!A:C,3,0)/100</f>
        <v/>
      </c>
      <c r="I674" s="62">
        <f>VLOOKUP(Table_1[[#This Row],[AÇÕES]],'Dados Status Invest'!A:D,4,0)/100</f>
        <v/>
      </c>
      <c r="J674" s="63">
        <f>VLOOKUP(Table_1[[#This Row],[AÇÕES]],'Dados Status Invest'!A:AB,28,0)</f>
        <v/>
      </c>
      <c r="K674" s="63">
        <f>VLOOKUP(Table_1[[#This Row],[AÇÕES]],'Dados Status Invest'!A:AA,27,0)</f>
        <v/>
      </c>
      <c r="L674" s="63">
        <f>Table_1[[#This Row],[PREÇO]]*Table_1[[#This Row],[DY]]</f>
        <v/>
      </c>
      <c r="M674" s="67">
        <f>$E$13</f>
        <v/>
      </c>
      <c r="N674" s="62" t="n">
        <v>0.3</v>
      </c>
      <c r="O674" s="62">
        <f>Table_1[[#This Row],[DPA]]/Table_1[[#This Row],[LPA]]</f>
        <v/>
      </c>
      <c r="P674" s="62">
        <f>IF(Table_1[[#This Row],[PAYOUT]]&lt;=40%,"CRESCIMENTO",IF(Table_1[[#This Row],[PAYOUT]]&lt;=60%,"INDEFINIDO","DIVIDENDOS"))</f>
        <v/>
      </c>
      <c r="Q674" s="62">
        <f>VLOOKUP(Table_1[[#This Row],[AÇÕES]],'Dados Status Invest'!A:R,18,0)/100</f>
        <v/>
      </c>
      <c r="R674" s="62">
        <f>VLOOKUP(Table_1[[#This Row],[AÇÕES]],'Dados Status Invest'!A:Y,25,0)/100</f>
        <v/>
      </c>
      <c r="S674" s="62">
        <f>(1-Table_1[[#This Row],[PAYOUT]])*Table_1[[#This Row],[ROE]]</f>
        <v/>
      </c>
      <c r="T674" s="98">
        <f>AVERAGE(Table_1[[#This Row],[CAGR LUCRO 5A]],Table_1[[#This Row],[CRESCIMENTO DAMODARAN]])</f>
        <v/>
      </c>
      <c r="U674" s="64">
        <f>(Table_1[[#This Row],[PREÇO JUSTO BAZIN]]-Table_1[[#This Row],[PREÇO]])/Table_1[[#This Row],[PREÇO JUSTO BAZIN]]</f>
        <v/>
      </c>
      <c r="V674" s="129">
        <f>Table_1[[#This Row],[DPA]]/6%</f>
        <v/>
      </c>
      <c r="W674" s="129">
        <f>Table_1[[#This Row],[PREÇO JUSTO BAZIN]]/(1+Table_1[[#This Row],[MARGEM DE DESCONTO]])</f>
        <v/>
      </c>
      <c r="X674" s="64">
        <f>(Table_1[[#This Row],[PREÇO JUSTO GRAHAM]]-Table_1[[#This Row],[PREÇO]])/Table_1[[#This Row],[PREÇO JUSTO GRAHAM]]</f>
        <v/>
      </c>
      <c r="Y674" s="129">
        <f>(22.5*Table_1[[#This Row],[LPA]]*Table_1[[#This Row],[VPA]])^0.5</f>
        <v/>
      </c>
      <c r="Z674" s="129">
        <f>Table_1[[#This Row],[PREÇO JUSTO GRAHAM]]/(1+Table_1[[#This Row],[MARGEM DE DESCONTO]])</f>
        <v/>
      </c>
      <c r="AA674" s="64">
        <f>(Table_1[[#This Row],[PREÇO JUSTO GORDON]]-Table_1[[#This Row],[PREÇO]])/Table_1[[#This Row],[PREÇO JUSTO GORDON]]</f>
        <v/>
      </c>
      <c r="AB674" s="130">
        <f>Table_1[[#This Row],[DPA]]*(1+Table_1[[#This Row],[MÉDIA DE CRESCIMENTO]])</f>
        <v/>
      </c>
      <c r="AC674" s="130">
        <f>Table_1[[#This Row],[D1]]/(Table_1[[#This Row],[RISCO]]-Table_1[[#This Row],[MÉDIA DE CRESCIMENTO]])</f>
        <v/>
      </c>
      <c r="AD674" s="130">
        <f>Table_1[[#This Row],[PREÇO JUSTO GORDON]]/(1+Table_1[[#This Row],[MARGEM DE DESCONTO]])</f>
        <v/>
      </c>
      <c r="AE674" s="78">
        <f>Table_1[[#This Row],[P/L]]/Table_1[[#This Row],[MÉDIA DE CRESCIMENTO]]</f>
        <v/>
      </c>
    </row>
    <row r="675" ht="15.75" customHeight="1">
      <c r="B675" s="77">
        <f>'Dados Status Invest'!A661</f>
        <v/>
      </c>
      <c r="C675" s="60">
        <f>VLOOKUP(Table_1[[#This Row],[AÇÕES]],'Classificação B3'!A:B,2,0)</f>
        <v/>
      </c>
      <c r="D675" s="60">
        <f>VLOOKUP(Table_1[[#This Row],[AÇÕES]],'Classificação B3'!A:D,4,0)</f>
        <v/>
      </c>
      <c r="E675" s="60">
        <f>VLOOKUP(Table_1[[#This Row],[AÇÕES]],'Classificação B3'!A:F,6,0)</f>
        <v/>
      </c>
      <c r="F675" s="60">
        <f>VLOOKUP(Table_1[[#This Row],[AÇÕES]],'Classificação B3'!A:G,7,0)</f>
        <v/>
      </c>
      <c r="G675" s="61">
        <f>VLOOKUP(Table_1[[#This Row],[AÇÕES]],'Dados Status Invest'!A:B,2,0)</f>
        <v/>
      </c>
      <c r="H675" s="62">
        <f>VLOOKUP(Table_1[[#This Row],[AÇÕES]],'Dados Status Invest'!A:C,3,0)/100</f>
        <v/>
      </c>
      <c r="I675" s="62">
        <f>VLOOKUP(Table_1[[#This Row],[AÇÕES]],'Dados Status Invest'!A:D,4,0)/100</f>
        <v/>
      </c>
      <c r="J675" s="63">
        <f>VLOOKUP(Table_1[[#This Row],[AÇÕES]],'Dados Status Invest'!A:AB,28,0)</f>
        <v/>
      </c>
      <c r="K675" s="63">
        <f>VLOOKUP(Table_1[[#This Row],[AÇÕES]],'Dados Status Invest'!A:AA,27,0)</f>
        <v/>
      </c>
      <c r="L675" s="63">
        <f>Table_1[[#This Row],[PREÇO]]*Table_1[[#This Row],[DY]]</f>
        <v/>
      </c>
      <c r="M675" s="67">
        <f>$E$13</f>
        <v/>
      </c>
      <c r="N675" s="62" t="n">
        <v>0.3</v>
      </c>
      <c r="O675" s="62">
        <f>Table_1[[#This Row],[DPA]]/Table_1[[#This Row],[LPA]]</f>
        <v/>
      </c>
      <c r="P675" s="62">
        <f>IF(Table_1[[#This Row],[PAYOUT]]&lt;=40%,"CRESCIMENTO",IF(Table_1[[#This Row],[PAYOUT]]&lt;=60%,"INDEFINIDO","DIVIDENDOS"))</f>
        <v/>
      </c>
      <c r="Q675" s="62">
        <f>VLOOKUP(Table_1[[#This Row],[AÇÕES]],'Dados Status Invest'!A:R,18,0)/100</f>
        <v/>
      </c>
      <c r="R675" s="62">
        <f>VLOOKUP(Table_1[[#This Row],[AÇÕES]],'Dados Status Invest'!A:Y,25,0)/100</f>
        <v/>
      </c>
      <c r="S675" s="62">
        <f>(1-Table_1[[#This Row],[PAYOUT]])*Table_1[[#This Row],[ROE]]</f>
        <v/>
      </c>
      <c r="T675" s="98">
        <f>AVERAGE(Table_1[[#This Row],[CAGR LUCRO 5A]],Table_1[[#This Row],[CRESCIMENTO DAMODARAN]])</f>
        <v/>
      </c>
      <c r="U675" s="64">
        <f>(Table_1[[#This Row],[PREÇO JUSTO BAZIN]]-Table_1[[#This Row],[PREÇO]])/Table_1[[#This Row],[PREÇO JUSTO BAZIN]]</f>
        <v/>
      </c>
      <c r="V675" s="129">
        <f>Table_1[[#This Row],[DPA]]/6%</f>
        <v/>
      </c>
      <c r="W675" s="129">
        <f>Table_1[[#This Row],[PREÇO JUSTO BAZIN]]/(1+Table_1[[#This Row],[MARGEM DE DESCONTO]])</f>
        <v/>
      </c>
      <c r="X675" s="64">
        <f>(Table_1[[#This Row],[PREÇO JUSTO GRAHAM]]-Table_1[[#This Row],[PREÇO]])/Table_1[[#This Row],[PREÇO JUSTO GRAHAM]]</f>
        <v/>
      </c>
      <c r="Y675" s="129">
        <f>(22.5*Table_1[[#This Row],[LPA]]*Table_1[[#This Row],[VPA]])^0.5</f>
        <v/>
      </c>
      <c r="Z675" s="129">
        <f>Table_1[[#This Row],[PREÇO JUSTO GRAHAM]]/(1+Table_1[[#This Row],[MARGEM DE DESCONTO]])</f>
        <v/>
      </c>
      <c r="AA675" s="64">
        <f>(Table_1[[#This Row],[PREÇO JUSTO GORDON]]-Table_1[[#This Row],[PREÇO]])/Table_1[[#This Row],[PREÇO JUSTO GORDON]]</f>
        <v/>
      </c>
      <c r="AB675" s="130">
        <f>Table_1[[#This Row],[DPA]]*(1+Table_1[[#This Row],[MÉDIA DE CRESCIMENTO]])</f>
        <v/>
      </c>
      <c r="AC675" s="130">
        <f>Table_1[[#This Row],[D1]]/(Table_1[[#This Row],[RISCO]]-Table_1[[#This Row],[MÉDIA DE CRESCIMENTO]])</f>
        <v/>
      </c>
      <c r="AD675" s="130">
        <f>Table_1[[#This Row],[PREÇO JUSTO GORDON]]/(1+Table_1[[#This Row],[MARGEM DE DESCONTO]])</f>
        <v/>
      </c>
      <c r="AE675" s="78">
        <f>Table_1[[#This Row],[P/L]]/Table_1[[#This Row],[MÉDIA DE CRESCIMENTO]]</f>
        <v/>
      </c>
    </row>
    <row r="676" ht="15.75" customHeight="1">
      <c r="B676" s="77">
        <f>'Dados Status Invest'!A662</f>
        <v/>
      </c>
      <c r="C676" s="60">
        <f>VLOOKUP(Table_1[[#This Row],[AÇÕES]],'Classificação B3'!A:B,2,0)</f>
        <v/>
      </c>
      <c r="D676" s="60">
        <f>VLOOKUP(Table_1[[#This Row],[AÇÕES]],'Classificação B3'!A:D,4,0)</f>
        <v/>
      </c>
      <c r="E676" s="60">
        <f>VLOOKUP(Table_1[[#This Row],[AÇÕES]],'Classificação B3'!A:F,6,0)</f>
        <v/>
      </c>
      <c r="F676" s="60">
        <f>VLOOKUP(Table_1[[#This Row],[AÇÕES]],'Classificação B3'!A:G,7,0)</f>
        <v/>
      </c>
      <c r="G676" s="61">
        <f>VLOOKUP(Table_1[[#This Row],[AÇÕES]],'Dados Status Invest'!A:B,2,0)</f>
        <v/>
      </c>
      <c r="H676" s="62">
        <f>VLOOKUP(Table_1[[#This Row],[AÇÕES]],'Dados Status Invest'!A:C,3,0)/100</f>
        <v/>
      </c>
      <c r="I676" s="62">
        <f>VLOOKUP(Table_1[[#This Row],[AÇÕES]],'Dados Status Invest'!A:D,4,0)/100</f>
        <v/>
      </c>
      <c r="J676" s="63">
        <f>VLOOKUP(Table_1[[#This Row],[AÇÕES]],'Dados Status Invest'!A:AB,28,0)</f>
        <v/>
      </c>
      <c r="K676" s="63">
        <f>VLOOKUP(Table_1[[#This Row],[AÇÕES]],'Dados Status Invest'!A:AA,27,0)</f>
        <v/>
      </c>
      <c r="L676" s="63">
        <f>Table_1[[#This Row],[PREÇO]]*Table_1[[#This Row],[DY]]</f>
        <v/>
      </c>
      <c r="M676" s="67">
        <f>$E$13</f>
        <v/>
      </c>
      <c r="N676" s="62" t="n">
        <v>0.3</v>
      </c>
      <c r="O676" s="62">
        <f>Table_1[[#This Row],[DPA]]/Table_1[[#This Row],[LPA]]</f>
        <v/>
      </c>
      <c r="P676" s="62">
        <f>IF(Table_1[[#This Row],[PAYOUT]]&lt;=40%,"CRESCIMENTO",IF(Table_1[[#This Row],[PAYOUT]]&lt;=60%,"INDEFINIDO","DIVIDENDOS"))</f>
        <v/>
      </c>
      <c r="Q676" s="62">
        <f>VLOOKUP(Table_1[[#This Row],[AÇÕES]],'Dados Status Invest'!A:R,18,0)/100</f>
        <v/>
      </c>
      <c r="R676" s="62">
        <f>VLOOKUP(Table_1[[#This Row],[AÇÕES]],'Dados Status Invest'!A:Y,25,0)/100</f>
        <v/>
      </c>
      <c r="S676" s="62">
        <f>(1-Table_1[[#This Row],[PAYOUT]])*Table_1[[#This Row],[ROE]]</f>
        <v/>
      </c>
      <c r="T676" s="98">
        <f>AVERAGE(Table_1[[#This Row],[CAGR LUCRO 5A]],Table_1[[#This Row],[CRESCIMENTO DAMODARAN]])</f>
        <v/>
      </c>
      <c r="U676" s="64">
        <f>(Table_1[[#This Row],[PREÇO JUSTO BAZIN]]-Table_1[[#This Row],[PREÇO]])/Table_1[[#This Row],[PREÇO JUSTO BAZIN]]</f>
        <v/>
      </c>
      <c r="V676" s="129">
        <f>Table_1[[#This Row],[DPA]]/6%</f>
        <v/>
      </c>
      <c r="W676" s="129">
        <f>Table_1[[#This Row],[PREÇO JUSTO BAZIN]]/(1+Table_1[[#This Row],[MARGEM DE DESCONTO]])</f>
        <v/>
      </c>
      <c r="X676" s="64">
        <f>(Table_1[[#This Row],[PREÇO JUSTO GRAHAM]]-Table_1[[#This Row],[PREÇO]])/Table_1[[#This Row],[PREÇO JUSTO GRAHAM]]</f>
        <v/>
      </c>
      <c r="Y676" s="129">
        <f>(22.5*Table_1[[#This Row],[LPA]]*Table_1[[#This Row],[VPA]])^0.5</f>
        <v/>
      </c>
      <c r="Z676" s="129">
        <f>Table_1[[#This Row],[PREÇO JUSTO GRAHAM]]/(1+Table_1[[#This Row],[MARGEM DE DESCONTO]])</f>
        <v/>
      </c>
      <c r="AA676" s="64">
        <f>(Table_1[[#This Row],[PREÇO JUSTO GORDON]]-Table_1[[#This Row],[PREÇO]])/Table_1[[#This Row],[PREÇO JUSTO GORDON]]</f>
        <v/>
      </c>
      <c r="AB676" s="130">
        <f>Table_1[[#This Row],[DPA]]*(1+Table_1[[#This Row],[MÉDIA DE CRESCIMENTO]])</f>
        <v/>
      </c>
      <c r="AC676" s="130">
        <f>Table_1[[#This Row],[D1]]/(Table_1[[#This Row],[RISCO]]-Table_1[[#This Row],[MÉDIA DE CRESCIMENTO]])</f>
        <v/>
      </c>
      <c r="AD676" s="130">
        <f>Table_1[[#This Row],[PREÇO JUSTO GORDON]]/(1+Table_1[[#This Row],[MARGEM DE DESCONTO]])</f>
        <v/>
      </c>
      <c r="AE676" s="78">
        <f>Table_1[[#This Row],[P/L]]/Table_1[[#This Row],[MÉDIA DE CRESCIMENTO]]</f>
        <v/>
      </c>
    </row>
    <row r="677" ht="15.75" customHeight="1">
      <c r="B677" s="77">
        <f>'Dados Status Invest'!A663</f>
        <v/>
      </c>
      <c r="C677" s="60">
        <f>VLOOKUP(Table_1[[#This Row],[AÇÕES]],'Classificação B3'!A:B,2,0)</f>
        <v/>
      </c>
      <c r="D677" s="60">
        <f>VLOOKUP(Table_1[[#This Row],[AÇÕES]],'Classificação B3'!A:D,4,0)</f>
        <v/>
      </c>
      <c r="E677" s="60">
        <f>VLOOKUP(Table_1[[#This Row],[AÇÕES]],'Classificação B3'!A:F,6,0)</f>
        <v/>
      </c>
      <c r="F677" s="60">
        <f>VLOOKUP(Table_1[[#This Row],[AÇÕES]],'Classificação B3'!A:G,7,0)</f>
        <v/>
      </c>
      <c r="G677" s="61">
        <f>VLOOKUP(Table_1[[#This Row],[AÇÕES]],'Dados Status Invest'!A:B,2,0)</f>
        <v/>
      </c>
      <c r="H677" s="62">
        <f>VLOOKUP(Table_1[[#This Row],[AÇÕES]],'Dados Status Invest'!A:C,3,0)/100</f>
        <v/>
      </c>
      <c r="I677" s="62">
        <f>VLOOKUP(Table_1[[#This Row],[AÇÕES]],'Dados Status Invest'!A:D,4,0)/100</f>
        <v/>
      </c>
      <c r="J677" s="63">
        <f>VLOOKUP(Table_1[[#This Row],[AÇÕES]],'Dados Status Invest'!A:AB,28,0)</f>
        <v/>
      </c>
      <c r="K677" s="63">
        <f>VLOOKUP(Table_1[[#This Row],[AÇÕES]],'Dados Status Invest'!A:AA,27,0)</f>
        <v/>
      </c>
      <c r="L677" s="63">
        <f>Table_1[[#This Row],[PREÇO]]*Table_1[[#This Row],[DY]]</f>
        <v/>
      </c>
      <c r="M677" s="67">
        <f>$E$13</f>
        <v/>
      </c>
      <c r="N677" s="62" t="n">
        <v>0.3</v>
      </c>
      <c r="O677" s="62">
        <f>Table_1[[#This Row],[DPA]]/Table_1[[#This Row],[LPA]]</f>
        <v/>
      </c>
      <c r="P677" s="62">
        <f>IF(Table_1[[#This Row],[PAYOUT]]&lt;=40%,"CRESCIMENTO",IF(Table_1[[#This Row],[PAYOUT]]&lt;=60%,"INDEFINIDO","DIVIDENDOS"))</f>
        <v/>
      </c>
      <c r="Q677" s="62">
        <f>VLOOKUP(Table_1[[#This Row],[AÇÕES]],'Dados Status Invest'!A:R,18,0)/100</f>
        <v/>
      </c>
      <c r="R677" s="62">
        <f>VLOOKUP(Table_1[[#This Row],[AÇÕES]],'Dados Status Invest'!A:Y,25,0)/100</f>
        <v/>
      </c>
      <c r="S677" s="62">
        <f>(1-Table_1[[#This Row],[PAYOUT]])*Table_1[[#This Row],[ROE]]</f>
        <v/>
      </c>
      <c r="T677" s="98">
        <f>AVERAGE(Table_1[[#This Row],[CAGR LUCRO 5A]],Table_1[[#This Row],[CRESCIMENTO DAMODARAN]])</f>
        <v/>
      </c>
      <c r="U677" s="64">
        <f>(Table_1[[#This Row],[PREÇO JUSTO BAZIN]]-Table_1[[#This Row],[PREÇO]])/Table_1[[#This Row],[PREÇO JUSTO BAZIN]]</f>
        <v/>
      </c>
      <c r="V677" s="129">
        <f>Table_1[[#This Row],[DPA]]/6%</f>
        <v/>
      </c>
      <c r="W677" s="129">
        <f>Table_1[[#This Row],[PREÇO JUSTO BAZIN]]/(1+Table_1[[#This Row],[MARGEM DE DESCONTO]])</f>
        <v/>
      </c>
      <c r="X677" s="64">
        <f>(Table_1[[#This Row],[PREÇO JUSTO GRAHAM]]-Table_1[[#This Row],[PREÇO]])/Table_1[[#This Row],[PREÇO JUSTO GRAHAM]]</f>
        <v/>
      </c>
      <c r="Y677" s="129">
        <f>(22.5*Table_1[[#This Row],[LPA]]*Table_1[[#This Row],[VPA]])^0.5</f>
        <v/>
      </c>
      <c r="Z677" s="129">
        <f>Table_1[[#This Row],[PREÇO JUSTO GRAHAM]]/(1+Table_1[[#This Row],[MARGEM DE DESCONTO]])</f>
        <v/>
      </c>
      <c r="AA677" s="64">
        <f>(Table_1[[#This Row],[PREÇO JUSTO GORDON]]-Table_1[[#This Row],[PREÇO]])/Table_1[[#This Row],[PREÇO JUSTO GORDON]]</f>
        <v/>
      </c>
      <c r="AB677" s="130">
        <f>Table_1[[#This Row],[DPA]]*(1+Table_1[[#This Row],[MÉDIA DE CRESCIMENTO]])</f>
        <v/>
      </c>
      <c r="AC677" s="130">
        <f>Table_1[[#This Row],[D1]]/(Table_1[[#This Row],[RISCO]]-Table_1[[#This Row],[MÉDIA DE CRESCIMENTO]])</f>
        <v/>
      </c>
      <c r="AD677" s="130">
        <f>Table_1[[#This Row],[PREÇO JUSTO GORDON]]/(1+Table_1[[#This Row],[MARGEM DE DESCONTO]])</f>
        <v/>
      </c>
      <c r="AE677" s="78">
        <f>Table_1[[#This Row],[P/L]]/Table_1[[#This Row],[MÉDIA DE CRESCIMENTO]]</f>
        <v/>
      </c>
    </row>
    <row r="678" ht="15.75" customHeight="1">
      <c r="B678" s="77">
        <f>'Dados Status Invest'!A664</f>
        <v/>
      </c>
      <c r="C678" s="60">
        <f>VLOOKUP(Table_1[[#This Row],[AÇÕES]],'Classificação B3'!A:B,2,0)</f>
        <v/>
      </c>
      <c r="D678" s="60">
        <f>VLOOKUP(Table_1[[#This Row],[AÇÕES]],'Classificação B3'!A:D,4,0)</f>
        <v/>
      </c>
      <c r="E678" s="60">
        <f>VLOOKUP(Table_1[[#This Row],[AÇÕES]],'Classificação B3'!A:F,6,0)</f>
        <v/>
      </c>
      <c r="F678" s="60">
        <f>VLOOKUP(Table_1[[#This Row],[AÇÕES]],'Classificação B3'!A:G,7,0)</f>
        <v/>
      </c>
      <c r="G678" s="61">
        <f>VLOOKUP(Table_1[[#This Row],[AÇÕES]],'Dados Status Invest'!A:B,2,0)</f>
        <v/>
      </c>
      <c r="H678" s="62">
        <f>VLOOKUP(Table_1[[#This Row],[AÇÕES]],'Dados Status Invest'!A:C,3,0)/100</f>
        <v/>
      </c>
      <c r="I678" s="62">
        <f>VLOOKUP(Table_1[[#This Row],[AÇÕES]],'Dados Status Invest'!A:D,4,0)/100</f>
        <v/>
      </c>
      <c r="J678" s="63">
        <f>VLOOKUP(Table_1[[#This Row],[AÇÕES]],'Dados Status Invest'!A:AB,28,0)</f>
        <v/>
      </c>
      <c r="K678" s="63">
        <f>VLOOKUP(Table_1[[#This Row],[AÇÕES]],'Dados Status Invest'!A:AA,27,0)</f>
        <v/>
      </c>
      <c r="L678" s="63">
        <f>Table_1[[#This Row],[PREÇO]]*Table_1[[#This Row],[DY]]</f>
        <v/>
      </c>
      <c r="M678" s="67">
        <f>$E$13</f>
        <v/>
      </c>
      <c r="N678" s="62" t="n">
        <v>0.3</v>
      </c>
      <c r="O678" s="62">
        <f>Table_1[[#This Row],[DPA]]/Table_1[[#This Row],[LPA]]</f>
        <v/>
      </c>
      <c r="P678" s="62">
        <f>IF(Table_1[[#This Row],[PAYOUT]]&lt;=40%,"CRESCIMENTO",IF(Table_1[[#This Row],[PAYOUT]]&lt;=60%,"INDEFINIDO","DIVIDENDOS"))</f>
        <v/>
      </c>
      <c r="Q678" s="62">
        <f>VLOOKUP(Table_1[[#This Row],[AÇÕES]],'Dados Status Invest'!A:R,18,0)/100</f>
        <v/>
      </c>
      <c r="R678" s="62">
        <f>VLOOKUP(Table_1[[#This Row],[AÇÕES]],'Dados Status Invest'!A:Y,25,0)/100</f>
        <v/>
      </c>
      <c r="S678" s="62">
        <f>(1-Table_1[[#This Row],[PAYOUT]])*Table_1[[#This Row],[ROE]]</f>
        <v/>
      </c>
      <c r="T678" s="98">
        <f>AVERAGE(Table_1[[#This Row],[CAGR LUCRO 5A]],Table_1[[#This Row],[CRESCIMENTO DAMODARAN]])</f>
        <v/>
      </c>
      <c r="U678" s="64">
        <f>(Table_1[[#This Row],[PREÇO JUSTO BAZIN]]-Table_1[[#This Row],[PREÇO]])/Table_1[[#This Row],[PREÇO JUSTO BAZIN]]</f>
        <v/>
      </c>
      <c r="V678" s="129">
        <f>Table_1[[#This Row],[DPA]]/6%</f>
        <v/>
      </c>
      <c r="W678" s="129">
        <f>Table_1[[#This Row],[PREÇO JUSTO BAZIN]]/(1+Table_1[[#This Row],[MARGEM DE DESCONTO]])</f>
        <v/>
      </c>
      <c r="X678" s="64">
        <f>(Table_1[[#This Row],[PREÇO JUSTO GRAHAM]]-Table_1[[#This Row],[PREÇO]])/Table_1[[#This Row],[PREÇO JUSTO GRAHAM]]</f>
        <v/>
      </c>
      <c r="Y678" s="129">
        <f>(22.5*Table_1[[#This Row],[LPA]]*Table_1[[#This Row],[VPA]])^0.5</f>
        <v/>
      </c>
      <c r="Z678" s="129">
        <f>Table_1[[#This Row],[PREÇO JUSTO GRAHAM]]/(1+Table_1[[#This Row],[MARGEM DE DESCONTO]])</f>
        <v/>
      </c>
      <c r="AA678" s="64">
        <f>(Table_1[[#This Row],[PREÇO JUSTO GORDON]]-Table_1[[#This Row],[PREÇO]])/Table_1[[#This Row],[PREÇO JUSTO GORDON]]</f>
        <v/>
      </c>
      <c r="AB678" s="130">
        <f>Table_1[[#This Row],[DPA]]*(1+Table_1[[#This Row],[MÉDIA DE CRESCIMENTO]])</f>
        <v/>
      </c>
      <c r="AC678" s="130">
        <f>Table_1[[#This Row],[D1]]/(Table_1[[#This Row],[RISCO]]-Table_1[[#This Row],[MÉDIA DE CRESCIMENTO]])</f>
        <v/>
      </c>
      <c r="AD678" s="130">
        <f>Table_1[[#This Row],[PREÇO JUSTO GORDON]]/(1+Table_1[[#This Row],[MARGEM DE DESCONTO]])</f>
        <v/>
      </c>
      <c r="AE678" s="78">
        <f>Table_1[[#This Row],[P/L]]/Table_1[[#This Row],[MÉDIA DE CRESCIMENTO]]</f>
        <v/>
      </c>
    </row>
    <row r="679" ht="15.75" customHeight="1">
      <c r="B679" s="77">
        <f>'Dados Status Invest'!A665</f>
        <v/>
      </c>
      <c r="C679" s="60">
        <f>VLOOKUP(Table_1[[#This Row],[AÇÕES]],'Classificação B3'!A:B,2,0)</f>
        <v/>
      </c>
      <c r="D679" s="60">
        <f>VLOOKUP(Table_1[[#This Row],[AÇÕES]],'Classificação B3'!A:D,4,0)</f>
        <v/>
      </c>
      <c r="E679" s="60">
        <f>VLOOKUP(Table_1[[#This Row],[AÇÕES]],'Classificação B3'!A:F,6,0)</f>
        <v/>
      </c>
      <c r="F679" s="60">
        <f>VLOOKUP(Table_1[[#This Row],[AÇÕES]],'Classificação B3'!A:G,7,0)</f>
        <v/>
      </c>
      <c r="G679" s="61">
        <f>VLOOKUP(Table_1[[#This Row],[AÇÕES]],'Dados Status Invest'!A:B,2,0)</f>
        <v/>
      </c>
      <c r="H679" s="62">
        <f>VLOOKUP(Table_1[[#This Row],[AÇÕES]],'Dados Status Invest'!A:C,3,0)/100</f>
        <v/>
      </c>
      <c r="I679" s="62">
        <f>VLOOKUP(Table_1[[#This Row],[AÇÕES]],'Dados Status Invest'!A:D,4,0)/100</f>
        <v/>
      </c>
      <c r="J679" s="63">
        <f>VLOOKUP(Table_1[[#This Row],[AÇÕES]],'Dados Status Invest'!A:AB,28,0)</f>
        <v/>
      </c>
      <c r="K679" s="63">
        <f>VLOOKUP(Table_1[[#This Row],[AÇÕES]],'Dados Status Invest'!A:AA,27,0)</f>
        <v/>
      </c>
      <c r="L679" s="63">
        <f>Table_1[[#This Row],[PREÇO]]*Table_1[[#This Row],[DY]]</f>
        <v/>
      </c>
      <c r="M679" s="67">
        <f>$E$13</f>
        <v/>
      </c>
      <c r="N679" s="62" t="n">
        <v>0.3</v>
      </c>
      <c r="O679" s="62">
        <f>Table_1[[#This Row],[DPA]]/Table_1[[#This Row],[LPA]]</f>
        <v/>
      </c>
      <c r="P679" s="62">
        <f>IF(Table_1[[#This Row],[PAYOUT]]&lt;=40%,"CRESCIMENTO",IF(Table_1[[#This Row],[PAYOUT]]&lt;=60%,"INDEFINIDO","DIVIDENDOS"))</f>
        <v/>
      </c>
      <c r="Q679" s="62">
        <f>VLOOKUP(Table_1[[#This Row],[AÇÕES]],'Dados Status Invest'!A:R,18,0)/100</f>
        <v/>
      </c>
      <c r="R679" s="62">
        <f>VLOOKUP(Table_1[[#This Row],[AÇÕES]],'Dados Status Invest'!A:Y,25,0)/100</f>
        <v/>
      </c>
      <c r="S679" s="62">
        <f>(1-Table_1[[#This Row],[PAYOUT]])*Table_1[[#This Row],[ROE]]</f>
        <v/>
      </c>
      <c r="T679" s="98">
        <f>AVERAGE(Table_1[[#This Row],[CAGR LUCRO 5A]],Table_1[[#This Row],[CRESCIMENTO DAMODARAN]])</f>
        <v/>
      </c>
      <c r="U679" s="64">
        <f>(Table_1[[#This Row],[PREÇO JUSTO BAZIN]]-Table_1[[#This Row],[PREÇO]])/Table_1[[#This Row],[PREÇO JUSTO BAZIN]]</f>
        <v/>
      </c>
      <c r="V679" s="129">
        <f>Table_1[[#This Row],[DPA]]/6%</f>
        <v/>
      </c>
      <c r="W679" s="129">
        <f>Table_1[[#This Row],[PREÇO JUSTO BAZIN]]/(1+Table_1[[#This Row],[MARGEM DE DESCONTO]])</f>
        <v/>
      </c>
      <c r="X679" s="64">
        <f>(Table_1[[#This Row],[PREÇO JUSTO GRAHAM]]-Table_1[[#This Row],[PREÇO]])/Table_1[[#This Row],[PREÇO JUSTO GRAHAM]]</f>
        <v/>
      </c>
      <c r="Y679" s="129">
        <f>(22.5*Table_1[[#This Row],[LPA]]*Table_1[[#This Row],[VPA]])^0.5</f>
        <v/>
      </c>
      <c r="Z679" s="129">
        <f>Table_1[[#This Row],[PREÇO JUSTO GRAHAM]]/(1+Table_1[[#This Row],[MARGEM DE DESCONTO]])</f>
        <v/>
      </c>
      <c r="AA679" s="64">
        <f>(Table_1[[#This Row],[PREÇO JUSTO GORDON]]-Table_1[[#This Row],[PREÇO]])/Table_1[[#This Row],[PREÇO JUSTO GORDON]]</f>
        <v/>
      </c>
      <c r="AB679" s="130">
        <f>Table_1[[#This Row],[DPA]]*(1+Table_1[[#This Row],[MÉDIA DE CRESCIMENTO]])</f>
        <v/>
      </c>
      <c r="AC679" s="130">
        <f>Table_1[[#This Row],[D1]]/(Table_1[[#This Row],[RISCO]]-Table_1[[#This Row],[MÉDIA DE CRESCIMENTO]])</f>
        <v/>
      </c>
      <c r="AD679" s="130">
        <f>Table_1[[#This Row],[PREÇO JUSTO GORDON]]/(1+Table_1[[#This Row],[MARGEM DE DESCONTO]])</f>
        <v/>
      </c>
      <c r="AE679" s="78">
        <f>Table_1[[#This Row],[P/L]]/Table_1[[#This Row],[MÉDIA DE CRESCIMENTO]]</f>
        <v/>
      </c>
    </row>
    <row r="680" ht="15.75" customHeight="1">
      <c r="B680" s="77">
        <f>'Dados Status Invest'!A666</f>
        <v/>
      </c>
      <c r="C680" s="60">
        <f>VLOOKUP(Table_1[[#This Row],[AÇÕES]],'Classificação B3'!A:B,2,0)</f>
        <v/>
      </c>
      <c r="D680" s="60">
        <f>VLOOKUP(Table_1[[#This Row],[AÇÕES]],'Classificação B3'!A:D,4,0)</f>
        <v/>
      </c>
      <c r="E680" s="60">
        <f>VLOOKUP(Table_1[[#This Row],[AÇÕES]],'Classificação B3'!A:F,6,0)</f>
        <v/>
      </c>
      <c r="F680" s="60">
        <f>VLOOKUP(Table_1[[#This Row],[AÇÕES]],'Classificação B3'!A:G,7,0)</f>
        <v/>
      </c>
      <c r="G680" s="61">
        <f>VLOOKUP(Table_1[[#This Row],[AÇÕES]],'Dados Status Invest'!A:B,2,0)</f>
        <v/>
      </c>
      <c r="H680" s="62">
        <f>VLOOKUP(Table_1[[#This Row],[AÇÕES]],'Dados Status Invest'!A:C,3,0)/100</f>
        <v/>
      </c>
      <c r="I680" s="62">
        <f>VLOOKUP(Table_1[[#This Row],[AÇÕES]],'Dados Status Invest'!A:D,4,0)/100</f>
        <v/>
      </c>
      <c r="J680" s="63">
        <f>VLOOKUP(Table_1[[#This Row],[AÇÕES]],'Dados Status Invest'!A:AB,28,0)</f>
        <v/>
      </c>
      <c r="K680" s="63">
        <f>VLOOKUP(Table_1[[#This Row],[AÇÕES]],'Dados Status Invest'!A:AA,27,0)</f>
        <v/>
      </c>
      <c r="L680" s="63">
        <f>Table_1[[#This Row],[PREÇO]]*Table_1[[#This Row],[DY]]</f>
        <v/>
      </c>
      <c r="M680" s="67">
        <f>$E$13</f>
        <v/>
      </c>
      <c r="N680" s="62" t="n">
        <v>0.3</v>
      </c>
      <c r="O680" s="62">
        <f>Table_1[[#This Row],[DPA]]/Table_1[[#This Row],[LPA]]</f>
        <v/>
      </c>
      <c r="P680" s="62">
        <f>IF(Table_1[[#This Row],[PAYOUT]]&lt;=40%,"CRESCIMENTO",IF(Table_1[[#This Row],[PAYOUT]]&lt;=60%,"INDEFINIDO","DIVIDENDOS"))</f>
        <v/>
      </c>
      <c r="Q680" s="62">
        <f>VLOOKUP(Table_1[[#This Row],[AÇÕES]],'Dados Status Invest'!A:R,18,0)/100</f>
        <v/>
      </c>
      <c r="R680" s="62">
        <f>VLOOKUP(Table_1[[#This Row],[AÇÕES]],'Dados Status Invest'!A:Y,25,0)/100</f>
        <v/>
      </c>
      <c r="S680" s="62">
        <f>(1-Table_1[[#This Row],[PAYOUT]])*Table_1[[#This Row],[ROE]]</f>
        <v/>
      </c>
      <c r="T680" s="98">
        <f>AVERAGE(Table_1[[#This Row],[CAGR LUCRO 5A]],Table_1[[#This Row],[CRESCIMENTO DAMODARAN]])</f>
        <v/>
      </c>
      <c r="U680" s="64">
        <f>(Table_1[[#This Row],[PREÇO JUSTO BAZIN]]-Table_1[[#This Row],[PREÇO]])/Table_1[[#This Row],[PREÇO JUSTO BAZIN]]</f>
        <v/>
      </c>
      <c r="V680" s="129">
        <f>Table_1[[#This Row],[DPA]]/6%</f>
        <v/>
      </c>
      <c r="W680" s="129">
        <f>Table_1[[#This Row],[PREÇO JUSTO BAZIN]]/(1+Table_1[[#This Row],[MARGEM DE DESCONTO]])</f>
        <v/>
      </c>
      <c r="X680" s="64">
        <f>(Table_1[[#This Row],[PREÇO JUSTO GRAHAM]]-Table_1[[#This Row],[PREÇO]])/Table_1[[#This Row],[PREÇO JUSTO GRAHAM]]</f>
        <v/>
      </c>
      <c r="Y680" s="129">
        <f>(22.5*Table_1[[#This Row],[LPA]]*Table_1[[#This Row],[VPA]])^0.5</f>
        <v/>
      </c>
      <c r="Z680" s="129">
        <f>Table_1[[#This Row],[PREÇO JUSTO GRAHAM]]/(1+Table_1[[#This Row],[MARGEM DE DESCONTO]])</f>
        <v/>
      </c>
      <c r="AA680" s="64">
        <f>(Table_1[[#This Row],[PREÇO JUSTO GORDON]]-Table_1[[#This Row],[PREÇO]])/Table_1[[#This Row],[PREÇO JUSTO GORDON]]</f>
        <v/>
      </c>
      <c r="AB680" s="130">
        <f>Table_1[[#This Row],[DPA]]*(1+Table_1[[#This Row],[MÉDIA DE CRESCIMENTO]])</f>
        <v/>
      </c>
      <c r="AC680" s="130">
        <f>Table_1[[#This Row],[D1]]/(Table_1[[#This Row],[RISCO]]-Table_1[[#This Row],[MÉDIA DE CRESCIMENTO]])</f>
        <v/>
      </c>
      <c r="AD680" s="130">
        <f>Table_1[[#This Row],[PREÇO JUSTO GORDON]]/(1+Table_1[[#This Row],[MARGEM DE DESCONTO]])</f>
        <v/>
      </c>
      <c r="AE680" s="78">
        <f>Table_1[[#This Row],[P/L]]/Table_1[[#This Row],[MÉDIA DE CRESCIMENTO]]</f>
        <v/>
      </c>
    </row>
    <row r="681" ht="15.75" customHeight="1">
      <c r="B681" s="77">
        <f>'Dados Status Invest'!A667</f>
        <v/>
      </c>
      <c r="C681" s="60">
        <f>VLOOKUP(Table_1[[#This Row],[AÇÕES]],'Classificação B3'!A:B,2,0)</f>
        <v/>
      </c>
      <c r="D681" s="60">
        <f>VLOOKUP(Table_1[[#This Row],[AÇÕES]],'Classificação B3'!A:D,4,0)</f>
        <v/>
      </c>
      <c r="E681" s="60">
        <f>VLOOKUP(Table_1[[#This Row],[AÇÕES]],'Classificação B3'!A:F,6,0)</f>
        <v/>
      </c>
      <c r="F681" s="60">
        <f>VLOOKUP(Table_1[[#This Row],[AÇÕES]],'Classificação B3'!A:G,7,0)</f>
        <v/>
      </c>
      <c r="G681" s="61">
        <f>VLOOKUP(Table_1[[#This Row],[AÇÕES]],'Dados Status Invest'!A:B,2,0)</f>
        <v/>
      </c>
      <c r="H681" s="62">
        <f>VLOOKUP(Table_1[[#This Row],[AÇÕES]],'Dados Status Invest'!A:C,3,0)/100</f>
        <v/>
      </c>
      <c r="I681" s="62">
        <f>VLOOKUP(Table_1[[#This Row],[AÇÕES]],'Dados Status Invest'!A:D,4,0)/100</f>
        <v/>
      </c>
      <c r="J681" s="63">
        <f>VLOOKUP(Table_1[[#This Row],[AÇÕES]],'Dados Status Invest'!A:AB,28,0)</f>
        <v/>
      </c>
      <c r="K681" s="63">
        <f>VLOOKUP(Table_1[[#This Row],[AÇÕES]],'Dados Status Invest'!A:AA,27,0)</f>
        <v/>
      </c>
      <c r="L681" s="63">
        <f>Table_1[[#This Row],[PREÇO]]*Table_1[[#This Row],[DY]]</f>
        <v/>
      </c>
      <c r="M681" s="67">
        <f>$E$13</f>
        <v/>
      </c>
      <c r="N681" s="62" t="n">
        <v>0.3</v>
      </c>
      <c r="O681" s="62">
        <f>Table_1[[#This Row],[DPA]]/Table_1[[#This Row],[LPA]]</f>
        <v/>
      </c>
      <c r="P681" s="62">
        <f>IF(Table_1[[#This Row],[PAYOUT]]&lt;=40%,"CRESCIMENTO",IF(Table_1[[#This Row],[PAYOUT]]&lt;=60%,"INDEFINIDO","DIVIDENDOS"))</f>
        <v/>
      </c>
      <c r="Q681" s="62">
        <f>VLOOKUP(Table_1[[#This Row],[AÇÕES]],'Dados Status Invest'!A:R,18,0)/100</f>
        <v/>
      </c>
      <c r="R681" s="62">
        <f>VLOOKUP(Table_1[[#This Row],[AÇÕES]],'Dados Status Invest'!A:Y,25,0)/100</f>
        <v/>
      </c>
      <c r="S681" s="62">
        <f>(1-Table_1[[#This Row],[PAYOUT]])*Table_1[[#This Row],[ROE]]</f>
        <v/>
      </c>
      <c r="T681" s="98">
        <f>AVERAGE(Table_1[[#This Row],[CAGR LUCRO 5A]],Table_1[[#This Row],[CRESCIMENTO DAMODARAN]])</f>
        <v/>
      </c>
      <c r="U681" s="64">
        <f>(Table_1[[#This Row],[PREÇO JUSTO BAZIN]]-Table_1[[#This Row],[PREÇO]])/Table_1[[#This Row],[PREÇO JUSTO BAZIN]]</f>
        <v/>
      </c>
      <c r="V681" s="129">
        <f>Table_1[[#This Row],[DPA]]/6%</f>
        <v/>
      </c>
      <c r="W681" s="129">
        <f>Table_1[[#This Row],[PREÇO JUSTO BAZIN]]/(1+Table_1[[#This Row],[MARGEM DE DESCONTO]])</f>
        <v/>
      </c>
      <c r="X681" s="64">
        <f>(Table_1[[#This Row],[PREÇO JUSTO GRAHAM]]-Table_1[[#This Row],[PREÇO]])/Table_1[[#This Row],[PREÇO JUSTO GRAHAM]]</f>
        <v/>
      </c>
      <c r="Y681" s="129">
        <f>(22.5*Table_1[[#This Row],[LPA]]*Table_1[[#This Row],[VPA]])^0.5</f>
        <v/>
      </c>
      <c r="Z681" s="129">
        <f>Table_1[[#This Row],[PREÇO JUSTO GRAHAM]]/(1+Table_1[[#This Row],[MARGEM DE DESCONTO]])</f>
        <v/>
      </c>
      <c r="AA681" s="64">
        <f>(Table_1[[#This Row],[PREÇO JUSTO GORDON]]-Table_1[[#This Row],[PREÇO]])/Table_1[[#This Row],[PREÇO JUSTO GORDON]]</f>
        <v/>
      </c>
      <c r="AB681" s="130">
        <f>Table_1[[#This Row],[DPA]]*(1+Table_1[[#This Row],[MÉDIA DE CRESCIMENTO]])</f>
        <v/>
      </c>
      <c r="AC681" s="130">
        <f>Table_1[[#This Row],[D1]]/(Table_1[[#This Row],[RISCO]]-Table_1[[#This Row],[MÉDIA DE CRESCIMENTO]])</f>
        <v/>
      </c>
      <c r="AD681" s="130">
        <f>Table_1[[#This Row],[PREÇO JUSTO GORDON]]/(1+Table_1[[#This Row],[MARGEM DE DESCONTO]])</f>
        <v/>
      </c>
      <c r="AE681" s="78">
        <f>Table_1[[#This Row],[P/L]]/Table_1[[#This Row],[MÉDIA DE CRESCIMENTO]]</f>
        <v/>
      </c>
    </row>
    <row r="682" ht="15.75" customHeight="1">
      <c r="B682" s="77">
        <f>'Dados Status Invest'!A668</f>
        <v/>
      </c>
      <c r="C682" s="60">
        <f>VLOOKUP(Table_1[[#This Row],[AÇÕES]],'Classificação B3'!A:B,2,0)</f>
        <v/>
      </c>
      <c r="D682" s="60">
        <f>VLOOKUP(Table_1[[#This Row],[AÇÕES]],'Classificação B3'!A:D,4,0)</f>
        <v/>
      </c>
      <c r="E682" s="60">
        <f>VLOOKUP(Table_1[[#This Row],[AÇÕES]],'Classificação B3'!A:F,6,0)</f>
        <v/>
      </c>
      <c r="F682" s="60">
        <f>VLOOKUP(Table_1[[#This Row],[AÇÕES]],'Classificação B3'!A:G,7,0)</f>
        <v/>
      </c>
      <c r="G682" s="61">
        <f>VLOOKUP(Table_1[[#This Row],[AÇÕES]],'Dados Status Invest'!A:B,2,0)</f>
        <v/>
      </c>
      <c r="H682" s="62">
        <f>VLOOKUP(Table_1[[#This Row],[AÇÕES]],'Dados Status Invest'!A:C,3,0)/100</f>
        <v/>
      </c>
      <c r="I682" s="62">
        <f>VLOOKUP(Table_1[[#This Row],[AÇÕES]],'Dados Status Invest'!A:D,4,0)/100</f>
        <v/>
      </c>
      <c r="J682" s="63">
        <f>VLOOKUP(Table_1[[#This Row],[AÇÕES]],'Dados Status Invest'!A:AB,28,0)</f>
        <v/>
      </c>
      <c r="K682" s="63">
        <f>VLOOKUP(Table_1[[#This Row],[AÇÕES]],'Dados Status Invest'!A:AA,27,0)</f>
        <v/>
      </c>
      <c r="L682" s="63">
        <f>Table_1[[#This Row],[PREÇO]]*Table_1[[#This Row],[DY]]</f>
        <v/>
      </c>
      <c r="M682" s="67">
        <f>$E$13</f>
        <v/>
      </c>
      <c r="N682" s="62" t="n">
        <v>0.3</v>
      </c>
      <c r="O682" s="62">
        <f>Table_1[[#This Row],[DPA]]/Table_1[[#This Row],[LPA]]</f>
        <v/>
      </c>
      <c r="P682" s="62">
        <f>IF(Table_1[[#This Row],[PAYOUT]]&lt;=40%,"CRESCIMENTO",IF(Table_1[[#This Row],[PAYOUT]]&lt;=60%,"INDEFINIDO","DIVIDENDOS"))</f>
        <v/>
      </c>
      <c r="Q682" s="62">
        <f>VLOOKUP(Table_1[[#This Row],[AÇÕES]],'Dados Status Invest'!A:R,18,0)/100</f>
        <v/>
      </c>
      <c r="R682" s="62">
        <f>VLOOKUP(Table_1[[#This Row],[AÇÕES]],'Dados Status Invest'!A:Y,25,0)/100</f>
        <v/>
      </c>
      <c r="S682" s="62">
        <f>(1-Table_1[[#This Row],[PAYOUT]])*Table_1[[#This Row],[ROE]]</f>
        <v/>
      </c>
      <c r="T682" s="98">
        <f>AVERAGE(Table_1[[#This Row],[CAGR LUCRO 5A]],Table_1[[#This Row],[CRESCIMENTO DAMODARAN]])</f>
        <v/>
      </c>
      <c r="U682" s="64">
        <f>(Table_1[[#This Row],[PREÇO JUSTO BAZIN]]-Table_1[[#This Row],[PREÇO]])/Table_1[[#This Row],[PREÇO JUSTO BAZIN]]</f>
        <v/>
      </c>
      <c r="V682" s="129">
        <f>Table_1[[#This Row],[DPA]]/6%</f>
        <v/>
      </c>
      <c r="W682" s="129">
        <f>Table_1[[#This Row],[PREÇO JUSTO BAZIN]]/(1+Table_1[[#This Row],[MARGEM DE DESCONTO]])</f>
        <v/>
      </c>
      <c r="X682" s="64">
        <f>(Table_1[[#This Row],[PREÇO JUSTO GRAHAM]]-Table_1[[#This Row],[PREÇO]])/Table_1[[#This Row],[PREÇO JUSTO GRAHAM]]</f>
        <v/>
      </c>
      <c r="Y682" s="129">
        <f>(22.5*Table_1[[#This Row],[LPA]]*Table_1[[#This Row],[VPA]])^0.5</f>
        <v/>
      </c>
      <c r="Z682" s="129">
        <f>Table_1[[#This Row],[PREÇO JUSTO GRAHAM]]/(1+Table_1[[#This Row],[MARGEM DE DESCONTO]])</f>
        <v/>
      </c>
      <c r="AA682" s="64">
        <f>(Table_1[[#This Row],[PREÇO JUSTO GORDON]]-Table_1[[#This Row],[PREÇO]])/Table_1[[#This Row],[PREÇO JUSTO GORDON]]</f>
        <v/>
      </c>
      <c r="AB682" s="130">
        <f>Table_1[[#This Row],[DPA]]*(1+Table_1[[#This Row],[MÉDIA DE CRESCIMENTO]])</f>
        <v/>
      </c>
      <c r="AC682" s="130">
        <f>Table_1[[#This Row],[D1]]/(Table_1[[#This Row],[RISCO]]-Table_1[[#This Row],[MÉDIA DE CRESCIMENTO]])</f>
        <v/>
      </c>
      <c r="AD682" s="130">
        <f>Table_1[[#This Row],[PREÇO JUSTO GORDON]]/(1+Table_1[[#This Row],[MARGEM DE DESCONTO]])</f>
        <v/>
      </c>
      <c r="AE682" s="78">
        <f>Table_1[[#This Row],[P/L]]/Table_1[[#This Row],[MÉDIA DE CRESCIMENTO]]</f>
        <v/>
      </c>
    </row>
    <row r="683" ht="15.75" customHeight="1">
      <c r="B683" s="77">
        <f>'Dados Status Invest'!A669</f>
        <v/>
      </c>
      <c r="C683" s="60">
        <f>VLOOKUP(Table_1[[#This Row],[AÇÕES]],'Classificação B3'!A:B,2,0)</f>
        <v/>
      </c>
      <c r="D683" s="60">
        <f>VLOOKUP(Table_1[[#This Row],[AÇÕES]],'Classificação B3'!A:D,4,0)</f>
        <v/>
      </c>
      <c r="E683" s="60">
        <f>VLOOKUP(Table_1[[#This Row],[AÇÕES]],'Classificação B3'!A:F,6,0)</f>
        <v/>
      </c>
      <c r="F683" s="60">
        <f>VLOOKUP(Table_1[[#This Row],[AÇÕES]],'Classificação B3'!A:G,7,0)</f>
        <v/>
      </c>
      <c r="G683" s="61">
        <f>VLOOKUP(Table_1[[#This Row],[AÇÕES]],'Dados Status Invest'!A:B,2,0)</f>
        <v/>
      </c>
      <c r="H683" s="62">
        <f>VLOOKUP(Table_1[[#This Row],[AÇÕES]],'Dados Status Invest'!A:C,3,0)/100</f>
        <v/>
      </c>
      <c r="I683" s="62">
        <f>VLOOKUP(Table_1[[#This Row],[AÇÕES]],'Dados Status Invest'!A:D,4,0)/100</f>
        <v/>
      </c>
      <c r="J683" s="63">
        <f>VLOOKUP(Table_1[[#This Row],[AÇÕES]],'Dados Status Invest'!A:AB,28,0)</f>
        <v/>
      </c>
      <c r="K683" s="63">
        <f>VLOOKUP(Table_1[[#This Row],[AÇÕES]],'Dados Status Invest'!A:AA,27,0)</f>
        <v/>
      </c>
      <c r="L683" s="63">
        <f>Table_1[[#This Row],[PREÇO]]*Table_1[[#This Row],[DY]]</f>
        <v/>
      </c>
      <c r="M683" s="67">
        <f>$E$13</f>
        <v/>
      </c>
      <c r="N683" s="62" t="n">
        <v>0.3</v>
      </c>
      <c r="O683" s="62">
        <f>Table_1[[#This Row],[DPA]]/Table_1[[#This Row],[LPA]]</f>
        <v/>
      </c>
      <c r="P683" s="62">
        <f>IF(Table_1[[#This Row],[PAYOUT]]&lt;=40%,"CRESCIMENTO",IF(Table_1[[#This Row],[PAYOUT]]&lt;=60%,"INDEFINIDO","DIVIDENDOS"))</f>
        <v/>
      </c>
      <c r="Q683" s="62">
        <f>VLOOKUP(Table_1[[#This Row],[AÇÕES]],'Dados Status Invest'!A:R,18,0)/100</f>
        <v/>
      </c>
      <c r="R683" s="62">
        <f>VLOOKUP(Table_1[[#This Row],[AÇÕES]],'Dados Status Invest'!A:Y,25,0)/100</f>
        <v/>
      </c>
      <c r="S683" s="62">
        <f>(1-Table_1[[#This Row],[PAYOUT]])*Table_1[[#This Row],[ROE]]</f>
        <v/>
      </c>
      <c r="T683" s="98">
        <f>AVERAGE(Table_1[[#This Row],[CAGR LUCRO 5A]],Table_1[[#This Row],[CRESCIMENTO DAMODARAN]])</f>
        <v/>
      </c>
      <c r="U683" s="64">
        <f>(Table_1[[#This Row],[PREÇO JUSTO BAZIN]]-Table_1[[#This Row],[PREÇO]])/Table_1[[#This Row],[PREÇO JUSTO BAZIN]]</f>
        <v/>
      </c>
      <c r="V683" s="129">
        <f>Table_1[[#This Row],[DPA]]/6%</f>
        <v/>
      </c>
      <c r="W683" s="129">
        <f>Table_1[[#This Row],[PREÇO JUSTO BAZIN]]/(1+Table_1[[#This Row],[MARGEM DE DESCONTO]])</f>
        <v/>
      </c>
      <c r="X683" s="64">
        <f>(Table_1[[#This Row],[PREÇO JUSTO GRAHAM]]-Table_1[[#This Row],[PREÇO]])/Table_1[[#This Row],[PREÇO JUSTO GRAHAM]]</f>
        <v/>
      </c>
      <c r="Y683" s="129">
        <f>(22.5*Table_1[[#This Row],[LPA]]*Table_1[[#This Row],[VPA]])^0.5</f>
        <v/>
      </c>
      <c r="Z683" s="129">
        <f>Table_1[[#This Row],[PREÇO JUSTO GRAHAM]]/(1+Table_1[[#This Row],[MARGEM DE DESCONTO]])</f>
        <v/>
      </c>
      <c r="AA683" s="64">
        <f>(Table_1[[#This Row],[PREÇO JUSTO GORDON]]-Table_1[[#This Row],[PREÇO]])/Table_1[[#This Row],[PREÇO JUSTO GORDON]]</f>
        <v/>
      </c>
      <c r="AB683" s="130">
        <f>Table_1[[#This Row],[DPA]]*(1+Table_1[[#This Row],[MÉDIA DE CRESCIMENTO]])</f>
        <v/>
      </c>
      <c r="AC683" s="130">
        <f>Table_1[[#This Row],[D1]]/(Table_1[[#This Row],[RISCO]]-Table_1[[#This Row],[MÉDIA DE CRESCIMENTO]])</f>
        <v/>
      </c>
      <c r="AD683" s="130">
        <f>Table_1[[#This Row],[PREÇO JUSTO GORDON]]/(1+Table_1[[#This Row],[MARGEM DE DESCONTO]])</f>
        <v/>
      </c>
      <c r="AE683" s="78">
        <f>Table_1[[#This Row],[P/L]]/Table_1[[#This Row],[MÉDIA DE CRESCIMENTO]]</f>
        <v/>
      </c>
    </row>
    <row r="684" ht="15.75" customHeight="1">
      <c r="B684" s="77">
        <f>'Dados Status Invest'!A670</f>
        <v/>
      </c>
      <c r="C684" s="60">
        <f>VLOOKUP(Table_1[[#This Row],[AÇÕES]],'Classificação B3'!A:B,2,0)</f>
        <v/>
      </c>
      <c r="D684" s="60">
        <f>VLOOKUP(Table_1[[#This Row],[AÇÕES]],'Classificação B3'!A:D,4,0)</f>
        <v/>
      </c>
      <c r="E684" s="60">
        <f>VLOOKUP(Table_1[[#This Row],[AÇÕES]],'Classificação B3'!A:F,6,0)</f>
        <v/>
      </c>
      <c r="F684" s="60">
        <f>VLOOKUP(Table_1[[#This Row],[AÇÕES]],'Classificação B3'!A:G,7,0)</f>
        <v/>
      </c>
      <c r="G684" s="61">
        <f>VLOOKUP(Table_1[[#This Row],[AÇÕES]],'Dados Status Invest'!A:B,2,0)</f>
        <v/>
      </c>
      <c r="H684" s="62">
        <f>VLOOKUP(Table_1[[#This Row],[AÇÕES]],'Dados Status Invest'!A:C,3,0)/100</f>
        <v/>
      </c>
      <c r="I684" s="62">
        <f>VLOOKUP(Table_1[[#This Row],[AÇÕES]],'Dados Status Invest'!A:D,4,0)/100</f>
        <v/>
      </c>
      <c r="J684" s="63">
        <f>VLOOKUP(Table_1[[#This Row],[AÇÕES]],'Dados Status Invest'!A:AB,28,0)</f>
        <v/>
      </c>
      <c r="K684" s="63">
        <f>VLOOKUP(Table_1[[#This Row],[AÇÕES]],'Dados Status Invest'!A:AA,27,0)</f>
        <v/>
      </c>
      <c r="L684" s="63">
        <f>Table_1[[#This Row],[PREÇO]]*Table_1[[#This Row],[DY]]</f>
        <v/>
      </c>
      <c r="M684" s="67">
        <f>$E$13</f>
        <v/>
      </c>
      <c r="N684" s="62" t="n">
        <v>0.3</v>
      </c>
      <c r="O684" s="62">
        <f>Table_1[[#This Row],[DPA]]/Table_1[[#This Row],[LPA]]</f>
        <v/>
      </c>
      <c r="P684" s="62">
        <f>IF(Table_1[[#This Row],[PAYOUT]]&lt;=40%,"CRESCIMENTO",IF(Table_1[[#This Row],[PAYOUT]]&lt;=60%,"INDEFINIDO","DIVIDENDOS"))</f>
        <v/>
      </c>
      <c r="Q684" s="62">
        <f>VLOOKUP(Table_1[[#This Row],[AÇÕES]],'Dados Status Invest'!A:R,18,0)/100</f>
        <v/>
      </c>
      <c r="R684" s="62">
        <f>VLOOKUP(Table_1[[#This Row],[AÇÕES]],'Dados Status Invest'!A:Y,25,0)/100</f>
        <v/>
      </c>
      <c r="S684" s="62">
        <f>(1-Table_1[[#This Row],[PAYOUT]])*Table_1[[#This Row],[ROE]]</f>
        <v/>
      </c>
      <c r="T684" s="98">
        <f>AVERAGE(Table_1[[#This Row],[CAGR LUCRO 5A]],Table_1[[#This Row],[CRESCIMENTO DAMODARAN]])</f>
        <v/>
      </c>
      <c r="U684" s="64">
        <f>(Table_1[[#This Row],[PREÇO JUSTO BAZIN]]-Table_1[[#This Row],[PREÇO]])/Table_1[[#This Row],[PREÇO JUSTO BAZIN]]</f>
        <v/>
      </c>
      <c r="V684" s="129">
        <f>Table_1[[#This Row],[DPA]]/6%</f>
        <v/>
      </c>
      <c r="W684" s="129">
        <f>Table_1[[#This Row],[PREÇO JUSTO BAZIN]]/(1+Table_1[[#This Row],[MARGEM DE DESCONTO]])</f>
        <v/>
      </c>
      <c r="X684" s="64">
        <f>(Table_1[[#This Row],[PREÇO JUSTO GRAHAM]]-Table_1[[#This Row],[PREÇO]])/Table_1[[#This Row],[PREÇO JUSTO GRAHAM]]</f>
        <v/>
      </c>
      <c r="Y684" s="129">
        <f>(22.5*Table_1[[#This Row],[LPA]]*Table_1[[#This Row],[VPA]])^0.5</f>
        <v/>
      </c>
      <c r="Z684" s="129">
        <f>Table_1[[#This Row],[PREÇO JUSTO GRAHAM]]/(1+Table_1[[#This Row],[MARGEM DE DESCONTO]])</f>
        <v/>
      </c>
      <c r="AA684" s="64">
        <f>(Table_1[[#This Row],[PREÇO JUSTO GORDON]]-Table_1[[#This Row],[PREÇO]])/Table_1[[#This Row],[PREÇO JUSTO GORDON]]</f>
        <v/>
      </c>
      <c r="AB684" s="130">
        <f>Table_1[[#This Row],[DPA]]*(1+Table_1[[#This Row],[MÉDIA DE CRESCIMENTO]])</f>
        <v/>
      </c>
      <c r="AC684" s="130">
        <f>Table_1[[#This Row],[D1]]/(Table_1[[#This Row],[RISCO]]-Table_1[[#This Row],[MÉDIA DE CRESCIMENTO]])</f>
        <v/>
      </c>
      <c r="AD684" s="130">
        <f>Table_1[[#This Row],[PREÇO JUSTO GORDON]]/(1+Table_1[[#This Row],[MARGEM DE DESCONTO]])</f>
        <v/>
      </c>
      <c r="AE684" s="78">
        <f>Table_1[[#This Row],[P/L]]/Table_1[[#This Row],[MÉDIA DE CRESCIMENTO]]</f>
        <v/>
      </c>
    </row>
    <row r="685" ht="15.75" customHeight="1">
      <c r="B685" s="77">
        <f>'Dados Status Invest'!A671</f>
        <v/>
      </c>
      <c r="C685" s="60">
        <f>VLOOKUP(Table_1[[#This Row],[AÇÕES]],'Classificação B3'!A:B,2,0)</f>
        <v/>
      </c>
      <c r="D685" s="60">
        <f>VLOOKUP(Table_1[[#This Row],[AÇÕES]],'Classificação B3'!A:D,4,0)</f>
        <v/>
      </c>
      <c r="E685" s="60">
        <f>VLOOKUP(Table_1[[#This Row],[AÇÕES]],'Classificação B3'!A:F,6,0)</f>
        <v/>
      </c>
      <c r="F685" s="60">
        <f>VLOOKUP(Table_1[[#This Row],[AÇÕES]],'Classificação B3'!A:G,7,0)</f>
        <v/>
      </c>
      <c r="G685" s="61">
        <f>VLOOKUP(Table_1[[#This Row],[AÇÕES]],'Dados Status Invest'!A:B,2,0)</f>
        <v/>
      </c>
      <c r="H685" s="62">
        <f>VLOOKUP(Table_1[[#This Row],[AÇÕES]],'Dados Status Invest'!A:C,3,0)/100</f>
        <v/>
      </c>
      <c r="I685" s="62">
        <f>VLOOKUP(Table_1[[#This Row],[AÇÕES]],'Dados Status Invest'!A:D,4,0)/100</f>
        <v/>
      </c>
      <c r="J685" s="63">
        <f>VLOOKUP(Table_1[[#This Row],[AÇÕES]],'Dados Status Invest'!A:AB,28,0)</f>
        <v/>
      </c>
      <c r="K685" s="63">
        <f>VLOOKUP(Table_1[[#This Row],[AÇÕES]],'Dados Status Invest'!A:AA,27,0)</f>
        <v/>
      </c>
      <c r="L685" s="63">
        <f>Table_1[[#This Row],[PREÇO]]*Table_1[[#This Row],[DY]]</f>
        <v/>
      </c>
      <c r="M685" s="67">
        <f>$E$13</f>
        <v/>
      </c>
      <c r="N685" s="62" t="n">
        <v>0.3</v>
      </c>
      <c r="O685" s="62">
        <f>Table_1[[#This Row],[DPA]]/Table_1[[#This Row],[LPA]]</f>
        <v/>
      </c>
      <c r="P685" s="62">
        <f>IF(Table_1[[#This Row],[PAYOUT]]&lt;=40%,"CRESCIMENTO",IF(Table_1[[#This Row],[PAYOUT]]&lt;=60%,"INDEFINIDO","DIVIDENDOS"))</f>
        <v/>
      </c>
      <c r="Q685" s="62">
        <f>VLOOKUP(Table_1[[#This Row],[AÇÕES]],'Dados Status Invest'!A:R,18,0)/100</f>
        <v/>
      </c>
      <c r="R685" s="62">
        <f>VLOOKUP(Table_1[[#This Row],[AÇÕES]],'Dados Status Invest'!A:Y,25,0)/100</f>
        <v/>
      </c>
      <c r="S685" s="62">
        <f>(1-Table_1[[#This Row],[PAYOUT]])*Table_1[[#This Row],[ROE]]</f>
        <v/>
      </c>
      <c r="T685" s="98">
        <f>AVERAGE(Table_1[[#This Row],[CAGR LUCRO 5A]],Table_1[[#This Row],[CRESCIMENTO DAMODARAN]])</f>
        <v/>
      </c>
      <c r="U685" s="64">
        <f>(Table_1[[#This Row],[PREÇO JUSTO BAZIN]]-Table_1[[#This Row],[PREÇO]])/Table_1[[#This Row],[PREÇO JUSTO BAZIN]]</f>
        <v/>
      </c>
      <c r="V685" s="129">
        <f>Table_1[[#This Row],[DPA]]/6%</f>
        <v/>
      </c>
      <c r="W685" s="129">
        <f>Table_1[[#This Row],[PREÇO JUSTO BAZIN]]/(1+Table_1[[#This Row],[MARGEM DE DESCONTO]])</f>
        <v/>
      </c>
      <c r="X685" s="64">
        <f>(Table_1[[#This Row],[PREÇO JUSTO GRAHAM]]-Table_1[[#This Row],[PREÇO]])/Table_1[[#This Row],[PREÇO JUSTO GRAHAM]]</f>
        <v/>
      </c>
      <c r="Y685" s="129">
        <f>(22.5*Table_1[[#This Row],[LPA]]*Table_1[[#This Row],[VPA]])^0.5</f>
        <v/>
      </c>
      <c r="Z685" s="129">
        <f>Table_1[[#This Row],[PREÇO JUSTO GRAHAM]]/(1+Table_1[[#This Row],[MARGEM DE DESCONTO]])</f>
        <v/>
      </c>
      <c r="AA685" s="64">
        <f>(Table_1[[#This Row],[PREÇO JUSTO GORDON]]-Table_1[[#This Row],[PREÇO]])/Table_1[[#This Row],[PREÇO JUSTO GORDON]]</f>
        <v/>
      </c>
      <c r="AB685" s="130">
        <f>Table_1[[#This Row],[DPA]]*(1+Table_1[[#This Row],[MÉDIA DE CRESCIMENTO]])</f>
        <v/>
      </c>
      <c r="AC685" s="130">
        <f>Table_1[[#This Row],[D1]]/(Table_1[[#This Row],[RISCO]]-Table_1[[#This Row],[MÉDIA DE CRESCIMENTO]])</f>
        <v/>
      </c>
      <c r="AD685" s="130">
        <f>Table_1[[#This Row],[PREÇO JUSTO GORDON]]/(1+Table_1[[#This Row],[MARGEM DE DESCONTO]])</f>
        <v/>
      </c>
      <c r="AE685" s="78">
        <f>Table_1[[#This Row],[P/L]]/Table_1[[#This Row],[MÉDIA DE CRESCIMENTO]]</f>
        <v/>
      </c>
    </row>
    <row r="686" ht="15.75" customHeight="1">
      <c r="B686" s="77">
        <f>'Dados Status Invest'!A672</f>
        <v/>
      </c>
      <c r="C686" s="60">
        <f>VLOOKUP(Table_1[[#This Row],[AÇÕES]],'Classificação B3'!A:B,2,0)</f>
        <v/>
      </c>
      <c r="D686" s="60">
        <f>VLOOKUP(Table_1[[#This Row],[AÇÕES]],'Classificação B3'!A:D,4,0)</f>
        <v/>
      </c>
      <c r="E686" s="60">
        <f>VLOOKUP(Table_1[[#This Row],[AÇÕES]],'Classificação B3'!A:F,6,0)</f>
        <v/>
      </c>
      <c r="F686" s="60">
        <f>VLOOKUP(Table_1[[#This Row],[AÇÕES]],'Classificação B3'!A:G,7,0)</f>
        <v/>
      </c>
      <c r="G686" s="61">
        <f>VLOOKUP(Table_1[[#This Row],[AÇÕES]],'Dados Status Invest'!A:B,2,0)</f>
        <v/>
      </c>
      <c r="H686" s="62">
        <f>VLOOKUP(Table_1[[#This Row],[AÇÕES]],'Dados Status Invest'!A:C,3,0)/100</f>
        <v/>
      </c>
      <c r="I686" s="62">
        <f>VLOOKUP(Table_1[[#This Row],[AÇÕES]],'Dados Status Invest'!A:D,4,0)/100</f>
        <v/>
      </c>
      <c r="J686" s="63">
        <f>VLOOKUP(Table_1[[#This Row],[AÇÕES]],'Dados Status Invest'!A:AB,28,0)</f>
        <v/>
      </c>
      <c r="K686" s="63">
        <f>VLOOKUP(Table_1[[#This Row],[AÇÕES]],'Dados Status Invest'!A:AA,27,0)</f>
        <v/>
      </c>
      <c r="L686" s="63">
        <f>Table_1[[#This Row],[PREÇO]]*Table_1[[#This Row],[DY]]</f>
        <v/>
      </c>
      <c r="M686" s="67">
        <f>$E$13</f>
        <v/>
      </c>
      <c r="N686" s="62" t="n">
        <v>0.3</v>
      </c>
      <c r="O686" s="62">
        <f>Table_1[[#This Row],[DPA]]/Table_1[[#This Row],[LPA]]</f>
        <v/>
      </c>
      <c r="P686" s="62">
        <f>IF(Table_1[[#This Row],[PAYOUT]]&lt;=40%,"CRESCIMENTO",IF(Table_1[[#This Row],[PAYOUT]]&lt;=60%,"INDEFINIDO","DIVIDENDOS"))</f>
        <v/>
      </c>
      <c r="Q686" s="62">
        <f>VLOOKUP(Table_1[[#This Row],[AÇÕES]],'Dados Status Invest'!A:R,18,0)/100</f>
        <v/>
      </c>
      <c r="R686" s="62">
        <f>VLOOKUP(Table_1[[#This Row],[AÇÕES]],'Dados Status Invest'!A:Y,25,0)/100</f>
        <v/>
      </c>
      <c r="S686" s="62">
        <f>(1-Table_1[[#This Row],[PAYOUT]])*Table_1[[#This Row],[ROE]]</f>
        <v/>
      </c>
      <c r="T686" s="98">
        <f>AVERAGE(Table_1[[#This Row],[CAGR LUCRO 5A]],Table_1[[#This Row],[CRESCIMENTO DAMODARAN]])</f>
        <v/>
      </c>
      <c r="U686" s="64">
        <f>(Table_1[[#This Row],[PREÇO JUSTO BAZIN]]-Table_1[[#This Row],[PREÇO]])/Table_1[[#This Row],[PREÇO JUSTO BAZIN]]</f>
        <v/>
      </c>
      <c r="V686" s="129">
        <f>Table_1[[#This Row],[DPA]]/6%</f>
        <v/>
      </c>
      <c r="W686" s="129">
        <f>Table_1[[#This Row],[PREÇO JUSTO BAZIN]]/(1+Table_1[[#This Row],[MARGEM DE DESCONTO]])</f>
        <v/>
      </c>
      <c r="X686" s="64">
        <f>(Table_1[[#This Row],[PREÇO JUSTO GRAHAM]]-Table_1[[#This Row],[PREÇO]])/Table_1[[#This Row],[PREÇO JUSTO GRAHAM]]</f>
        <v/>
      </c>
      <c r="Y686" s="129">
        <f>(22.5*Table_1[[#This Row],[LPA]]*Table_1[[#This Row],[VPA]])^0.5</f>
        <v/>
      </c>
      <c r="Z686" s="129">
        <f>Table_1[[#This Row],[PREÇO JUSTO GRAHAM]]/(1+Table_1[[#This Row],[MARGEM DE DESCONTO]])</f>
        <v/>
      </c>
      <c r="AA686" s="64">
        <f>(Table_1[[#This Row],[PREÇO JUSTO GORDON]]-Table_1[[#This Row],[PREÇO]])/Table_1[[#This Row],[PREÇO JUSTO GORDON]]</f>
        <v/>
      </c>
      <c r="AB686" s="130">
        <f>Table_1[[#This Row],[DPA]]*(1+Table_1[[#This Row],[MÉDIA DE CRESCIMENTO]])</f>
        <v/>
      </c>
      <c r="AC686" s="130">
        <f>Table_1[[#This Row],[D1]]/(Table_1[[#This Row],[RISCO]]-Table_1[[#This Row],[MÉDIA DE CRESCIMENTO]])</f>
        <v/>
      </c>
      <c r="AD686" s="130">
        <f>Table_1[[#This Row],[PREÇO JUSTO GORDON]]/(1+Table_1[[#This Row],[MARGEM DE DESCONTO]])</f>
        <v/>
      </c>
      <c r="AE686" s="78">
        <f>Table_1[[#This Row],[P/L]]/Table_1[[#This Row],[MÉDIA DE CRESCIMENTO]]</f>
        <v/>
      </c>
    </row>
    <row r="687" ht="15.75" customHeight="1">
      <c r="B687" s="77">
        <f>'Dados Status Invest'!A673</f>
        <v/>
      </c>
      <c r="C687" s="60">
        <f>VLOOKUP(Table_1[[#This Row],[AÇÕES]],'Classificação B3'!A:B,2,0)</f>
        <v/>
      </c>
      <c r="D687" s="60">
        <f>VLOOKUP(Table_1[[#This Row],[AÇÕES]],'Classificação B3'!A:D,4,0)</f>
        <v/>
      </c>
      <c r="E687" s="60">
        <f>VLOOKUP(Table_1[[#This Row],[AÇÕES]],'Classificação B3'!A:F,6,0)</f>
        <v/>
      </c>
      <c r="F687" s="60">
        <f>VLOOKUP(Table_1[[#This Row],[AÇÕES]],'Classificação B3'!A:G,7,0)</f>
        <v/>
      </c>
      <c r="G687" s="61">
        <f>VLOOKUP(Table_1[[#This Row],[AÇÕES]],'Dados Status Invest'!A:B,2,0)</f>
        <v/>
      </c>
      <c r="H687" s="62">
        <f>VLOOKUP(Table_1[[#This Row],[AÇÕES]],'Dados Status Invest'!A:C,3,0)/100</f>
        <v/>
      </c>
      <c r="I687" s="62">
        <f>VLOOKUP(Table_1[[#This Row],[AÇÕES]],'Dados Status Invest'!A:D,4,0)/100</f>
        <v/>
      </c>
      <c r="J687" s="63">
        <f>VLOOKUP(Table_1[[#This Row],[AÇÕES]],'Dados Status Invest'!A:AB,28,0)</f>
        <v/>
      </c>
      <c r="K687" s="63">
        <f>VLOOKUP(Table_1[[#This Row],[AÇÕES]],'Dados Status Invest'!A:AA,27,0)</f>
        <v/>
      </c>
      <c r="L687" s="63">
        <f>Table_1[[#This Row],[PREÇO]]*Table_1[[#This Row],[DY]]</f>
        <v/>
      </c>
      <c r="M687" s="67">
        <f>$E$13</f>
        <v/>
      </c>
      <c r="N687" s="62" t="n">
        <v>0.3</v>
      </c>
      <c r="O687" s="62">
        <f>Table_1[[#This Row],[DPA]]/Table_1[[#This Row],[LPA]]</f>
        <v/>
      </c>
      <c r="P687" s="62">
        <f>IF(Table_1[[#This Row],[PAYOUT]]&lt;=40%,"CRESCIMENTO",IF(Table_1[[#This Row],[PAYOUT]]&lt;=60%,"INDEFINIDO","DIVIDENDOS"))</f>
        <v/>
      </c>
      <c r="Q687" s="62">
        <f>VLOOKUP(Table_1[[#This Row],[AÇÕES]],'Dados Status Invest'!A:R,18,0)/100</f>
        <v/>
      </c>
      <c r="R687" s="62">
        <f>VLOOKUP(Table_1[[#This Row],[AÇÕES]],'Dados Status Invest'!A:Y,25,0)/100</f>
        <v/>
      </c>
      <c r="S687" s="62">
        <f>(1-Table_1[[#This Row],[PAYOUT]])*Table_1[[#This Row],[ROE]]</f>
        <v/>
      </c>
      <c r="T687" s="98">
        <f>AVERAGE(Table_1[[#This Row],[CAGR LUCRO 5A]],Table_1[[#This Row],[CRESCIMENTO DAMODARAN]])</f>
        <v/>
      </c>
      <c r="U687" s="64">
        <f>(Table_1[[#This Row],[PREÇO JUSTO BAZIN]]-Table_1[[#This Row],[PREÇO]])/Table_1[[#This Row],[PREÇO JUSTO BAZIN]]</f>
        <v/>
      </c>
      <c r="V687" s="129">
        <f>Table_1[[#This Row],[DPA]]/6%</f>
        <v/>
      </c>
      <c r="W687" s="129">
        <f>Table_1[[#This Row],[PREÇO JUSTO BAZIN]]/(1+Table_1[[#This Row],[MARGEM DE DESCONTO]])</f>
        <v/>
      </c>
      <c r="X687" s="64">
        <f>(Table_1[[#This Row],[PREÇO JUSTO GRAHAM]]-Table_1[[#This Row],[PREÇO]])/Table_1[[#This Row],[PREÇO JUSTO GRAHAM]]</f>
        <v/>
      </c>
      <c r="Y687" s="129">
        <f>(22.5*Table_1[[#This Row],[LPA]]*Table_1[[#This Row],[VPA]])^0.5</f>
        <v/>
      </c>
      <c r="Z687" s="129">
        <f>Table_1[[#This Row],[PREÇO JUSTO GRAHAM]]/(1+Table_1[[#This Row],[MARGEM DE DESCONTO]])</f>
        <v/>
      </c>
      <c r="AA687" s="64">
        <f>(Table_1[[#This Row],[PREÇO JUSTO GORDON]]-Table_1[[#This Row],[PREÇO]])/Table_1[[#This Row],[PREÇO JUSTO GORDON]]</f>
        <v/>
      </c>
      <c r="AB687" s="130">
        <f>Table_1[[#This Row],[DPA]]*(1+Table_1[[#This Row],[MÉDIA DE CRESCIMENTO]])</f>
        <v/>
      </c>
      <c r="AC687" s="130">
        <f>Table_1[[#This Row],[D1]]/(Table_1[[#This Row],[RISCO]]-Table_1[[#This Row],[MÉDIA DE CRESCIMENTO]])</f>
        <v/>
      </c>
      <c r="AD687" s="130">
        <f>Table_1[[#This Row],[PREÇO JUSTO GORDON]]/(1+Table_1[[#This Row],[MARGEM DE DESCONTO]])</f>
        <v/>
      </c>
      <c r="AE687" s="78">
        <f>Table_1[[#This Row],[P/L]]/Table_1[[#This Row],[MÉDIA DE CRESCIMENTO]]</f>
        <v/>
      </c>
    </row>
    <row r="688" ht="15.75" customHeight="1">
      <c r="B688" s="77">
        <f>'Dados Status Invest'!A674</f>
        <v/>
      </c>
      <c r="C688" s="60">
        <f>VLOOKUP(Table_1[[#This Row],[AÇÕES]],'Classificação B3'!A:B,2,0)</f>
        <v/>
      </c>
      <c r="D688" s="60">
        <f>VLOOKUP(Table_1[[#This Row],[AÇÕES]],'Classificação B3'!A:D,4,0)</f>
        <v/>
      </c>
      <c r="E688" s="60">
        <f>VLOOKUP(Table_1[[#This Row],[AÇÕES]],'Classificação B3'!A:F,6,0)</f>
        <v/>
      </c>
      <c r="F688" s="60">
        <f>VLOOKUP(Table_1[[#This Row],[AÇÕES]],'Classificação B3'!A:G,7,0)</f>
        <v/>
      </c>
      <c r="G688" s="61">
        <f>VLOOKUP(Table_1[[#This Row],[AÇÕES]],'Dados Status Invest'!A:B,2,0)</f>
        <v/>
      </c>
      <c r="H688" s="62">
        <f>VLOOKUP(Table_1[[#This Row],[AÇÕES]],'Dados Status Invest'!A:C,3,0)/100</f>
        <v/>
      </c>
      <c r="I688" s="62">
        <f>VLOOKUP(Table_1[[#This Row],[AÇÕES]],'Dados Status Invest'!A:D,4,0)/100</f>
        <v/>
      </c>
      <c r="J688" s="63">
        <f>VLOOKUP(Table_1[[#This Row],[AÇÕES]],'Dados Status Invest'!A:AB,28,0)</f>
        <v/>
      </c>
      <c r="K688" s="63">
        <f>VLOOKUP(Table_1[[#This Row],[AÇÕES]],'Dados Status Invest'!A:AA,27,0)</f>
        <v/>
      </c>
      <c r="L688" s="63">
        <f>Table_1[[#This Row],[PREÇO]]*Table_1[[#This Row],[DY]]</f>
        <v/>
      </c>
      <c r="M688" s="67">
        <f>$E$13</f>
        <v/>
      </c>
      <c r="N688" s="62" t="n">
        <v>0.3</v>
      </c>
      <c r="O688" s="62">
        <f>Table_1[[#This Row],[DPA]]/Table_1[[#This Row],[LPA]]</f>
        <v/>
      </c>
      <c r="P688" s="62">
        <f>IF(Table_1[[#This Row],[PAYOUT]]&lt;=40%,"CRESCIMENTO",IF(Table_1[[#This Row],[PAYOUT]]&lt;=60%,"INDEFINIDO","DIVIDENDOS"))</f>
        <v/>
      </c>
      <c r="Q688" s="62">
        <f>VLOOKUP(Table_1[[#This Row],[AÇÕES]],'Dados Status Invest'!A:R,18,0)/100</f>
        <v/>
      </c>
      <c r="R688" s="62">
        <f>VLOOKUP(Table_1[[#This Row],[AÇÕES]],'Dados Status Invest'!A:Y,25,0)/100</f>
        <v/>
      </c>
      <c r="S688" s="62">
        <f>(1-Table_1[[#This Row],[PAYOUT]])*Table_1[[#This Row],[ROE]]</f>
        <v/>
      </c>
      <c r="T688" s="98">
        <f>AVERAGE(Table_1[[#This Row],[CAGR LUCRO 5A]],Table_1[[#This Row],[CRESCIMENTO DAMODARAN]])</f>
        <v/>
      </c>
      <c r="U688" s="64">
        <f>(Table_1[[#This Row],[PREÇO JUSTO BAZIN]]-Table_1[[#This Row],[PREÇO]])/Table_1[[#This Row],[PREÇO JUSTO BAZIN]]</f>
        <v/>
      </c>
      <c r="V688" s="129">
        <f>Table_1[[#This Row],[DPA]]/6%</f>
        <v/>
      </c>
      <c r="W688" s="129">
        <f>Table_1[[#This Row],[PREÇO JUSTO BAZIN]]/(1+Table_1[[#This Row],[MARGEM DE DESCONTO]])</f>
        <v/>
      </c>
      <c r="X688" s="64">
        <f>(Table_1[[#This Row],[PREÇO JUSTO GRAHAM]]-Table_1[[#This Row],[PREÇO]])/Table_1[[#This Row],[PREÇO JUSTO GRAHAM]]</f>
        <v/>
      </c>
      <c r="Y688" s="129">
        <f>(22.5*Table_1[[#This Row],[LPA]]*Table_1[[#This Row],[VPA]])^0.5</f>
        <v/>
      </c>
      <c r="Z688" s="129">
        <f>Table_1[[#This Row],[PREÇO JUSTO GRAHAM]]/(1+Table_1[[#This Row],[MARGEM DE DESCONTO]])</f>
        <v/>
      </c>
      <c r="AA688" s="64">
        <f>(Table_1[[#This Row],[PREÇO JUSTO GORDON]]-Table_1[[#This Row],[PREÇO]])/Table_1[[#This Row],[PREÇO JUSTO GORDON]]</f>
        <v/>
      </c>
      <c r="AB688" s="130">
        <f>Table_1[[#This Row],[DPA]]*(1+Table_1[[#This Row],[MÉDIA DE CRESCIMENTO]])</f>
        <v/>
      </c>
      <c r="AC688" s="130">
        <f>Table_1[[#This Row],[D1]]/(Table_1[[#This Row],[RISCO]]-Table_1[[#This Row],[MÉDIA DE CRESCIMENTO]])</f>
        <v/>
      </c>
      <c r="AD688" s="130">
        <f>Table_1[[#This Row],[PREÇO JUSTO GORDON]]/(1+Table_1[[#This Row],[MARGEM DE DESCONTO]])</f>
        <v/>
      </c>
      <c r="AE688" s="78">
        <f>Table_1[[#This Row],[P/L]]/Table_1[[#This Row],[MÉDIA DE CRESCIMENTO]]</f>
        <v/>
      </c>
    </row>
    <row r="689" ht="15.75" customHeight="1">
      <c r="B689" s="77">
        <f>'Dados Status Invest'!A675</f>
        <v/>
      </c>
      <c r="C689" s="60">
        <f>VLOOKUP(Table_1[[#This Row],[AÇÕES]],'Classificação B3'!A:B,2,0)</f>
        <v/>
      </c>
      <c r="D689" s="60">
        <f>VLOOKUP(Table_1[[#This Row],[AÇÕES]],'Classificação B3'!A:D,4,0)</f>
        <v/>
      </c>
      <c r="E689" s="60">
        <f>VLOOKUP(Table_1[[#This Row],[AÇÕES]],'Classificação B3'!A:F,6,0)</f>
        <v/>
      </c>
      <c r="F689" s="60">
        <f>VLOOKUP(Table_1[[#This Row],[AÇÕES]],'Classificação B3'!A:G,7,0)</f>
        <v/>
      </c>
      <c r="G689" s="61">
        <f>VLOOKUP(Table_1[[#This Row],[AÇÕES]],'Dados Status Invest'!A:B,2,0)</f>
        <v/>
      </c>
      <c r="H689" s="62">
        <f>VLOOKUP(Table_1[[#This Row],[AÇÕES]],'Dados Status Invest'!A:C,3,0)/100</f>
        <v/>
      </c>
      <c r="I689" s="62">
        <f>VLOOKUP(Table_1[[#This Row],[AÇÕES]],'Dados Status Invest'!A:D,4,0)/100</f>
        <v/>
      </c>
      <c r="J689" s="63">
        <f>VLOOKUP(Table_1[[#This Row],[AÇÕES]],'Dados Status Invest'!A:AB,28,0)</f>
        <v/>
      </c>
      <c r="K689" s="63">
        <f>VLOOKUP(Table_1[[#This Row],[AÇÕES]],'Dados Status Invest'!A:AA,27,0)</f>
        <v/>
      </c>
      <c r="L689" s="63">
        <f>Table_1[[#This Row],[PREÇO]]*Table_1[[#This Row],[DY]]</f>
        <v/>
      </c>
      <c r="M689" s="67">
        <f>$E$13</f>
        <v/>
      </c>
      <c r="N689" s="62" t="n">
        <v>0.3</v>
      </c>
      <c r="O689" s="62">
        <f>Table_1[[#This Row],[DPA]]/Table_1[[#This Row],[LPA]]</f>
        <v/>
      </c>
      <c r="P689" s="62">
        <f>IF(Table_1[[#This Row],[PAYOUT]]&lt;=40%,"CRESCIMENTO",IF(Table_1[[#This Row],[PAYOUT]]&lt;=60%,"INDEFINIDO","DIVIDENDOS"))</f>
        <v/>
      </c>
      <c r="Q689" s="62">
        <f>VLOOKUP(Table_1[[#This Row],[AÇÕES]],'Dados Status Invest'!A:R,18,0)/100</f>
        <v/>
      </c>
      <c r="R689" s="62">
        <f>VLOOKUP(Table_1[[#This Row],[AÇÕES]],'Dados Status Invest'!A:Y,25,0)/100</f>
        <v/>
      </c>
      <c r="S689" s="62">
        <f>(1-Table_1[[#This Row],[PAYOUT]])*Table_1[[#This Row],[ROE]]</f>
        <v/>
      </c>
      <c r="T689" s="98">
        <f>AVERAGE(Table_1[[#This Row],[CAGR LUCRO 5A]],Table_1[[#This Row],[CRESCIMENTO DAMODARAN]])</f>
        <v/>
      </c>
      <c r="U689" s="64">
        <f>(Table_1[[#This Row],[PREÇO JUSTO BAZIN]]-Table_1[[#This Row],[PREÇO]])/Table_1[[#This Row],[PREÇO JUSTO BAZIN]]</f>
        <v/>
      </c>
      <c r="V689" s="129">
        <f>Table_1[[#This Row],[DPA]]/6%</f>
        <v/>
      </c>
      <c r="W689" s="129">
        <f>Table_1[[#This Row],[PREÇO JUSTO BAZIN]]/(1+Table_1[[#This Row],[MARGEM DE DESCONTO]])</f>
        <v/>
      </c>
      <c r="X689" s="64">
        <f>(Table_1[[#This Row],[PREÇO JUSTO GRAHAM]]-Table_1[[#This Row],[PREÇO]])/Table_1[[#This Row],[PREÇO JUSTO GRAHAM]]</f>
        <v/>
      </c>
      <c r="Y689" s="129">
        <f>(22.5*Table_1[[#This Row],[LPA]]*Table_1[[#This Row],[VPA]])^0.5</f>
        <v/>
      </c>
      <c r="Z689" s="129">
        <f>Table_1[[#This Row],[PREÇO JUSTO GRAHAM]]/(1+Table_1[[#This Row],[MARGEM DE DESCONTO]])</f>
        <v/>
      </c>
      <c r="AA689" s="64">
        <f>(Table_1[[#This Row],[PREÇO JUSTO GORDON]]-Table_1[[#This Row],[PREÇO]])/Table_1[[#This Row],[PREÇO JUSTO GORDON]]</f>
        <v/>
      </c>
      <c r="AB689" s="130">
        <f>Table_1[[#This Row],[DPA]]*(1+Table_1[[#This Row],[MÉDIA DE CRESCIMENTO]])</f>
        <v/>
      </c>
      <c r="AC689" s="130">
        <f>Table_1[[#This Row],[D1]]/(Table_1[[#This Row],[RISCO]]-Table_1[[#This Row],[MÉDIA DE CRESCIMENTO]])</f>
        <v/>
      </c>
      <c r="AD689" s="130">
        <f>Table_1[[#This Row],[PREÇO JUSTO GORDON]]/(1+Table_1[[#This Row],[MARGEM DE DESCONTO]])</f>
        <v/>
      </c>
      <c r="AE689" s="78">
        <f>Table_1[[#This Row],[P/L]]/Table_1[[#This Row],[MÉDIA DE CRESCIMENTO]]</f>
        <v/>
      </c>
    </row>
    <row r="690" ht="15.75" customHeight="1">
      <c r="B690" s="77">
        <f>'Dados Status Invest'!A676</f>
        <v/>
      </c>
      <c r="C690" s="60">
        <f>VLOOKUP(Table_1[[#This Row],[AÇÕES]],'Classificação B3'!A:B,2,0)</f>
        <v/>
      </c>
      <c r="D690" s="60">
        <f>VLOOKUP(Table_1[[#This Row],[AÇÕES]],'Classificação B3'!A:D,4,0)</f>
        <v/>
      </c>
      <c r="E690" s="60">
        <f>VLOOKUP(Table_1[[#This Row],[AÇÕES]],'Classificação B3'!A:F,6,0)</f>
        <v/>
      </c>
      <c r="F690" s="60">
        <f>VLOOKUP(Table_1[[#This Row],[AÇÕES]],'Classificação B3'!A:G,7,0)</f>
        <v/>
      </c>
      <c r="G690" s="61">
        <f>VLOOKUP(Table_1[[#This Row],[AÇÕES]],'Dados Status Invest'!A:B,2,0)</f>
        <v/>
      </c>
      <c r="H690" s="62">
        <f>VLOOKUP(Table_1[[#This Row],[AÇÕES]],'Dados Status Invest'!A:C,3,0)/100</f>
        <v/>
      </c>
      <c r="I690" s="62">
        <f>VLOOKUP(Table_1[[#This Row],[AÇÕES]],'Dados Status Invest'!A:D,4,0)/100</f>
        <v/>
      </c>
      <c r="J690" s="63">
        <f>VLOOKUP(Table_1[[#This Row],[AÇÕES]],'Dados Status Invest'!A:AB,28,0)</f>
        <v/>
      </c>
      <c r="K690" s="63">
        <f>VLOOKUP(Table_1[[#This Row],[AÇÕES]],'Dados Status Invest'!A:AA,27,0)</f>
        <v/>
      </c>
      <c r="L690" s="63">
        <f>Table_1[[#This Row],[PREÇO]]*Table_1[[#This Row],[DY]]</f>
        <v/>
      </c>
      <c r="M690" s="67">
        <f>$E$13</f>
        <v/>
      </c>
      <c r="N690" s="62" t="n">
        <v>0.3</v>
      </c>
      <c r="O690" s="62">
        <f>Table_1[[#This Row],[DPA]]/Table_1[[#This Row],[LPA]]</f>
        <v/>
      </c>
      <c r="P690" s="62">
        <f>IF(Table_1[[#This Row],[PAYOUT]]&lt;=40%,"CRESCIMENTO",IF(Table_1[[#This Row],[PAYOUT]]&lt;=60%,"INDEFINIDO","DIVIDENDOS"))</f>
        <v/>
      </c>
      <c r="Q690" s="62">
        <f>VLOOKUP(Table_1[[#This Row],[AÇÕES]],'Dados Status Invest'!A:R,18,0)/100</f>
        <v/>
      </c>
      <c r="R690" s="62">
        <f>VLOOKUP(Table_1[[#This Row],[AÇÕES]],'Dados Status Invest'!A:Y,25,0)/100</f>
        <v/>
      </c>
      <c r="S690" s="62">
        <f>(1-Table_1[[#This Row],[PAYOUT]])*Table_1[[#This Row],[ROE]]</f>
        <v/>
      </c>
      <c r="T690" s="98">
        <f>AVERAGE(Table_1[[#This Row],[CAGR LUCRO 5A]],Table_1[[#This Row],[CRESCIMENTO DAMODARAN]])</f>
        <v/>
      </c>
      <c r="U690" s="64">
        <f>(Table_1[[#This Row],[PREÇO JUSTO BAZIN]]-Table_1[[#This Row],[PREÇO]])/Table_1[[#This Row],[PREÇO JUSTO BAZIN]]</f>
        <v/>
      </c>
      <c r="V690" s="129">
        <f>Table_1[[#This Row],[DPA]]/6%</f>
        <v/>
      </c>
      <c r="W690" s="129">
        <f>Table_1[[#This Row],[PREÇO JUSTO BAZIN]]/(1+Table_1[[#This Row],[MARGEM DE DESCONTO]])</f>
        <v/>
      </c>
      <c r="X690" s="64">
        <f>(Table_1[[#This Row],[PREÇO JUSTO GRAHAM]]-Table_1[[#This Row],[PREÇO]])/Table_1[[#This Row],[PREÇO JUSTO GRAHAM]]</f>
        <v/>
      </c>
      <c r="Y690" s="129">
        <f>(22.5*Table_1[[#This Row],[LPA]]*Table_1[[#This Row],[VPA]])^0.5</f>
        <v/>
      </c>
      <c r="Z690" s="129">
        <f>Table_1[[#This Row],[PREÇO JUSTO GRAHAM]]/(1+Table_1[[#This Row],[MARGEM DE DESCONTO]])</f>
        <v/>
      </c>
      <c r="AA690" s="64">
        <f>(Table_1[[#This Row],[PREÇO JUSTO GORDON]]-Table_1[[#This Row],[PREÇO]])/Table_1[[#This Row],[PREÇO JUSTO GORDON]]</f>
        <v/>
      </c>
      <c r="AB690" s="130">
        <f>Table_1[[#This Row],[DPA]]*(1+Table_1[[#This Row],[MÉDIA DE CRESCIMENTO]])</f>
        <v/>
      </c>
      <c r="AC690" s="130">
        <f>Table_1[[#This Row],[D1]]/(Table_1[[#This Row],[RISCO]]-Table_1[[#This Row],[MÉDIA DE CRESCIMENTO]])</f>
        <v/>
      </c>
      <c r="AD690" s="130">
        <f>Table_1[[#This Row],[PREÇO JUSTO GORDON]]/(1+Table_1[[#This Row],[MARGEM DE DESCONTO]])</f>
        <v/>
      </c>
      <c r="AE690" s="78">
        <f>Table_1[[#This Row],[P/L]]/Table_1[[#This Row],[MÉDIA DE CRESCIMENTO]]</f>
        <v/>
      </c>
    </row>
    <row r="691" ht="15.75" customHeight="1">
      <c r="B691" s="77">
        <f>'Dados Status Invest'!A677</f>
        <v/>
      </c>
      <c r="C691" s="60">
        <f>VLOOKUP(Table_1[[#This Row],[AÇÕES]],'Classificação B3'!A:B,2,0)</f>
        <v/>
      </c>
      <c r="D691" s="60">
        <f>VLOOKUP(Table_1[[#This Row],[AÇÕES]],'Classificação B3'!A:D,4,0)</f>
        <v/>
      </c>
      <c r="E691" s="60">
        <f>VLOOKUP(Table_1[[#This Row],[AÇÕES]],'Classificação B3'!A:F,6,0)</f>
        <v/>
      </c>
      <c r="F691" s="60">
        <f>VLOOKUP(Table_1[[#This Row],[AÇÕES]],'Classificação B3'!A:G,7,0)</f>
        <v/>
      </c>
      <c r="G691" s="61">
        <f>VLOOKUP(Table_1[[#This Row],[AÇÕES]],'Dados Status Invest'!A:B,2,0)</f>
        <v/>
      </c>
      <c r="H691" s="62">
        <f>VLOOKUP(Table_1[[#This Row],[AÇÕES]],'Dados Status Invest'!A:C,3,0)/100</f>
        <v/>
      </c>
      <c r="I691" s="62">
        <f>VLOOKUP(Table_1[[#This Row],[AÇÕES]],'Dados Status Invest'!A:D,4,0)/100</f>
        <v/>
      </c>
      <c r="J691" s="63">
        <f>VLOOKUP(Table_1[[#This Row],[AÇÕES]],'Dados Status Invest'!A:AB,28,0)</f>
        <v/>
      </c>
      <c r="K691" s="63">
        <f>VLOOKUP(Table_1[[#This Row],[AÇÕES]],'Dados Status Invest'!A:AA,27,0)</f>
        <v/>
      </c>
      <c r="L691" s="63">
        <f>Table_1[[#This Row],[PREÇO]]*Table_1[[#This Row],[DY]]</f>
        <v/>
      </c>
      <c r="M691" s="67">
        <f>$E$13</f>
        <v/>
      </c>
      <c r="N691" s="62" t="n">
        <v>0.3</v>
      </c>
      <c r="O691" s="62">
        <f>Table_1[[#This Row],[DPA]]/Table_1[[#This Row],[LPA]]</f>
        <v/>
      </c>
      <c r="P691" s="62">
        <f>IF(Table_1[[#This Row],[PAYOUT]]&lt;=40%,"CRESCIMENTO",IF(Table_1[[#This Row],[PAYOUT]]&lt;=60%,"INDEFINIDO","DIVIDENDOS"))</f>
        <v/>
      </c>
      <c r="Q691" s="62">
        <f>VLOOKUP(Table_1[[#This Row],[AÇÕES]],'Dados Status Invest'!A:R,18,0)/100</f>
        <v/>
      </c>
      <c r="R691" s="62">
        <f>VLOOKUP(Table_1[[#This Row],[AÇÕES]],'Dados Status Invest'!A:Y,25,0)/100</f>
        <v/>
      </c>
      <c r="S691" s="62">
        <f>(1-Table_1[[#This Row],[PAYOUT]])*Table_1[[#This Row],[ROE]]</f>
        <v/>
      </c>
      <c r="T691" s="98">
        <f>AVERAGE(Table_1[[#This Row],[CAGR LUCRO 5A]],Table_1[[#This Row],[CRESCIMENTO DAMODARAN]])</f>
        <v/>
      </c>
      <c r="U691" s="64">
        <f>(Table_1[[#This Row],[PREÇO JUSTO BAZIN]]-Table_1[[#This Row],[PREÇO]])/Table_1[[#This Row],[PREÇO JUSTO BAZIN]]</f>
        <v/>
      </c>
      <c r="V691" s="129">
        <f>Table_1[[#This Row],[DPA]]/6%</f>
        <v/>
      </c>
      <c r="W691" s="129">
        <f>Table_1[[#This Row],[PREÇO JUSTO BAZIN]]/(1+Table_1[[#This Row],[MARGEM DE DESCONTO]])</f>
        <v/>
      </c>
      <c r="X691" s="64">
        <f>(Table_1[[#This Row],[PREÇO JUSTO GRAHAM]]-Table_1[[#This Row],[PREÇO]])/Table_1[[#This Row],[PREÇO JUSTO GRAHAM]]</f>
        <v/>
      </c>
      <c r="Y691" s="129">
        <f>(22.5*Table_1[[#This Row],[LPA]]*Table_1[[#This Row],[VPA]])^0.5</f>
        <v/>
      </c>
      <c r="Z691" s="129">
        <f>Table_1[[#This Row],[PREÇO JUSTO GRAHAM]]/(1+Table_1[[#This Row],[MARGEM DE DESCONTO]])</f>
        <v/>
      </c>
      <c r="AA691" s="64">
        <f>(Table_1[[#This Row],[PREÇO JUSTO GORDON]]-Table_1[[#This Row],[PREÇO]])/Table_1[[#This Row],[PREÇO JUSTO GORDON]]</f>
        <v/>
      </c>
      <c r="AB691" s="130">
        <f>Table_1[[#This Row],[DPA]]*(1+Table_1[[#This Row],[MÉDIA DE CRESCIMENTO]])</f>
        <v/>
      </c>
      <c r="AC691" s="130">
        <f>Table_1[[#This Row],[D1]]/(Table_1[[#This Row],[RISCO]]-Table_1[[#This Row],[MÉDIA DE CRESCIMENTO]])</f>
        <v/>
      </c>
      <c r="AD691" s="130">
        <f>Table_1[[#This Row],[PREÇO JUSTO GORDON]]/(1+Table_1[[#This Row],[MARGEM DE DESCONTO]])</f>
        <v/>
      </c>
      <c r="AE691" s="78">
        <f>Table_1[[#This Row],[P/L]]/Table_1[[#This Row],[MÉDIA DE CRESCIMENTO]]</f>
        <v/>
      </c>
    </row>
    <row r="692" ht="15.75" customHeight="1">
      <c r="B692" s="77">
        <f>'Dados Status Invest'!A678</f>
        <v/>
      </c>
      <c r="C692" s="60">
        <f>VLOOKUP(Table_1[[#This Row],[AÇÕES]],'Classificação B3'!A:B,2,0)</f>
        <v/>
      </c>
      <c r="D692" s="60">
        <f>VLOOKUP(Table_1[[#This Row],[AÇÕES]],'Classificação B3'!A:D,4,0)</f>
        <v/>
      </c>
      <c r="E692" s="60">
        <f>VLOOKUP(Table_1[[#This Row],[AÇÕES]],'Classificação B3'!A:F,6,0)</f>
        <v/>
      </c>
      <c r="F692" s="60">
        <f>VLOOKUP(Table_1[[#This Row],[AÇÕES]],'Classificação B3'!A:G,7,0)</f>
        <v/>
      </c>
      <c r="G692" s="61">
        <f>VLOOKUP(Table_1[[#This Row],[AÇÕES]],'Dados Status Invest'!A:B,2,0)</f>
        <v/>
      </c>
      <c r="H692" s="62">
        <f>VLOOKUP(Table_1[[#This Row],[AÇÕES]],'Dados Status Invest'!A:C,3,0)/100</f>
        <v/>
      </c>
      <c r="I692" s="62">
        <f>VLOOKUP(Table_1[[#This Row],[AÇÕES]],'Dados Status Invest'!A:D,4,0)/100</f>
        <v/>
      </c>
      <c r="J692" s="63">
        <f>VLOOKUP(Table_1[[#This Row],[AÇÕES]],'Dados Status Invest'!A:AB,28,0)</f>
        <v/>
      </c>
      <c r="K692" s="63">
        <f>VLOOKUP(Table_1[[#This Row],[AÇÕES]],'Dados Status Invest'!A:AA,27,0)</f>
        <v/>
      </c>
      <c r="L692" s="63">
        <f>Table_1[[#This Row],[PREÇO]]*Table_1[[#This Row],[DY]]</f>
        <v/>
      </c>
      <c r="M692" s="67">
        <f>$E$13</f>
        <v/>
      </c>
      <c r="N692" s="62" t="n">
        <v>0.3</v>
      </c>
      <c r="O692" s="62">
        <f>Table_1[[#This Row],[DPA]]/Table_1[[#This Row],[LPA]]</f>
        <v/>
      </c>
      <c r="P692" s="62">
        <f>IF(Table_1[[#This Row],[PAYOUT]]&lt;=40%,"CRESCIMENTO",IF(Table_1[[#This Row],[PAYOUT]]&lt;=60%,"INDEFINIDO","DIVIDENDOS"))</f>
        <v/>
      </c>
      <c r="Q692" s="62">
        <f>VLOOKUP(Table_1[[#This Row],[AÇÕES]],'Dados Status Invest'!A:R,18,0)/100</f>
        <v/>
      </c>
      <c r="R692" s="62">
        <f>VLOOKUP(Table_1[[#This Row],[AÇÕES]],'Dados Status Invest'!A:Y,25,0)/100</f>
        <v/>
      </c>
      <c r="S692" s="62">
        <f>(1-Table_1[[#This Row],[PAYOUT]])*Table_1[[#This Row],[ROE]]</f>
        <v/>
      </c>
      <c r="T692" s="98">
        <f>AVERAGE(Table_1[[#This Row],[CAGR LUCRO 5A]],Table_1[[#This Row],[CRESCIMENTO DAMODARAN]])</f>
        <v/>
      </c>
      <c r="U692" s="64">
        <f>(Table_1[[#This Row],[PREÇO JUSTO BAZIN]]-Table_1[[#This Row],[PREÇO]])/Table_1[[#This Row],[PREÇO JUSTO BAZIN]]</f>
        <v/>
      </c>
      <c r="V692" s="129">
        <f>Table_1[[#This Row],[DPA]]/6%</f>
        <v/>
      </c>
      <c r="W692" s="129">
        <f>Table_1[[#This Row],[PREÇO JUSTO BAZIN]]/(1+Table_1[[#This Row],[MARGEM DE DESCONTO]])</f>
        <v/>
      </c>
      <c r="X692" s="64">
        <f>(Table_1[[#This Row],[PREÇO JUSTO GRAHAM]]-Table_1[[#This Row],[PREÇO]])/Table_1[[#This Row],[PREÇO JUSTO GRAHAM]]</f>
        <v/>
      </c>
      <c r="Y692" s="129">
        <f>(22.5*Table_1[[#This Row],[LPA]]*Table_1[[#This Row],[VPA]])^0.5</f>
        <v/>
      </c>
      <c r="Z692" s="129">
        <f>Table_1[[#This Row],[PREÇO JUSTO GRAHAM]]/(1+Table_1[[#This Row],[MARGEM DE DESCONTO]])</f>
        <v/>
      </c>
      <c r="AA692" s="64">
        <f>(Table_1[[#This Row],[PREÇO JUSTO GORDON]]-Table_1[[#This Row],[PREÇO]])/Table_1[[#This Row],[PREÇO JUSTO GORDON]]</f>
        <v/>
      </c>
      <c r="AB692" s="130">
        <f>Table_1[[#This Row],[DPA]]*(1+Table_1[[#This Row],[MÉDIA DE CRESCIMENTO]])</f>
        <v/>
      </c>
      <c r="AC692" s="130">
        <f>Table_1[[#This Row],[D1]]/(Table_1[[#This Row],[RISCO]]-Table_1[[#This Row],[MÉDIA DE CRESCIMENTO]])</f>
        <v/>
      </c>
      <c r="AD692" s="130">
        <f>Table_1[[#This Row],[PREÇO JUSTO GORDON]]/(1+Table_1[[#This Row],[MARGEM DE DESCONTO]])</f>
        <v/>
      </c>
      <c r="AE692" s="78">
        <f>Table_1[[#This Row],[P/L]]/Table_1[[#This Row],[MÉDIA DE CRESCIMENTO]]</f>
        <v/>
      </c>
    </row>
    <row r="693" ht="15.75" customHeight="1">
      <c r="B693" s="77">
        <f>'Dados Status Invest'!A679</f>
        <v/>
      </c>
      <c r="C693" s="60">
        <f>VLOOKUP(Table_1[[#This Row],[AÇÕES]],'Classificação B3'!A:B,2,0)</f>
        <v/>
      </c>
      <c r="D693" s="60">
        <f>VLOOKUP(Table_1[[#This Row],[AÇÕES]],'Classificação B3'!A:D,4,0)</f>
        <v/>
      </c>
      <c r="E693" s="60">
        <f>VLOOKUP(Table_1[[#This Row],[AÇÕES]],'Classificação B3'!A:F,6,0)</f>
        <v/>
      </c>
      <c r="F693" s="60">
        <f>VLOOKUP(Table_1[[#This Row],[AÇÕES]],'Classificação B3'!A:G,7,0)</f>
        <v/>
      </c>
      <c r="G693" s="61">
        <f>VLOOKUP(Table_1[[#This Row],[AÇÕES]],'Dados Status Invest'!A:B,2,0)</f>
        <v/>
      </c>
      <c r="H693" s="62">
        <f>VLOOKUP(Table_1[[#This Row],[AÇÕES]],'Dados Status Invest'!A:C,3,0)/100</f>
        <v/>
      </c>
      <c r="I693" s="62">
        <f>VLOOKUP(Table_1[[#This Row],[AÇÕES]],'Dados Status Invest'!A:D,4,0)/100</f>
        <v/>
      </c>
      <c r="J693" s="63">
        <f>VLOOKUP(Table_1[[#This Row],[AÇÕES]],'Dados Status Invest'!A:AB,28,0)</f>
        <v/>
      </c>
      <c r="K693" s="63">
        <f>VLOOKUP(Table_1[[#This Row],[AÇÕES]],'Dados Status Invest'!A:AA,27,0)</f>
        <v/>
      </c>
      <c r="L693" s="63">
        <f>Table_1[[#This Row],[PREÇO]]*Table_1[[#This Row],[DY]]</f>
        <v/>
      </c>
      <c r="M693" s="67">
        <f>$E$13</f>
        <v/>
      </c>
      <c r="N693" s="62" t="n">
        <v>0.3</v>
      </c>
      <c r="O693" s="62">
        <f>Table_1[[#This Row],[DPA]]/Table_1[[#This Row],[LPA]]</f>
        <v/>
      </c>
      <c r="P693" s="62">
        <f>IF(Table_1[[#This Row],[PAYOUT]]&lt;=40%,"CRESCIMENTO",IF(Table_1[[#This Row],[PAYOUT]]&lt;=60%,"INDEFINIDO","DIVIDENDOS"))</f>
        <v/>
      </c>
      <c r="Q693" s="62">
        <f>VLOOKUP(Table_1[[#This Row],[AÇÕES]],'Dados Status Invest'!A:R,18,0)/100</f>
        <v/>
      </c>
      <c r="R693" s="62">
        <f>VLOOKUP(Table_1[[#This Row],[AÇÕES]],'Dados Status Invest'!A:Y,25,0)/100</f>
        <v/>
      </c>
      <c r="S693" s="62">
        <f>(1-Table_1[[#This Row],[PAYOUT]])*Table_1[[#This Row],[ROE]]</f>
        <v/>
      </c>
      <c r="T693" s="98">
        <f>AVERAGE(Table_1[[#This Row],[CAGR LUCRO 5A]],Table_1[[#This Row],[CRESCIMENTO DAMODARAN]])</f>
        <v/>
      </c>
      <c r="U693" s="64">
        <f>(Table_1[[#This Row],[PREÇO JUSTO BAZIN]]-Table_1[[#This Row],[PREÇO]])/Table_1[[#This Row],[PREÇO JUSTO BAZIN]]</f>
        <v/>
      </c>
      <c r="V693" s="129">
        <f>Table_1[[#This Row],[DPA]]/6%</f>
        <v/>
      </c>
      <c r="W693" s="129">
        <f>Table_1[[#This Row],[PREÇO JUSTO BAZIN]]/(1+Table_1[[#This Row],[MARGEM DE DESCONTO]])</f>
        <v/>
      </c>
      <c r="X693" s="64">
        <f>(Table_1[[#This Row],[PREÇO JUSTO GRAHAM]]-Table_1[[#This Row],[PREÇO]])/Table_1[[#This Row],[PREÇO JUSTO GRAHAM]]</f>
        <v/>
      </c>
      <c r="Y693" s="129">
        <f>(22.5*Table_1[[#This Row],[LPA]]*Table_1[[#This Row],[VPA]])^0.5</f>
        <v/>
      </c>
      <c r="Z693" s="129">
        <f>Table_1[[#This Row],[PREÇO JUSTO GRAHAM]]/(1+Table_1[[#This Row],[MARGEM DE DESCONTO]])</f>
        <v/>
      </c>
      <c r="AA693" s="64">
        <f>(Table_1[[#This Row],[PREÇO JUSTO GORDON]]-Table_1[[#This Row],[PREÇO]])/Table_1[[#This Row],[PREÇO JUSTO GORDON]]</f>
        <v/>
      </c>
      <c r="AB693" s="130">
        <f>Table_1[[#This Row],[DPA]]*(1+Table_1[[#This Row],[MÉDIA DE CRESCIMENTO]])</f>
        <v/>
      </c>
      <c r="AC693" s="130">
        <f>Table_1[[#This Row],[D1]]/(Table_1[[#This Row],[RISCO]]-Table_1[[#This Row],[MÉDIA DE CRESCIMENTO]])</f>
        <v/>
      </c>
      <c r="AD693" s="130">
        <f>Table_1[[#This Row],[PREÇO JUSTO GORDON]]/(1+Table_1[[#This Row],[MARGEM DE DESCONTO]])</f>
        <v/>
      </c>
      <c r="AE693" s="78">
        <f>Table_1[[#This Row],[P/L]]/Table_1[[#This Row],[MÉDIA DE CRESCIMENTO]]</f>
        <v/>
      </c>
    </row>
    <row r="694" ht="15.75" customHeight="1">
      <c r="B694" s="77">
        <f>'Dados Status Invest'!A680</f>
        <v/>
      </c>
      <c r="C694" s="60">
        <f>VLOOKUP(Table_1[[#This Row],[AÇÕES]],'Classificação B3'!A:B,2,0)</f>
        <v/>
      </c>
      <c r="D694" s="60">
        <f>VLOOKUP(Table_1[[#This Row],[AÇÕES]],'Classificação B3'!A:D,4,0)</f>
        <v/>
      </c>
      <c r="E694" s="60">
        <f>VLOOKUP(Table_1[[#This Row],[AÇÕES]],'Classificação B3'!A:F,6,0)</f>
        <v/>
      </c>
      <c r="F694" s="60">
        <f>VLOOKUP(Table_1[[#This Row],[AÇÕES]],'Classificação B3'!A:G,7,0)</f>
        <v/>
      </c>
      <c r="G694" s="61">
        <f>VLOOKUP(Table_1[[#This Row],[AÇÕES]],'Dados Status Invest'!A:B,2,0)</f>
        <v/>
      </c>
      <c r="H694" s="62">
        <f>VLOOKUP(Table_1[[#This Row],[AÇÕES]],'Dados Status Invest'!A:C,3,0)/100</f>
        <v/>
      </c>
      <c r="I694" s="62">
        <f>VLOOKUP(Table_1[[#This Row],[AÇÕES]],'Dados Status Invest'!A:D,4,0)/100</f>
        <v/>
      </c>
      <c r="J694" s="63">
        <f>VLOOKUP(Table_1[[#This Row],[AÇÕES]],'Dados Status Invest'!A:AB,28,0)</f>
        <v/>
      </c>
      <c r="K694" s="63">
        <f>VLOOKUP(Table_1[[#This Row],[AÇÕES]],'Dados Status Invest'!A:AA,27,0)</f>
        <v/>
      </c>
      <c r="L694" s="63">
        <f>Table_1[[#This Row],[PREÇO]]*Table_1[[#This Row],[DY]]</f>
        <v/>
      </c>
      <c r="M694" s="67">
        <f>$E$13</f>
        <v/>
      </c>
      <c r="N694" s="62" t="n">
        <v>0.3</v>
      </c>
      <c r="O694" s="62">
        <f>Table_1[[#This Row],[DPA]]/Table_1[[#This Row],[LPA]]</f>
        <v/>
      </c>
      <c r="P694" s="62">
        <f>IF(Table_1[[#This Row],[PAYOUT]]&lt;=40%,"CRESCIMENTO",IF(Table_1[[#This Row],[PAYOUT]]&lt;=60%,"INDEFINIDO","DIVIDENDOS"))</f>
        <v/>
      </c>
      <c r="Q694" s="62">
        <f>VLOOKUP(Table_1[[#This Row],[AÇÕES]],'Dados Status Invest'!A:R,18,0)/100</f>
        <v/>
      </c>
      <c r="R694" s="62">
        <f>VLOOKUP(Table_1[[#This Row],[AÇÕES]],'Dados Status Invest'!A:Y,25,0)/100</f>
        <v/>
      </c>
      <c r="S694" s="62">
        <f>(1-Table_1[[#This Row],[PAYOUT]])*Table_1[[#This Row],[ROE]]</f>
        <v/>
      </c>
      <c r="T694" s="98">
        <f>AVERAGE(Table_1[[#This Row],[CAGR LUCRO 5A]],Table_1[[#This Row],[CRESCIMENTO DAMODARAN]])</f>
        <v/>
      </c>
      <c r="U694" s="64">
        <f>(Table_1[[#This Row],[PREÇO JUSTO BAZIN]]-Table_1[[#This Row],[PREÇO]])/Table_1[[#This Row],[PREÇO JUSTO BAZIN]]</f>
        <v/>
      </c>
      <c r="V694" s="129">
        <f>Table_1[[#This Row],[DPA]]/6%</f>
        <v/>
      </c>
      <c r="W694" s="129">
        <f>Table_1[[#This Row],[PREÇO JUSTO BAZIN]]/(1+Table_1[[#This Row],[MARGEM DE DESCONTO]])</f>
        <v/>
      </c>
      <c r="X694" s="64">
        <f>(Table_1[[#This Row],[PREÇO JUSTO GRAHAM]]-Table_1[[#This Row],[PREÇO]])/Table_1[[#This Row],[PREÇO JUSTO GRAHAM]]</f>
        <v/>
      </c>
      <c r="Y694" s="129">
        <f>(22.5*Table_1[[#This Row],[LPA]]*Table_1[[#This Row],[VPA]])^0.5</f>
        <v/>
      </c>
      <c r="Z694" s="129">
        <f>Table_1[[#This Row],[PREÇO JUSTO GRAHAM]]/(1+Table_1[[#This Row],[MARGEM DE DESCONTO]])</f>
        <v/>
      </c>
      <c r="AA694" s="64">
        <f>(Table_1[[#This Row],[PREÇO JUSTO GORDON]]-Table_1[[#This Row],[PREÇO]])/Table_1[[#This Row],[PREÇO JUSTO GORDON]]</f>
        <v/>
      </c>
      <c r="AB694" s="130">
        <f>Table_1[[#This Row],[DPA]]*(1+Table_1[[#This Row],[MÉDIA DE CRESCIMENTO]])</f>
        <v/>
      </c>
      <c r="AC694" s="130">
        <f>Table_1[[#This Row],[D1]]/(Table_1[[#This Row],[RISCO]]-Table_1[[#This Row],[MÉDIA DE CRESCIMENTO]])</f>
        <v/>
      </c>
      <c r="AD694" s="130">
        <f>Table_1[[#This Row],[PREÇO JUSTO GORDON]]/(1+Table_1[[#This Row],[MARGEM DE DESCONTO]])</f>
        <v/>
      </c>
      <c r="AE694" s="78">
        <f>Table_1[[#This Row],[P/L]]/Table_1[[#This Row],[MÉDIA DE CRESCIMENTO]]</f>
        <v/>
      </c>
    </row>
    <row r="695" ht="15.75" customHeight="1">
      <c r="B695" s="77">
        <f>'Dados Status Invest'!A681</f>
        <v/>
      </c>
      <c r="C695" s="60">
        <f>VLOOKUP(Table_1[[#This Row],[AÇÕES]],'Classificação B3'!A:B,2,0)</f>
        <v/>
      </c>
      <c r="D695" s="60">
        <f>VLOOKUP(Table_1[[#This Row],[AÇÕES]],'Classificação B3'!A:D,4,0)</f>
        <v/>
      </c>
      <c r="E695" s="60">
        <f>VLOOKUP(Table_1[[#This Row],[AÇÕES]],'Classificação B3'!A:F,6,0)</f>
        <v/>
      </c>
      <c r="F695" s="60">
        <f>VLOOKUP(Table_1[[#This Row],[AÇÕES]],'Classificação B3'!A:G,7,0)</f>
        <v/>
      </c>
      <c r="G695" s="61">
        <f>VLOOKUP(Table_1[[#This Row],[AÇÕES]],'Dados Status Invest'!A:B,2,0)</f>
        <v/>
      </c>
      <c r="H695" s="62">
        <f>VLOOKUP(Table_1[[#This Row],[AÇÕES]],'Dados Status Invest'!A:C,3,0)/100</f>
        <v/>
      </c>
      <c r="I695" s="62">
        <f>VLOOKUP(Table_1[[#This Row],[AÇÕES]],'Dados Status Invest'!A:D,4,0)/100</f>
        <v/>
      </c>
      <c r="J695" s="63">
        <f>VLOOKUP(Table_1[[#This Row],[AÇÕES]],'Dados Status Invest'!A:AB,28,0)</f>
        <v/>
      </c>
      <c r="K695" s="63">
        <f>VLOOKUP(Table_1[[#This Row],[AÇÕES]],'Dados Status Invest'!A:AA,27,0)</f>
        <v/>
      </c>
      <c r="L695" s="63">
        <f>Table_1[[#This Row],[PREÇO]]*Table_1[[#This Row],[DY]]</f>
        <v/>
      </c>
      <c r="M695" s="67">
        <f>$E$13</f>
        <v/>
      </c>
      <c r="N695" s="62" t="n">
        <v>0.3</v>
      </c>
      <c r="O695" s="62">
        <f>Table_1[[#This Row],[DPA]]/Table_1[[#This Row],[LPA]]</f>
        <v/>
      </c>
      <c r="P695" s="62">
        <f>IF(Table_1[[#This Row],[PAYOUT]]&lt;=40%,"CRESCIMENTO",IF(Table_1[[#This Row],[PAYOUT]]&lt;=60%,"INDEFINIDO","DIVIDENDOS"))</f>
        <v/>
      </c>
      <c r="Q695" s="62">
        <f>VLOOKUP(Table_1[[#This Row],[AÇÕES]],'Dados Status Invest'!A:R,18,0)/100</f>
        <v/>
      </c>
      <c r="R695" s="62">
        <f>VLOOKUP(Table_1[[#This Row],[AÇÕES]],'Dados Status Invest'!A:Y,25,0)/100</f>
        <v/>
      </c>
      <c r="S695" s="62">
        <f>(1-Table_1[[#This Row],[PAYOUT]])*Table_1[[#This Row],[ROE]]</f>
        <v/>
      </c>
      <c r="T695" s="98">
        <f>AVERAGE(Table_1[[#This Row],[CAGR LUCRO 5A]],Table_1[[#This Row],[CRESCIMENTO DAMODARAN]])</f>
        <v/>
      </c>
      <c r="U695" s="64">
        <f>(Table_1[[#This Row],[PREÇO JUSTO BAZIN]]-Table_1[[#This Row],[PREÇO]])/Table_1[[#This Row],[PREÇO JUSTO BAZIN]]</f>
        <v/>
      </c>
      <c r="V695" s="129">
        <f>Table_1[[#This Row],[DPA]]/6%</f>
        <v/>
      </c>
      <c r="W695" s="129">
        <f>Table_1[[#This Row],[PREÇO JUSTO BAZIN]]/(1+Table_1[[#This Row],[MARGEM DE DESCONTO]])</f>
        <v/>
      </c>
      <c r="X695" s="64">
        <f>(Table_1[[#This Row],[PREÇO JUSTO GRAHAM]]-Table_1[[#This Row],[PREÇO]])/Table_1[[#This Row],[PREÇO JUSTO GRAHAM]]</f>
        <v/>
      </c>
      <c r="Y695" s="129">
        <f>(22.5*Table_1[[#This Row],[LPA]]*Table_1[[#This Row],[VPA]])^0.5</f>
        <v/>
      </c>
      <c r="Z695" s="129">
        <f>Table_1[[#This Row],[PREÇO JUSTO GRAHAM]]/(1+Table_1[[#This Row],[MARGEM DE DESCONTO]])</f>
        <v/>
      </c>
      <c r="AA695" s="64">
        <f>(Table_1[[#This Row],[PREÇO JUSTO GORDON]]-Table_1[[#This Row],[PREÇO]])/Table_1[[#This Row],[PREÇO JUSTO GORDON]]</f>
        <v/>
      </c>
      <c r="AB695" s="130">
        <f>Table_1[[#This Row],[DPA]]*(1+Table_1[[#This Row],[MÉDIA DE CRESCIMENTO]])</f>
        <v/>
      </c>
      <c r="AC695" s="130">
        <f>Table_1[[#This Row],[D1]]/(Table_1[[#This Row],[RISCO]]-Table_1[[#This Row],[MÉDIA DE CRESCIMENTO]])</f>
        <v/>
      </c>
      <c r="AD695" s="130">
        <f>Table_1[[#This Row],[PREÇO JUSTO GORDON]]/(1+Table_1[[#This Row],[MARGEM DE DESCONTO]])</f>
        <v/>
      </c>
      <c r="AE695" s="78">
        <f>Table_1[[#This Row],[P/L]]/Table_1[[#This Row],[MÉDIA DE CRESCIMENTO]]</f>
        <v/>
      </c>
    </row>
    <row r="696" ht="15.75" customHeight="1">
      <c r="B696" s="77">
        <f>'Dados Status Invest'!A682</f>
        <v/>
      </c>
      <c r="C696" s="60">
        <f>VLOOKUP(Table_1[[#This Row],[AÇÕES]],'Classificação B3'!A:B,2,0)</f>
        <v/>
      </c>
      <c r="D696" s="60">
        <f>VLOOKUP(Table_1[[#This Row],[AÇÕES]],'Classificação B3'!A:D,4,0)</f>
        <v/>
      </c>
      <c r="E696" s="60">
        <f>VLOOKUP(Table_1[[#This Row],[AÇÕES]],'Classificação B3'!A:F,6,0)</f>
        <v/>
      </c>
      <c r="F696" s="60">
        <f>VLOOKUP(Table_1[[#This Row],[AÇÕES]],'Classificação B3'!A:G,7,0)</f>
        <v/>
      </c>
      <c r="G696" s="61">
        <f>VLOOKUP(Table_1[[#This Row],[AÇÕES]],'Dados Status Invest'!A:B,2,0)</f>
        <v/>
      </c>
      <c r="H696" s="62">
        <f>VLOOKUP(Table_1[[#This Row],[AÇÕES]],'Dados Status Invest'!A:C,3,0)/100</f>
        <v/>
      </c>
      <c r="I696" s="62">
        <f>VLOOKUP(Table_1[[#This Row],[AÇÕES]],'Dados Status Invest'!A:D,4,0)/100</f>
        <v/>
      </c>
      <c r="J696" s="63">
        <f>VLOOKUP(Table_1[[#This Row],[AÇÕES]],'Dados Status Invest'!A:AB,28,0)</f>
        <v/>
      </c>
      <c r="K696" s="63">
        <f>VLOOKUP(Table_1[[#This Row],[AÇÕES]],'Dados Status Invest'!A:AA,27,0)</f>
        <v/>
      </c>
      <c r="L696" s="63">
        <f>Table_1[[#This Row],[PREÇO]]*Table_1[[#This Row],[DY]]</f>
        <v/>
      </c>
      <c r="M696" s="67">
        <f>$E$13</f>
        <v/>
      </c>
      <c r="N696" s="62" t="n">
        <v>0.3</v>
      </c>
      <c r="O696" s="62">
        <f>Table_1[[#This Row],[DPA]]/Table_1[[#This Row],[LPA]]</f>
        <v/>
      </c>
      <c r="P696" s="62">
        <f>IF(Table_1[[#This Row],[PAYOUT]]&lt;=40%,"CRESCIMENTO",IF(Table_1[[#This Row],[PAYOUT]]&lt;=60%,"INDEFINIDO","DIVIDENDOS"))</f>
        <v/>
      </c>
      <c r="Q696" s="62">
        <f>VLOOKUP(Table_1[[#This Row],[AÇÕES]],'Dados Status Invest'!A:R,18,0)/100</f>
        <v/>
      </c>
      <c r="R696" s="62">
        <f>VLOOKUP(Table_1[[#This Row],[AÇÕES]],'Dados Status Invest'!A:Y,25,0)/100</f>
        <v/>
      </c>
      <c r="S696" s="62">
        <f>(1-Table_1[[#This Row],[PAYOUT]])*Table_1[[#This Row],[ROE]]</f>
        <v/>
      </c>
      <c r="T696" s="98">
        <f>AVERAGE(Table_1[[#This Row],[CAGR LUCRO 5A]],Table_1[[#This Row],[CRESCIMENTO DAMODARAN]])</f>
        <v/>
      </c>
      <c r="U696" s="64">
        <f>(Table_1[[#This Row],[PREÇO JUSTO BAZIN]]-Table_1[[#This Row],[PREÇO]])/Table_1[[#This Row],[PREÇO JUSTO BAZIN]]</f>
        <v/>
      </c>
      <c r="V696" s="129">
        <f>Table_1[[#This Row],[DPA]]/6%</f>
        <v/>
      </c>
      <c r="W696" s="129">
        <f>Table_1[[#This Row],[PREÇO JUSTO BAZIN]]/(1+Table_1[[#This Row],[MARGEM DE DESCONTO]])</f>
        <v/>
      </c>
      <c r="X696" s="64">
        <f>(Table_1[[#This Row],[PREÇO JUSTO GRAHAM]]-Table_1[[#This Row],[PREÇO]])/Table_1[[#This Row],[PREÇO JUSTO GRAHAM]]</f>
        <v/>
      </c>
      <c r="Y696" s="129">
        <f>(22.5*Table_1[[#This Row],[LPA]]*Table_1[[#This Row],[VPA]])^0.5</f>
        <v/>
      </c>
      <c r="Z696" s="129">
        <f>Table_1[[#This Row],[PREÇO JUSTO GRAHAM]]/(1+Table_1[[#This Row],[MARGEM DE DESCONTO]])</f>
        <v/>
      </c>
      <c r="AA696" s="64">
        <f>(Table_1[[#This Row],[PREÇO JUSTO GORDON]]-Table_1[[#This Row],[PREÇO]])/Table_1[[#This Row],[PREÇO JUSTO GORDON]]</f>
        <v/>
      </c>
      <c r="AB696" s="130">
        <f>Table_1[[#This Row],[DPA]]*(1+Table_1[[#This Row],[MÉDIA DE CRESCIMENTO]])</f>
        <v/>
      </c>
      <c r="AC696" s="130">
        <f>Table_1[[#This Row],[D1]]/(Table_1[[#This Row],[RISCO]]-Table_1[[#This Row],[MÉDIA DE CRESCIMENTO]])</f>
        <v/>
      </c>
      <c r="AD696" s="130">
        <f>Table_1[[#This Row],[PREÇO JUSTO GORDON]]/(1+Table_1[[#This Row],[MARGEM DE DESCONTO]])</f>
        <v/>
      </c>
      <c r="AE696" s="78">
        <f>Table_1[[#This Row],[P/L]]/Table_1[[#This Row],[MÉDIA DE CRESCIMENTO]]</f>
        <v/>
      </c>
    </row>
    <row r="697" ht="15.75" customHeight="1">
      <c r="B697" s="77">
        <f>'Dados Status Invest'!A683</f>
        <v/>
      </c>
      <c r="C697" s="60">
        <f>VLOOKUP(Table_1[[#This Row],[AÇÕES]],'Classificação B3'!A:B,2,0)</f>
        <v/>
      </c>
      <c r="D697" s="60">
        <f>VLOOKUP(Table_1[[#This Row],[AÇÕES]],'Classificação B3'!A:D,4,0)</f>
        <v/>
      </c>
      <c r="E697" s="60">
        <f>VLOOKUP(Table_1[[#This Row],[AÇÕES]],'Classificação B3'!A:F,6,0)</f>
        <v/>
      </c>
      <c r="F697" s="60">
        <f>VLOOKUP(Table_1[[#This Row],[AÇÕES]],'Classificação B3'!A:G,7,0)</f>
        <v/>
      </c>
      <c r="G697" s="61">
        <f>VLOOKUP(Table_1[[#This Row],[AÇÕES]],'Dados Status Invest'!A:B,2,0)</f>
        <v/>
      </c>
      <c r="H697" s="62">
        <f>VLOOKUP(Table_1[[#This Row],[AÇÕES]],'Dados Status Invest'!A:C,3,0)/100</f>
        <v/>
      </c>
      <c r="I697" s="62">
        <f>VLOOKUP(Table_1[[#This Row],[AÇÕES]],'Dados Status Invest'!A:D,4,0)/100</f>
        <v/>
      </c>
      <c r="J697" s="63">
        <f>VLOOKUP(Table_1[[#This Row],[AÇÕES]],'Dados Status Invest'!A:AB,28,0)</f>
        <v/>
      </c>
      <c r="K697" s="63">
        <f>VLOOKUP(Table_1[[#This Row],[AÇÕES]],'Dados Status Invest'!A:AA,27,0)</f>
        <v/>
      </c>
      <c r="L697" s="63">
        <f>Table_1[[#This Row],[PREÇO]]*Table_1[[#This Row],[DY]]</f>
        <v/>
      </c>
      <c r="M697" s="67">
        <f>$E$13</f>
        <v/>
      </c>
      <c r="N697" s="62" t="n">
        <v>0.3</v>
      </c>
      <c r="O697" s="62">
        <f>Table_1[[#This Row],[DPA]]/Table_1[[#This Row],[LPA]]</f>
        <v/>
      </c>
      <c r="P697" s="62">
        <f>IF(Table_1[[#This Row],[PAYOUT]]&lt;=40%,"CRESCIMENTO",IF(Table_1[[#This Row],[PAYOUT]]&lt;=60%,"INDEFINIDO","DIVIDENDOS"))</f>
        <v/>
      </c>
      <c r="Q697" s="62">
        <f>VLOOKUP(Table_1[[#This Row],[AÇÕES]],'Dados Status Invest'!A:R,18,0)/100</f>
        <v/>
      </c>
      <c r="R697" s="62">
        <f>VLOOKUP(Table_1[[#This Row],[AÇÕES]],'Dados Status Invest'!A:Y,25,0)/100</f>
        <v/>
      </c>
      <c r="S697" s="62">
        <f>(1-Table_1[[#This Row],[PAYOUT]])*Table_1[[#This Row],[ROE]]</f>
        <v/>
      </c>
      <c r="T697" s="98">
        <f>AVERAGE(Table_1[[#This Row],[CAGR LUCRO 5A]],Table_1[[#This Row],[CRESCIMENTO DAMODARAN]])</f>
        <v/>
      </c>
      <c r="U697" s="64">
        <f>(Table_1[[#This Row],[PREÇO JUSTO BAZIN]]-Table_1[[#This Row],[PREÇO]])/Table_1[[#This Row],[PREÇO JUSTO BAZIN]]</f>
        <v/>
      </c>
      <c r="V697" s="129">
        <f>Table_1[[#This Row],[DPA]]/6%</f>
        <v/>
      </c>
      <c r="W697" s="129">
        <f>Table_1[[#This Row],[PREÇO JUSTO BAZIN]]/(1+Table_1[[#This Row],[MARGEM DE DESCONTO]])</f>
        <v/>
      </c>
      <c r="X697" s="64">
        <f>(Table_1[[#This Row],[PREÇO JUSTO GRAHAM]]-Table_1[[#This Row],[PREÇO]])/Table_1[[#This Row],[PREÇO JUSTO GRAHAM]]</f>
        <v/>
      </c>
      <c r="Y697" s="129">
        <f>(22.5*Table_1[[#This Row],[LPA]]*Table_1[[#This Row],[VPA]])^0.5</f>
        <v/>
      </c>
      <c r="Z697" s="129">
        <f>Table_1[[#This Row],[PREÇO JUSTO GRAHAM]]/(1+Table_1[[#This Row],[MARGEM DE DESCONTO]])</f>
        <v/>
      </c>
      <c r="AA697" s="64">
        <f>(Table_1[[#This Row],[PREÇO JUSTO GORDON]]-Table_1[[#This Row],[PREÇO]])/Table_1[[#This Row],[PREÇO JUSTO GORDON]]</f>
        <v/>
      </c>
      <c r="AB697" s="130">
        <f>Table_1[[#This Row],[DPA]]*(1+Table_1[[#This Row],[MÉDIA DE CRESCIMENTO]])</f>
        <v/>
      </c>
      <c r="AC697" s="130">
        <f>Table_1[[#This Row],[D1]]/(Table_1[[#This Row],[RISCO]]-Table_1[[#This Row],[MÉDIA DE CRESCIMENTO]])</f>
        <v/>
      </c>
      <c r="AD697" s="130">
        <f>Table_1[[#This Row],[PREÇO JUSTO GORDON]]/(1+Table_1[[#This Row],[MARGEM DE DESCONTO]])</f>
        <v/>
      </c>
      <c r="AE697" s="78">
        <f>Table_1[[#This Row],[P/L]]/Table_1[[#This Row],[MÉDIA DE CRESCIMENTO]]</f>
        <v/>
      </c>
    </row>
    <row r="698" ht="15.75" customHeight="1">
      <c r="B698" s="77">
        <f>'Dados Status Invest'!A684</f>
        <v/>
      </c>
      <c r="C698" s="60">
        <f>VLOOKUP(Table_1[[#This Row],[AÇÕES]],'Classificação B3'!A:B,2,0)</f>
        <v/>
      </c>
      <c r="D698" s="60">
        <f>VLOOKUP(Table_1[[#This Row],[AÇÕES]],'Classificação B3'!A:D,4,0)</f>
        <v/>
      </c>
      <c r="E698" s="60">
        <f>VLOOKUP(Table_1[[#This Row],[AÇÕES]],'Classificação B3'!A:F,6,0)</f>
        <v/>
      </c>
      <c r="F698" s="60">
        <f>VLOOKUP(Table_1[[#This Row],[AÇÕES]],'Classificação B3'!A:G,7,0)</f>
        <v/>
      </c>
      <c r="G698" s="61">
        <f>VLOOKUP(Table_1[[#This Row],[AÇÕES]],'Dados Status Invest'!A:B,2,0)</f>
        <v/>
      </c>
      <c r="H698" s="62">
        <f>VLOOKUP(Table_1[[#This Row],[AÇÕES]],'Dados Status Invest'!A:C,3,0)/100</f>
        <v/>
      </c>
      <c r="I698" s="62">
        <f>VLOOKUP(Table_1[[#This Row],[AÇÕES]],'Dados Status Invest'!A:D,4,0)/100</f>
        <v/>
      </c>
      <c r="J698" s="63">
        <f>VLOOKUP(Table_1[[#This Row],[AÇÕES]],'Dados Status Invest'!A:AB,28,0)</f>
        <v/>
      </c>
      <c r="K698" s="63">
        <f>VLOOKUP(Table_1[[#This Row],[AÇÕES]],'Dados Status Invest'!A:AA,27,0)</f>
        <v/>
      </c>
      <c r="L698" s="63">
        <f>Table_1[[#This Row],[PREÇO]]*Table_1[[#This Row],[DY]]</f>
        <v/>
      </c>
      <c r="M698" s="67">
        <f>$E$13</f>
        <v/>
      </c>
      <c r="N698" s="62" t="n">
        <v>0.3</v>
      </c>
      <c r="O698" s="62">
        <f>Table_1[[#This Row],[DPA]]/Table_1[[#This Row],[LPA]]</f>
        <v/>
      </c>
      <c r="P698" s="62">
        <f>IF(Table_1[[#This Row],[PAYOUT]]&lt;=40%,"CRESCIMENTO",IF(Table_1[[#This Row],[PAYOUT]]&lt;=60%,"INDEFINIDO","DIVIDENDOS"))</f>
        <v/>
      </c>
      <c r="Q698" s="62">
        <f>VLOOKUP(Table_1[[#This Row],[AÇÕES]],'Dados Status Invest'!A:R,18,0)/100</f>
        <v/>
      </c>
      <c r="R698" s="62">
        <f>VLOOKUP(Table_1[[#This Row],[AÇÕES]],'Dados Status Invest'!A:Y,25,0)/100</f>
        <v/>
      </c>
      <c r="S698" s="62">
        <f>(1-Table_1[[#This Row],[PAYOUT]])*Table_1[[#This Row],[ROE]]</f>
        <v/>
      </c>
      <c r="T698" s="98">
        <f>AVERAGE(Table_1[[#This Row],[CAGR LUCRO 5A]],Table_1[[#This Row],[CRESCIMENTO DAMODARAN]])</f>
        <v/>
      </c>
      <c r="U698" s="64">
        <f>(Table_1[[#This Row],[PREÇO JUSTO BAZIN]]-Table_1[[#This Row],[PREÇO]])/Table_1[[#This Row],[PREÇO JUSTO BAZIN]]</f>
        <v/>
      </c>
      <c r="V698" s="129">
        <f>Table_1[[#This Row],[DPA]]/6%</f>
        <v/>
      </c>
      <c r="W698" s="129">
        <f>Table_1[[#This Row],[PREÇO JUSTO BAZIN]]/(1+Table_1[[#This Row],[MARGEM DE DESCONTO]])</f>
        <v/>
      </c>
      <c r="X698" s="64">
        <f>(Table_1[[#This Row],[PREÇO JUSTO GRAHAM]]-Table_1[[#This Row],[PREÇO]])/Table_1[[#This Row],[PREÇO JUSTO GRAHAM]]</f>
        <v/>
      </c>
      <c r="Y698" s="129">
        <f>(22.5*Table_1[[#This Row],[LPA]]*Table_1[[#This Row],[VPA]])^0.5</f>
        <v/>
      </c>
      <c r="Z698" s="129">
        <f>Table_1[[#This Row],[PREÇO JUSTO GRAHAM]]/(1+Table_1[[#This Row],[MARGEM DE DESCONTO]])</f>
        <v/>
      </c>
      <c r="AA698" s="64">
        <f>(Table_1[[#This Row],[PREÇO JUSTO GORDON]]-Table_1[[#This Row],[PREÇO]])/Table_1[[#This Row],[PREÇO JUSTO GORDON]]</f>
        <v/>
      </c>
      <c r="AB698" s="130">
        <f>Table_1[[#This Row],[DPA]]*(1+Table_1[[#This Row],[MÉDIA DE CRESCIMENTO]])</f>
        <v/>
      </c>
      <c r="AC698" s="130">
        <f>Table_1[[#This Row],[D1]]/(Table_1[[#This Row],[RISCO]]-Table_1[[#This Row],[MÉDIA DE CRESCIMENTO]])</f>
        <v/>
      </c>
      <c r="AD698" s="130">
        <f>Table_1[[#This Row],[PREÇO JUSTO GORDON]]/(1+Table_1[[#This Row],[MARGEM DE DESCONTO]])</f>
        <v/>
      </c>
      <c r="AE698" s="78">
        <f>Table_1[[#This Row],[P/L]]/Table_1[[#This Row],[MÉDIA DE CRESCIMENTO]]</f>
        <v/>
      </c>
    </row>
    <row r="699" ht="15.75" customHeight="1">
      <c r="B699" s="77">
        <f>'Dados Status Invest'!A685</f>
        <v/>
      </c>
      <c r="C699" s="60">
        <f>VLOOKUP(Table_1[[#This Row],[AÇÕES]],'Classificação B3'!A:B,2,0)</f>
        <v/>
      </c>
      <c r="D699" s="60">
        <f>VLOOKUP(Table_1[[#This Row],[AÇÕES]],'Classificação B3'!A:D,4,0)</f>
        <v/>
      </c>
      <c r="E699" s="60">
        <f>VLOOKUP(Table_1[[#This Row],[AÇÕES]],'Classificação B3'!A:F,6,0)</f>
        <v/>
      </c>
      <c r="F699" s="60">
        <f>VLOOKUP(Table_1[[#This Row],[AÇÕES]],'Classificação B3'!A:G,7,0)</f>
        <v/>
      </c>
      <c r="G699" s="61">
        <f>VLOOKUP(Table_1[[#This Row],[AÇÕES]],'Dados Status Invest'!A:B,2,0)</f>
        <v/>
      </c>
      <c r="H699" s="62">
        <f>VLOOKUP(Table_1[[#This Row],[AÇÕES]],'Dados Status Invest'!A:C,3,0)/100</f>
        <v/>
      </c>
      <c r="I699" s="62">
        <f>VLOOKUP(Table_1[[#This Row],[AÇÕES]],'Dados Status Invest'!A:D,4,0)/100</f>
        <v/>
      </c>
      <c r="J699" s="63">
        <f>VLOOKUP(Table_1[[#This Row],[AÇÕES]],'Dados Status Invest'!A:AB,28,0)</f>
        <v/>
      </c>
      <c r="K699" s="63">
        <f>VLOOKUP(Table_1[[#This Row],[AÇÕES]],'Dados Status Invest'!A:AA,27,0)</f>
        <v/>
      </c>
      <c r="L699" s="63">
        <f>Table_1[[#This Row],[PREÇO]]*Table_1[[#This Row],[DY]]</f>
        <v/>
      </c>
      <c r="M699" s="67">
        <f>$E$13</f>
        <v/>
      </c>
      <c r="N699" s="62" t="n">
        <v>0.3</v>
      </c>
      <c r="O699" s="62">
        <f>Table_1[[#This Row],[DPA]]/Table_1[[#This Row],[LPA]]</f>
        <v/>
      </c>
      <c r="P699" s="62">
        <f>IF(Table_1[[#This Row],[PAYOUT]]&lt;=40%,"CRESCIMENTO",IF(Table_1[[#This Row],[PAYOUT]]&lt;=60%,"INDEFINIDO","DIVIDENDOS"))</f>
        <v/>
      </c>
      <c r="Q699" s="62">
        <f>VLOOKUP(Table_1[[#This Row],[AÇÕES]],'Dados Status Invest'!A:R,18,0)/100</f>
        <v/>
      </c>
      <c r="R699" s="62">
        <f>VLOOKUP(Table_1[[#This Row],[AÇÕES]],'Dados Status Invest'!A:Y,25,0)/100</f>
        <v/>
      </c>
      <c r="S699" s="62">
        <f>(1-Table_1[[#This Row],[PAYOUT]])*Table_1[[#This Row],[ROE]]</f>
        <v/>
      </c>
      <c r="T699" s="98">
        <f>AVERAGE(Table_1[[#This Row],[CAGR LUCRO 5A]],Table_1[[#This Row],[CRESCIMENTO DAMODARAN]])</f>
        <v/>
      </c>
      <c r="U699" s="64">
        <f>(Table_1[[#This Row],[PREÇO JUSTO BAZIN]]-Table_1[[#This Row],[PREÇO]])/Table_1[[#This Row],[PREÇO JUSTO BAZIN]]</f>
        <v/>
      </c>
      <c r="V699" s="129">
        <f>Table_1[[#This Row],[DPA]]/6%</f>
        <v/>
      </c>
      <c r="W699" s="129">
        <f>Table_1[[#This Row],[PREÇO JUSTO BAZIN]]/(1+Table_1[[#This Row],[MARGEM DE DESCONTO]])</f>
        <v/>
      </c>
      <c r="X699" s="64">
        <f>(Table_1[[#This Row],[PREÇO JUSTO GRAHAM]]-Table_1[[#This Row],[PREÇO]])/Table_1[[#This Row],[PREÇO JUSTO GRAHAM]]</f>
        <v/>
      </c>
      <c r="Y699" s="129">
        <f>(22.5*Table_1[[#This Row],[LPA]]*Table_1[[#This Row],[VPA]])^0.5</f>
        <v/>
      </c>
      <c r="Z699" s="129">
        <f>Table_1[[#This Row],[PREÇO JUSTO GRAHAM]]/(1+Table_1[[#This Row],[MARGEM DE DESCONTO]])</f>
        <v/>
      </c>
      <c r="AA699" s="64">
        <f>(Table_1[[#This Row],[PREÇO JUSTO GORDON]]-Table_1[[#This Row],[PREÇO]])/Table_1[[#This Row],[PREÇO JUSTO GORDON]]</f>
        <v/>
      </c>
      <c r="AB699" s="130">
        <f>Table_1[[#This Row],[DPA]]*(1+Table_1[[#This Row],[MÉDIA DE CRESCIMENTO]])</f>
        <v/>
      </c>
      <c r="AC699" s="130">
        <f>Table_1[[#This Row],[D1]]/(Table_1[[#This Row],[RISCO]]-Table_1[[#This Row],[MÉDIA DE CRESCIMENTO]])</f>
        <v/>
      </c>
      <c r="AD699" s="130">
        <f>Table_1[[#This Row],[PREÇO JUSTO GORDON]]/(1+Table_1[[#This Row],[MARGEM DE DESCONTO]])</f>
        <v/>
      </c>
      <c r="AE699" s="78">
        <f>Table_1[[#This Row],[P/L]]/Table_1[[#This Row],[MÉDIA DE CRESCIMENTO]]</f>
        <v/>
      </c>
    </row>
    <row r="700" ht="15.75" customHeight="1">
      <c r="B700" s="77">
        <f>'Dados Status Invest'!A686</f>
        <v/>
      </c>
      <c r="C700" s="60">
        <f>VLOOKUP(Table_1[[#This Row],[AÇÕES]],'Classificação B3'!A:B,2,0)</f>
        <v/>
      </c>
      <c r="D700" s="60">
        <f>VLOOKUP(Table_1[[#This Row],[AÇÕES]],'Classificação B3'!A:D,4,0)</f>
        <v/>
      </c>
      <c r="E700" s="60">
        <f>VLOOKUP(Table_1[[#This Row],[AÇÕES]],'Classificação B3'!A:F,6,0)</f>
        <v/>
      </c>
      <c r="F700" s="60">
        <f>VLOOKUP(Table_1[[#This Row],[AÇÕES]],'Classificação B3'!A:G,7,0)</f>
        <v/>
      </c>
      <c r="G700" s="61">
        <f>VLOOKUP(Table_1[[#This Row],[AÇÕES]],'Dados Status Invest'!A:B,2,0)</f>
        <v/>
      </c>
      <c r="H700" s="62">
        <f>VLOOKUP(Table_1[[#This Row],[AÇÕES]],'Dados Status Invest'!A:C,3,0)/100</f>
        <v/>
      </c>
      <c r="I700" s="62">
        <f>VLOOKUP(Table_1[[#This Row],[AÇÕES]],'Dados Status Invest'!A:D,4,0)/100</f>
        <v/>
      </c>
      <c r="J700" s="63">
        <f>VLOOKUP(Table_1[[#This Row],[AÇÕES]],'Dados Status Invest'!A:AB,28,0)</f>
        <v/>
      </c>
      <c r="K700" s="63">
        <f>VLOOKUP(Table_1[[#This Row],[AÇÕES]],'Dados Status Invest'!A:AA,27,0)</f>
        <v/>
      </c>
      <c r="L700" s="63">
        <f>Table_1[[#This Row],[PREÇO]]*Table_1[[#This Row],[DY]]</f>
        <v/>
      </c>
      <c r="M700" s="67">
        <f>$E$13</f>
        <v/>
      </c>
      <c r="N700" s="62" t="n">
        <v>0.3</v>
      </c>
      <c r="O700" s="62">
        <f>Table_1[[#This Row],[DPA]]/Table_1[[#This Row],[LPA]]</f>
        <v/>
      </c>
      <c r="P700" s="62">
        <f>IF(Table_1[[#This Row],[PAYOUT]]&lt;=40%,"CRESCIMENTO",IF(Table_1[[#This Row],[PAYOUT]]&lt;=60%,"INDEFINIDO","DIVIDENDOS"))</f>
        <v/>
      </c>
      <c r="Q700" s="62">
        <f>VLOOKUP(Table_1[[#This Row],[AÇÕES]],'Dados Status Invest'!A:R,18,0)/100</f>
        <v/>
      </c>
      <c r="R700" s="62">
        <f>VLOOKUP(Table_1[[#This Row],[AÇÕES]],'Dados Status Invest'!A:Y,25,0)/100</f>
        <v/>
      </c>
      <c r="S700" s="62">
        <f>(1-Table_1[[#This Row],[PAYOUT]])*Table_1[[#This Row],[ROE]]</f>
        <v/>
      </c>
      <c r="T700" s="98">
        <f>AVERAGE(Table_1[[#This Row],[CAGR LUCRO 5A]],Table_1[[#This Row],[CRESCIMENTO DAMODARAN]])</f>
        <v/>
      </c>
      <c r="U700" s="64">
        <f>(Table_1[[#This Row],[PREÇO JUSTO BAZIN]]-Table_1[[#This Row],[PREÇO]])/Table_1[[#This Row],[PREÇO JUSTO BAZIN]]</f>
        <v/>
      </c>
      <c r="V700" s="129">
        <f>Table_1[[#This Row],[DPA]]/6%</f>
        <v/>
      </c>
      <c r="W700" s="129">
        <f>Table_1[[#This Row],[PREÇO JUSTO BAZIN]]/(1+Table_1[[#This Row],[MARGEM DE DESCONTO]])</f>
        <v/>
      </c>
      <c r="X700" s="64">
        <f>(Table_1[[#This Row],[PREÇO JUSTO GRAHAM]]-Table_1[[#This Row],[PREÇO]])/Table_1[[#This Row],[PREÇO JUSTO GRAHAM]]</f>
        <v/>
      </c>
      <c r="Y700" s="129">
        <f>(22.5*Table_1[[#This Row],[LPA]]*Table_1[[#This Row],[VPA]])^0.5</f>
        <v/>
      </c>
      <c r="Z700" s="129">
        <f>Table_1[[#This Row],[PREÇO JUSTO GRAHAM]]/(1+Table_1[[#This Row],[MARGEM DE DESCONTO]])</f>
        <v/>
      </c>
      <c r="AA700" s="64">
        <f>(Table_1[[#This Row],[PREÇO JUSTO GORDON]]-Table_1[[#This Row],[PREÇO]])/Table_1[[#This Row],[PREÇO JUSTO GORDON]]</f>
        <v/>
      </c>
      <c r="AB700" s="130">
        <f>Table_1[[#This Row],[DPA]]*(1+Table_1[[#This Row],[MÉDIA DE CRESCIMENTO]])</f>
        <v/>
      </c>
      <c r="AC700" s="130">
        <f>Table_1[[#This Row],[D1]]/(Table_1[[#This Row],[RISCO]]-Table_1[[#This Row],[MÉDIA DE CRESCIMENTO]])</f>
        <v/>
      </c>
      <c r="AD700" s="130">
        <f>Table_1[[#This Row],[PREÇO JUSTO GORDON]]/(1+Table_1[[#This Row],[MARGEM DE DESCONTO]])</f>
        <v/>
      </c>
      <c r="AE700" s="78">
        <f>Table_1[[#This Row],[P/L]]/Table_1[[#This Row],[MÉDIA DE CRESCIMENTO]]</f>
        <v/>
      </c>
    </row>
    <row r="701" ht="15.75" customHeight="1">
      <c r="B701" s="77">
        <f>'Dados Status Invest'!A687</f>
        <v/>
      </c>
      <c r="C701" s="60">
        <f>VLOOKUP(Table_1[[#This Row],[AÇÕES]],'Classificação B3'!A:B,2,0)</f>
        <v/>
      </c>
      <c r="D701" s="60">
        <f>VLOOKUP(Table_1[[#This Row],[AÇÕES]],'Classificação B3'!A:D,4,0)</f>
        <v/>
      </c>
      <c r="E701" s="60">
        <f>VLOOKUP(Table_1[[#This Row],[AÇÕES]],'Classificação B3'!A:F,6,0)</f>
        <v/>
      </c>
      <c r="F701" s="60">
        <f>VLOOKUP(Table_1[[#This Row],[AÇÕES]],'Classificação B3'!A:G,7,0)</f>
        <v/>
      </c>
      <c r="G701" s="61">
        <f>VLOOKUP(Table_1[[#This Row],[AÇÕES]],'Dados Status Invest'!A:B,2,0)</f>
        <v/>
      </c>
      <c r="H701" s="62">
        <f>VLOOKUP(Table_1[[#This Row],[AÇÕES]],'Dados Status Invest'!A:C,3,0)/100</f>
        <v/>
      </c>
      <c r="I701" s="62">
        <f>VLOOKUP(Table_1[[#This Row],[AÇÕES]],'Dados Status Invest'!A:D,4,0)/100</f>
        <v/>
      </c>
      <c r="J701" s="63">
        <f>VLOOKUP(Table_1[[#This Row],[AÇÕES]],'Dados Status Invest'!A:AB,28,0)</f>
        <v/>
      </c>
      <c r="K701" s="63">
        <f>VLOOKUP(Table_1[[#This Row],[AÇÕES]],'Dados Status Invest'!A:AA,27,0)</f>
        <v/>
      </c>
      <c r="L701" s="63">
        <f>Table_1[[#This Row],[PREÇO]]*Table_1[[#This Row],[DY]]</f>
        <v/>
      </c>
      <c r="M701" s="67">
        <f>$E$13</f>
        <v/>
      </c>
      <c r="N701" s="62" t="n">
        <v>0.3</v>
      </c>
      <c r="O701" s="62">
        <f>Table_1[[#This Row],[DPA]]/Table_1[[#This Row],[LPA]]</f>
        <v/>
      </c>
      <c r="P701" s="62">
        <f>IF(Table_1[[#This Row],[PAYOUT]]&lt;=40%,"CRESCIMENTO",IF(Table_1[[#This Row],[PAYOUT]]&lt;=60%,"INDEFINIDO","DIVIDENDOS"))</f>
        <v/>
      </c>
      <c r="Q701" s="62">
        <f>VLOOKUP(Table_1[[#This Row],[AÇÕES]],'Dados Status Invest'!A:R,18,0)/100</f>
        <v/>
      </c>
      <c r="R701" s="62">
        <f>VLOOKUP(Table_1[[#This Row],[AÇÕES]],'Dados Status Invest'!A:Y,25,0)/100</f>
        <v/>
      </c>
      <c r="S701" s="62">
        <f>(1-Table_1[[#This Row],[PAYOUT]])*Table_1[[#This Row],[ROE]]</f>
        <v/>
      </c>
      <c r="T701" s="98">
        <f>AVERAGE(Table_1[[#This Row],[CAGR LUCRO 5A]],Table_1[[#This Row],[CRESCIMENTO DAMODARAN]])</f>
        <v/>
      </c>
      <c r="U701" s="64">
        <f>(Table_1[[#This Row],[PREÇO JUSTO BAZIN]]-Table_1[[#This Row],[PREÇO]])/Table_1[[#This Row],[PREÇO JUSTO BAZIN]]</f>
        <v/>
      </c>
      <c r="V701" s="129">
        <f>Table_1[[#This Row],[DPA]]/6%</f>
        <v/>
      </c>
      <c r="W701" s="129">
        <f>Table_1[[#This Row],[PREÇO JUSTO BAZIN]]/(1+Table_1[[#This Row],[MARGEM DE DESCONTO]])</f>
        <v/>
      </c>
      <c r="X701" s="64">
        <f>(Table_1[[#This Row],[PREÇO JUSTO GRAHAM]]-Table_1[[#This Row],[PREÇO]])/Table_1[[#This Row],[PREÇO JUSTO GRAHAM]]</f>
        <v/>
      </c>
      <c r="Y701" s="129">
        <f>(22.5*Table_1[[#This Row],[LPA]]*Table_1[[#This Row],[VPA]])^0.5</f>
        <v/>
      </c>
      <c r="Z701" s="129">
        <f>Table_1[[#This Row],[PREÇO JUSTO GRAHAM]]/(1+Table_1[[#This Row],[MARGEM DE DESCONTO]])</f>
        <v/>
      </c>
      <c r="AA701" s="64">
        <f>(Table_1[[#This Row],[PREÇO JUSTO GORDON]]-Table_1[[#This Row],[PREÇO]])/Table_1[[#This Row],[PREÇO JUSTO GORDON]]</f>
        <v/>
      </c>
      <c r="AB701" s="130">
        <f>Table_1[[#This Row],[DPA]]*(1+Table_1[[#This Row],[MÉDIA DE CRESCIMENTO]])</f>
        <v/>
      </c>
      <c r="AC701" s="130">
        <f>Table_1[[#This Row],[D1]]/(Table_1[[#This Row],[RISCO]]-Table_1[[#This Row],[MÉDIA DE CRESCIMENTO]])</f>
        <v/>
      </c>
      <c r="AD701" s="130">
        <f>Table_1[[#This Row],[PREÇO JUSTO GORDON]]/(1+Table_1[[#This Row],[MARGEM DE DESCONTO]])</f>
        <v/>
      </c>
      <c r="AE701" s="78">
        <f>Table_1[[#This Row],[P/L]]/Table_1[[#This Row],[MÉDIA DE CRESCIMENTO]]</f>
        <v/>
      </c>
    </row>
    <row r="702" ht="15.75" customHeight="1" thickBot="1">
      <c r="B702" s="79">
        <f>'Dados Status Invest'!A688</f>
        <v/>
      </c>
      <c r="C702" s="80">
        <f>VLOOKUP(Table_1[[#This Row],[AÇÕES]],'Classificação B3'!A:B,2,0)</f>
        <v/>
      </c>
      <c r="D702" s="80">
        <f>VLOOKUP(Table_1[[#This Row],[AÇÕES]],'Classificação B3'!A:D,4,0)</f>
        <v/>
      </c>
      <c r="E702" s="80">
        <f>VLOOKUP(Table_1[[#This Row],[AÇÕES]],'Classificação B3'!A:F,6,0)</f>
        <v/>
      </c>
      <c r="F702" s="80">
        <f>VLOOKUP(Table_1[[#This Row],[AÇÕES]],'Classificação B3'!A:G,7,0)</f>
        <v/>
      </c>
      <c r="G702" s="81">
        <f>VLOOKUP(Table_1[[#This Row],[AÇÕES]],'Dados Status Invest'!A:B,2,0)</f>
        <v/>
      </c>
      <c r="H702" s="82">
        <f>VLOOKUP(Table_1[[#This Row],[AÇÕES]],'Dados Status Invest'!A:C,3,0)/100</f>
        <v/>
      </c>
      <c r="I702" s="82">
        <f>VLOOKUP(Table_1[[#This Row],[AÇÕES]],'Dados Status Invest'!A:D,4,0)/100</f>
        <v/>
      </c>
      <c r="J702" s="83">
        <f>VLOOKUP(Table_1[[#This Row],[AÇÕES]],'Dados Status Invest'!A:AB,28,0)</f>
        <v/>
      </c>
      <c r="K702" s="83">
        <f>VLOOKUP(Table_1[[#This Row],[AÇÕES]],'Dados Status Invest'!A:AA,27,0)</f>
        <v/>
      </c>
      <c r="L702" s="83">
        <f>Table_1[[#This Row],[PREÇO]]*Table_1[[#This Row],[DY]]</f>
        <v/>
      </c>
      <c r="M702" s="84">
        <f>$E$13</f>
        <v/>
      </c>
      <c r="N702" s="82" t="n">
        <v>0.3</v>
      </c>
      <c r="O702" s="82">
        <f>Table_1[[#This Row],[DPA]]/Table_1[[#This Row],[LPA]]</f>
        <v/>
      </c>
      <c r="P702" s="82">
        <f>IF(Table_1[[#This Row],[PAYOUT]]&lt;=40%,"CRESCIMENTO",IF(Table_1[[#This Row],[PAYOUT]]&lt;=60%,"INDEFINIDO","DIVIDENDOS"))</f>
        <v/>
      </c>
      <c r="Q702" s="82">
        <f>VLOOKUP(Table_1[[#This Row],[AÇÕES]],'Dados Status Invest'!A:R,18,0)/100</f>
        <v/>
      </c>
      <c r="R702" s="82">
        <f>VLOOKUP(Table_1[[#This Row],[AÇÕES]],'Dados Status Invest'!A:Y,25,0)/100</f>
        <v/>
      </c>
      <c r="S702" s="82">
        <f>(1-Table_1[[#This Row],[PAYOUT]])*Table_1[[#This Row],[ROE]]</f>
        <v/>
      </c>
      <c r="T702" s="99">
        <f>AVERAGE(Table_1[[#This Row],[CAGR LUCRO 5A]],Table_1[[#This Row],[CRESCIMENTO DAMODARAN]])</f>
        <v/>
      </c>
      <c r="U702" s="87">
        <f>(Table_1[[#This Row],[PREÇO JUSTO BAZIN]]-Table_1[[#This Row],[PREÇO]])/Table_1[[#This Row],[PREÇO JUSTO BAZIN]]</f>
        <v/>
      </c>
      <c r="V702" s="139">
        <f>Table_1[[#This Row],[DPA]]/6%</f>
        <v/>
      </c>
      <c r="W702" s="139">
        <f>Table_1[[#This Row],[PREÇO JUSTO BAZIN]]/(1+Table_1[[#This Row],[MARGEM DE DESCONTO]])</f>
        <v/>
      </c>
      <c r="X702" s="87">
        <f>(Table_1[[#This Row],[PREÇO JUSTO GRAHAM]]-Table_1[[#This Row],[PREÇO]])/Table_1[[#This Row],[PREÇO JUSTO GRAHAM]]</f>
        <v/>
      </c>
      <c r="Y702" s="139">
        <f>(22.5*Table_1[[#This Row],[LPA]]*Table_1[[#This Row],[VPA]])^0.5</f>
        <v/>
      </c>
      <c r="Z702" s="139">
        <f>Table_1[[#This Row],[PREÇO JUSTO GRAHAM]]/(1+Table_1[[#This Row],[MARGEM DE DESCONTO]])</f>
        <v/>
      </c>
      <c r="AA702" s="87">
        <f>(Table_1[[#This Row],[PREÇO JUSTO GORDON]]-Table_1[[#This Row],[PREÇO]])/Table_1[[#This Row],[PREÇO JUSTO GORDON]]</f>
        <v/>
      </c>
      <c r="AB702" s="140">
        <f>Table_1[[#This Row],[DPA]]*(1+Table_1[[#This Row],[MÉDIA DE CRESCIMENTO]])</f>
        <v/>
      </c>
      <c r="AC702" s="140">
        <f>Table_1[[#This Row],[D1]]/(Table_1[[#This Row],[RISCO]]-Table_1[[#This Row],[MÉDIA DE CRESCIMENTO]])</f>
        <v/>
      </c>
      <c r="AD702" s="140">
        <f>Table_1[[#This Row],[PREÇO JUSTO GORDON]]/(1+Table_1[[#This Row],[MARGEM DE DESCONTO]])</f>
        <v/>
      </c>
      <c r="AE702" s="90">
        <f>Table_1[[#This Row],[P/L]]/Table_1[[#This Row],[MÉDIA DE CRESCIMENTO]]</f>
        <v/>
      </c>
    </row>
    <row r="703" ht="15.75" customHeight="1">
      <c r="B703" s="13" t="n"/>
      <c r="C703" s="13" t="n"/>
      <c r="D703" s="13" t="n"/>
      <c r="E703" s="13" t="n"/>
      <c r="F703" s="13" t="n"/>
    </row>
    <row r="704" ht="15.75" customHeight="1">
      <c r="B704" s="13" t="n"/>
      <c r="C704" s="13" t="n"/>
      <c r="D704" s="13" t="n"/>
      <c r="E704" s="13" t="n"/>
      <c r="F704" s="13" t="n"/>
    </row>
    <row r="705" ht="15.75" customHeight="1">
      <c r="B705" s="13" t="n"/>
      <c r="C705" s="13" t="n"/>
      <c r="D705" s="13" t="n"/>
      <c r="E705" s="13" t="n"/>
      <c r="F705" s="13" t="n"/>
    </row>
    <row r="706" ht="15.75" customHeight="1">
      <c r="B706" s="13" t="n"/>
      <c r="C706" s="13" t="n"/>
      <c r="D706" s="13" t="n"/>
      <c r="E706" s="13" t="n"/>
      <c r="F706" s="13" t="n"/>
    </row>
    <row r="707" ht="15.75" customHeight="1">
      <c r="B707" s="13" t="n"/>
      <c r="C707" s="13" t="n"/>
      <c r="D707" s="13" t="n"/>
      <c r="E707" s="13" t="n"/>
      <c r="F707" s="13" t="n"/>
    </row>
    <row r="708" ht="15.75" customHeight="1">
      <c r="B708" s="13" t="n"/>
      <c r="C708" s="13" t="n"/>
      <c r="D708" s="13" t="n"/>
      <c r="E708" s="13" t="n"/>
      <c r="F708" s="13" t="n"/>
    </row>
    <row r="709" ht="15.75" customHeight="1">
      <c r="B709" s="13" t="n"/>
      <c r="C709" s="13" t="n"/>
      <c r="D709" s="13" t="n"/>
      <c r="E709" s="13" t="n"/>
      <c r="F709" s="13" t="n"/>
    </row>
    <row r="710" ht="15.75" customHeight="1">
      <c r="B710" s="13" t="n"/>
      <c r="C710" s="13" t="n"/>
      <c r="D710" s="13" t="n"/>
      <c r="E710" s="13" t="n"/>
      <c r="F710" s="13" t="n"/>
    </row>
    <row r="711" ht="15.75" customHeight="1">
      <c r="B711" s="13" t="n"/>
      <c r="C711" s="13" t="n"/>
      <c r="D711" s="13" t="n"/>
      <c r="E711" s="13" t="n"/>
      <c r="F711" s="13" t="n"/>
    </row>
    <row r="712" ht="15.75" customHeight="1">
      <c r="B712" s="13" t="n"/>
      <c r="C712" s="13" t="n"/>
      <c r="D712" s="13" t="n"/>
      <c r="E712" s="13" t="n"/>
      <c r="F712" s="13" t="n"/>
    </row>
    <row r="713" ht="15.75" customHeight="1">
      <c r="B713" s="13" t="n"/>
      <c r="C713" s="13" t="n"/>
      <c r="D713" s="13" t="n"/>
      <c r="E713" s="13" t="n"/>
      <c r="F713" s="13" t="n"/>
    </row>
    <row r="714" ht="15.75" customHeight="1">
      <c r="B714" s="13" t="n"/>
      <c r="C714" s="13" t="n"/>
      <c r="D714" s="13" t="n"/>
      <c r="E714" s="13" t="n"/>
      <c r="F714" s="13" t="n"/>
    </row>
    <row r="715" ht="15.75" customHeight="1">
      <c r="B715" s="13" t="n"/>
      <c r="C715" s="13" t="n"/>
      <c r="D715" s="13" t="n"/>
      <c r="E715" s="13" t="n"/>
      <c r="F715" s="13" t="n"/>
    </row>
    <row r="716" ht="15.75" customHeight="1">
      <c r="B716" s="13" t="n"/>
      <c r="C716" s="13" t="n"/>
      <c r="D716" s="13" t="n"/>
      <c r="E716" s="13" t="n"/>
      <c r="F716" s="13" t="n"/>
    </row>
    <row r="717" ht="15.75" customHeight="1">
      <c r="B717" s="13" t="n"/>
      <c r="C717" s="13" t="n"/>
      <c r="D717" s="13" t="n"/>
      <c r="E717" s="13" t="n"/>
      <c r="F717" s="13" t="n"/>
    </row>
    <row r="718" ht="15.75" customHeight="1">
      <c r="B718" s="13" t="n"/>
      <c r="C718" s="13" t="n"/>
      <c r="D718" s="13" t="n"/>
      <c r="E718" s="13" t="n"/>
      <c r="F718" s="13" t="n"/>
    </row>
    <row r="719" ht="15.75" customHeight="1">
      <c r="B719" s="13" t="n"/>
      <c r="C719" s="13" t="n"/>
      <c r="D719" s="13" t="n"/>
      <c r="E719" s="13" t="n"/>
      <c r="F719" s="13" t="n"/>
    </row>
    <row r="720" ht="15.75" customHeight="1">
      <c r="B720" s="13" t="n"/>
      <c r="C720" s="13" t="n"/>
      <c r="D720" s="13" t="n"/>
      <c r="E720" s="13" t="n"/>
      <c r="F720" s="13" t="n"/>
    </row>
    <row r="721" ht="15.75" customHeight="1">
      <c r="B721" s="13" t="n"/>
      <c r="C721" s="13" t="n"/>
      <c r="D721" s="13" t="n"/>
      <c r="E721" s="13" t="n"/>
      <c r="F721" s="13" t="n"/>
    </row>
    <row r="722" ht="15.75" customHeight="1">
      <c r="B722" s="13" t="n"/>
      <c r="C722" s="13" t="n"/>
      <c r="D722" s="13" t="n"/>
      <c r="E722" s="13" t="n"/>
      <c r="F722" s="13" t="n"/>
    </row>
    <row r="723" ht="15.75" customHeight="1">
      <c r="B723" s="13" t="n"/>
      <c r="C723" s="13" t="n"/>
      <c r="D723" s="13" t="n"/>
      <c r="E723" s="13" t="n"/>
      <c r="F723" s="13" t="n"/>
    </row>
    <row r="724" ht="15.75" customHeight="1">
      <c r="B724" s="13" t="n"/>
      <c r="C724" s="13" t="n"/>
      <c r="D724" s="13" t="n"/>
      <c r="E724" s="13" t="n"/>
      <c r="F724" s="13" t="n"/>
    </row>
    <row r="725" ht="15.75" customHeight="1">
      <c r="B725" s="13" t="n"/>
      <c r="C725" s="13" t="n"/>
      <c r="D725" s="13" t="n"/>
      <c r="E725" s="13" t="n"/>
      <c r="F725" s="13" t="n"/>
    </row>
    <row r="726" ht="15.75" customHeight="1">
      <c r="B726" s="13" t="n"/>
      <c r="C726" s="13" t="n"/>
      <c r="D726" s="13" t="n"/>
      <c r="E726" s="13" t="n"/>
      <c r="F726" s="13" t="n"/>
    </row>
    <row r="727" ht="15.75" customHeight="1">
      <c r="B727" s="13" t="n"/>
      <c r="C727" s="13" t="n"/>
      <c r="D727" s="13" t="n"/>
      <c r="E727" s="13" t="n"/>
      <c r="F727" s="13" t="n"/>
    </row>
    <row r="728" ht="15.75" customHeight="1">
      <c r="B728" s="13" t="n"/>
      <c r="C728" s="13" t="n"/>
      <c r="D728" s="13" t="n"/>
      <c r="E728" s="13" t="n"/>
      <c r="F728" s="13" t="n"/>
    </row>
    <row r="729" ht="15.75" customHeight="1">
      <c r="B729" s="13" t="n"/>
      <c r="C729" s="13" t="n"/>
      <c r="D729" s="13" t="n"/>
      <c r="E729" s="13" t="n"/>
      <c r="F729" s="13" t="n"/>
    </row>
    <row r="730" ht="15.75" customHeight="1">
      <c r="B730" s="13" t="n"/>
      <c r="C730" s="13" t="n"/>
      <c r="D730" s="13" t="n"/>
      <c r="E730" s="13" t="n"/>
      <c r="F730" s="13" t="n"/>
    </row>
    <row r="731" ht="15.75" customHeight="1">
      <c r="B731" s="13" t="n"/>
      <c r="C731" s="13" t="n"/>
      <c r="D731" s="13" t="n"/>
      <c r="E731" s="13" t="n"/>
      <c r="F731" s="13" t="n"/>
    </row>
    <row r="732" ht="15.75" customHeight="1">
      <c r="B732" s="13" t="n"/>
      <c r="C732" s="13" t="n"/>
      <c r="D732" s="13" t="n"/>
      <c r="E732" s="13" t="n"/>
      <c r="F732" s="13" t="n"/>
    </row>
    <row r="733" ht="15.75" customHeight="1">
      <c r="B733" s="13" t="n"/>
      <c r="C733" s="13" t="n"/>
      <c r="D733" s="13" t="n"/>
      <c r="E733" s="13" t="n"/>
      <c r="F733" s="13" t="n"/>
    </row>
    <row r="734" ht="15.75" customHeight="1">
      <c r="B734" s="13" t="n"/>
      <c r="C734" s="13" t="n"/>
      <c r="D734" s="13" t="n"/>
      <c r="E734" s="13" t="n"/>
      <c r="F734" s="13" t="n"/>
    </row>
    <row r="735" ht="15.75" customHeight="1">
      <c r="B735" s="13" t="n"/>
      <c r="C735" s="13" t="n"/>
      <c r="D735" s="13" t="n"/>
      <c r="E735" s="13" t="n"/>
      <c r="F735" s="13" t="n"/>
    </row>
    <row r="736" ht="15.75" customHeight="1">
      <c r="B736" s="13" t="n"/>
      <c r="C736" s="13" t="n"/>
      <c r="D736" s="13" t="n"/>
      <c r="E736" s="13" t="n"/>
      <c r="F736" s="13" t="n"/>
    </row>
    <row r="737" ht="15.75" customHeight="1">
      <c r="B737" s="13" t="n"/>
      <c r="C737" s="13" t="n"/>
      <c r="D737" s="13" t="n"/>
      <c r="E737" s="13" t="n"/>
      <c r="F737" s="13" t="n"/>
    </row>
    <row r="738" ht="15.75" customHeight="1">
      <c r="B738" s="13" t="n"/>
      <c r="C738" s="13" t="n"/>
      <c r="D738" s="13" t="n"/>
      <c r="E738" s="13" t="n"/>
      <c r="F738" s="13" t="n"/>
    </row>
    <row r="739" ht="15.75" customHeight="1">
      <c r="B739" s="13" t="n"/>
      <c r="C739" s="13" t="n"/>
      <c r="D739" s="13" t="n"/>
      <c r="E739" s="13" t="n"/>
      <c r="F739" s="13" t="n"/>
    </row>
    <row r="740" ht="15.75" customHeight="1">
      <c r="B740" s="13" t="n"/>
      <c r="C740" s="13" t="n"/>
      <c r="D740" s="13" t="n"/>
      <c r="E740" s="13" t="n"/>
      <c r="F740" s="13" t="n"/>
    </row>
    <row r="741" ht="15.75" customHeight="1">
      <c r="B741" s="13" t="n"/>
      <c r="C741" s="13" t="n"/>
      <c r="D741" s="13" t="n"/>
      <c r="E741" s="13" t="n"/>
      <c r="F741" s="13" t="n"/>
    </row>
    <row r="742" ht="15.75" customHeight="1">
      <c r="B742" s="13" t="n"/>
      <c r="C742" s="13" t="n"/>
      <c r="D742" s="13" t="n"/>
      <c r="E742" s="13" t="n"/>
      <c r="F742" s="13" t="n"/>
    </row>
    <row r="743" ht="15.75" customHeight="1">
      <c r="B743" s="13" t="n"/>
      <c r="C743" s="13" t="n"/>
      <c r="D743" s="13" t="n"/>
      <c r="E743" s="13" t="n"/>
      <c r="F743" s="13" t="n"/>
    </row>
    <row r="744" ht="15.75" customHeight="1">
      <c r="B744" s="13" t="n"/>
      <c r="C744" s="13" t="n"/>
      <c r="D744" s="13" t="n"/>
      <c r="E744" s="13" t="n"/>
      <c r="F744" s="13" t="n"/>
    </row>
    <row r="745" ht="15.75" customHeight="1">
      <c r="B745" s="13" t="n"/>
      <c r="C745" s="13" t="n"/>
      <c r="D745" s="13" t="n"/>
      <c r="E745" s="13" t="n"/>
      <c r="F745" s="13" t="n"/>
    </row>
    <row r="746" ht="15.75" customHeight="1">
      <c r="B746" s="13" t="n"/>
      <c r="C746" s="13" t="n"/>
      <c r="D746" s="13" t="n"/>
      <c r="E746" s="13" t="n"/>
      <c r="F746" s="13" t="n"/>
    </row>
    <row r="747" ht="15.75" customHeight="1">
      <c r="B747" s="13" t="n"/>
      <c r="C747" s="13" t="n"/>
      <c r="D747" s="13" t="n"/>
      <c r="E747" s="13" t="n"/>
      <c r="F747" s="13" t="n"/>
    </row>
    <row r="748" ht="15.75" customHeight="1">
      <c r="B748" s="13" t="n"/>
      <c r="C748" s="13" t="n"/>
      <c r="D748" s="13" t="n"/>
      <c r="E748" s="13" t="n"/>
      <c r="F748" s="13" t="n"/>
    </row>
    <row r="749" ht="15.75" customHeight="1">
      <c r="B749" s="13" t="n"/>
      <c r="C749" s="13" t="n"/>
      <c r="D749" s="13" t="n"/>
      <c r="E749" s="13" t="n"/>
      <c r="F749" s="13" t="n"/>
    </row>
    <row r="750" ht="15.75" customHeight="1">
      <c r="B750" s="13" t="n"/>
      <c r="C750" s="13" t="n"/>
      <c r="D750" s="13" t="n"/>
      <c r="E750" s="13" t="n"/>
      <c r="F750" s="13" t="n"/>
    </row>
    <row r="751" ht="15.75" customHeight="1">
      <c r="B751" s="13" t="n"/>
      <c r="C751" s="13" t="n"/>
      <c r="D751" s="13" t="n"/>
      <c r="E751" s="13" t="n"/>
      <c r="F751" s="13" t="n"/>
    </row>
    <row r="752" ht="15.75" customHeight="1">
      <c r="B752" s="13" t="n"/>
      <c r="C752" s="13" t="n"/>
      <c r="D752" s="13" t="n"/>
      <c r="E752" s="13" t="n"/>
      <c r="F752" s="13" t="n"/>
    </row>
    <row r="753" ht="15.75" customHeight="1">
      <c r="B753" s="13" t="n"/>
      <c r="C753" s="13" t="n"/>
      <c r="D753" s="13" t="n"/>
      <c r="E753" s="13" t="n"/>
      <c r="F753" s="13" t="n"/>
    </row>
    <row r="754" ht="15.75" customHeight="1">
      <c r="B754" s="13" t="n"/>
      <c r="C754" s="13" t="n"/>
      <c r="D754" s="13" t="n"/>
      <c r="E754" s="13" t="n"/>
      <c r="F754" s="13" t="n"/>
    </row>
    <row r="755" ht="15.75" customHeight="1">
      <c r="B755" s="13" t="n"/>
      <c r="C755" s="13" t="n"/>
      <c r="D755" s="13" t="n"/>
      <c r="E755" s="13" t="n"/>
      <c r="F755" s="13" t="n"/>
    </row>
    <row r="756" ht="15.75" customHeight="1">
      <c r="B756" s="13" t="n"/>
      <c r="C756" s="13" t="n"/>
      <c r="D756" s="13" t="n"/>
      <c r="E756" s="13" t="n"/>
      <c r="F756" s="13" t="n"/>
    </row>
    <row r="757" ht="15.75" customHeight="1">
      <c r="B757" s="13" t="n"/>
      <c r="C757" s="13" t="n"/>
      <c r="D757" s="13" t="n"/>
      <c r="E757" s="13" t="n"/>
      <c r="F757" s="13" t="n"/>
    </row>
    <row r="758" ht="15.75" customHeight="1">
      <c r="B758" s="13" t="n"/>
      <c r="C758" s="13" t="n"/>
      <c r="D758" s="13" t="n"/>
      <c r="E758" s="13" t="n"/>
      <c r="F758" s="13" t="n"/>
    </row>
    <row r="759" ht="15.75" customHeight="1">
      <c r="B759" s="13" t="n"/>
      <c r="C759" s="13" t="n"/>
      <c r="D759" s="13" t="n"/>
      <c r="E759" s="13" t="n"/>
      <c r="F759" s="13" t="n"/>
    </row>
    <row r="760" ht="15.75" customHeight="1">
      <c r="B760" s="13" t="n"/>
      <c r="C760" s="13" t="n"/>
      <c r="D760" s="13" t="n"/>
      <c r="E760" s="13" t="n"/>
      <c r="F760" s="13" t="n"/>
    </row>
    <row r="761" ht="15.75" customHeight="1">
      <c r="B761" s="13" t="n"/>
      <c r="C761" s="13" t="n"/>
      <c r="D761" s="13" t="n"/>
      <c r="E761" s="13" t="n"/>
      <c r="F761" s="13" t="n"/>
    </row>
    <row r="762" ht="15.75" customHeight="1">
      <c r="B762" s="13" t="n"/>
      <c r="C762" s="13" t="n"/>
      <c r="D762" s="13" t="n"/>
      <c r="E762" s="13" t="n"/>
      <c r="F762" s="13" t="n"/>
    </row>
    <row r="763" ht="15.75" customHeight="1">
      <c r="B763" s="13" t="n"/>
      <c r="C763" s="13" t="n"/>
      <c r="D763" s="13" t="n"/>
      <c r="E763" s="13" t="n"/>
      <c r="F763" s="13" t="n"/>
    </row>
    <row r="764" ht="15.75" customHeight="1">
      <c r="B764" s="13" t="n"/>
      <c r="C764" s="13" t="n"/>
      <c r="D764" s="13" t="n"/>
      <c r="E764" s="13" t="n"/>
      <c r="F764" s="13" t="n"/>
    </row>
    <row r="765" ht="15.75" customHeight="1">
      <c r="B765" s="13" t="n"/>
      <c r="C765" s="13" t="n"/>
      <c r="D765" s="13" t="n"/>
      <c r="E765" s="13" t="n"/>
      <c r="F765" s="13" t="n"/>
    </row>
    <row r="766" ht="15.75" customHeight="1">
      <c r="B766" s="13" t="n"/>
      <c r="C766" s="13" t="n"/>
      <c r="D766" s="13" t="n"/>
      <c r="E766" s="13" t="n"/>
      <c r="F766" s="13" t="n"/>
    </row>
    <row r="767" ht="15.75" customHeight="1">
      <c r="B767" s="13" t="n"/>
      <c r="C767" s="13" t="n"/>
      <c r="D767" s="13" t="n"/>
      <c r="E767" s="13" t="n"/>
      <c r="F767" s="13" t="n"/>
    </row>
    <row r="768" ht="15.75" customHeight="1">
      <c r="B768" s="13" t="n"/>
      <c r="C768" s="13" t="n"/>
      <c r="D768" s="13" t="n"/>
      <c r="E768" s="13" t="n"/>
      <c r="F768" s="13" t="n"/>
    </row>
    <row r="769" ht="15.75" customHeight="1">
      <c r="B769" s="13" t="n"/>
      <c r="C769" s="13" t="n"/>
      <c r="D769" s="13" t="n"/>
      <c r="E769" s="13" t="n"/>
      <c r="F769" s="13" t="n"/>
    </row>
    <row r="770" ht="15.75" customHeight="1">
      <c r="B770" s="13" t="n"/>
      <c r="C770" s="13" t="n"/>
      <c r="D770" s="13" t="n"/>
      <c r="E770" s="13" t="n"/>
      <c r="F770" s="13" t="n"/>
    </row>
    <row r="771" ht="15.75" customHeight="1">
      <c r="B771" s="13" t="n"/>
      <c r="C771" s="13" t="n"/>
      <c r="D771" s="13" t="n"/>
      <c r="E771" s="13" t="n"/>
      <c r="F771" s="13" t="n"/>
    </row>
    <row r="772" ht="15.75" customHeight="1">
      <c r="B772" s="13" t="n"/>
      <c r="C772" s="13" t="n"/>
      <c r="D772" s="13" t="n"/>
      <c r="E772" s="13" t="n"/>
      <c r="F772" s="13" t="n"/>
    </row>
    <row r="773" ht="15.75" customHeight="1">
      <c r="B773" s="13" t="n"/>
      <c r="C773" s="13" t="n"/>
      <c r="D773" s="13" t="n"/>
      <c r="E773" s="13" t="n"/>
      <c r="F773" s="13" t="n"/>
    </row>
    <row r="774" ht="15.75" customHeight="1">
      <c r="B774" s="13" t="n"/>
      <c r="C774" s="13" t="n"/>
      <c r="D774" s="13" t="n"/>
      <c r="E774" s="13" t="n"/>
      <c r="F774" s="13" t="n"/>
    </row>
    <row r="775" ht="15.75" customHeight="1">
      <c r="B775" s="13" t="n"/>
      <c r="C775" s="13" t="n"/>
      <c r="D775" s="13" t="n"/>
      <c r="E775" s="13" t="n"/>
      <c r="F775" s="13" t="n"/>
    </row>
    <row r="776" ht="15.75" customHeight="1">
      <c r="B776" s="13" t="n"/>
      <c r="C776" s="13" t="n"/>
      <c r="D776" s="13" t="n"/>
      <c r="E776" s="13" t="n"/>
      <c r="F776" s="13" t="n"/>
    </row>
    <row r="777" ht="15.75" customHeight="1">
      <c r="B777" s="13" t="n"/>
      <c r="C777" s="13" t="n"/>
      <c r="D777" s="13" t="n"/>
      <c r="E777" s="13" t="n"/>
      <c r="F777" s="13" t="n"/>
    </row>
    <row r="778" ht="15.75" customHeight="1">
      <c r="B778" s="13" t="n"/>
      <c r="C778" s="13" t="n"/>
      <c r="D778" s="13" t="n"/>
      <c r="E778" s="13" t="n"/>
      <c r="F778" s="13" t="n"/>
    </row>
    <row r="779" ht="15.75" customHeight="1">
      <c r="B779" s="13" t="n"/>
      <c r="C779" s="13" t="n"/>
      <c r="D779" s="13" t="n"/>
      <c r="E779" s="13" t="n"/>
      <c r="F779" s="13" t="n"/>
    </row>
    <row r="780" ht="15.75" customHeight="1">
      <c r="B780" s="13" t="n"/>
      <c r="C780" s="13" t="n"/>
      <c r="D780" s="13" t="n"/>
      <c r="E780" s="13" t="n"/>
      <c r="F780" s="13" t="n"/>
    </row>
    <row r="781" ht="15.75" customHeight="1">
      <c r="B781" s="13" t="n"/>
      <c r="C781" s="13" t="n"/>
      <c r="D781" s="13" t="n"/>
      <c r="E781" s="13" t="n"/>
      <c r="F781" s="13" t="n"/>
    </row>
    <row r="782" ht="15.75" customHeight="1">
      <c r="B782" s="13" t="n"/>
      <c r="C782" s="13" t="n"/>
      <c r="D782" s="13" t="n"/>
      <c r="E782" s="13" t="n"/>
      <c r="F782" s="13" t="n"/>
    </row>
    <row r="783" ht="15.75" customHeight="1">
      <c r="B783" s="13" t="n"/>
      <c r="C783" s="13" t="n"/>
      <c r="D783" s="13" t="n"/>
      <c r="E783" s="13" t="n"/>
      <c r="F783" s="13" t="n"/>
    </row>
    <row r="784" ht="15.75" customHeight="1">
      <c r="B784" s="13" t="n"/>
      <c r="C784" s="13" t="n"/>
      <c r="D784" s="13" t="n"/>
      <c r="E784" s="13" t="n"/>
      <c r="F784" s="13" t="n"/>
    </row>
    <row r="785" ht="15.75" customHeight="1">
      <c r="B785" s="13" t="n"/>
      <c r="C785" s="13" t="n"/>
      <c r="D785" s="13" t="n"/>
      <c r="E785" s="13" t="n"/>
      <c r="F785" s="13" t="n"/>
    </row>
    <row r="786" ht="15.75" customHeight="1">
      <c r="B786" s="13" t="n"/>
      <c r="C786" s="13" t="n"/>
      <c r="D786" s="13" t="n"/>
      <c r="E786" s="13" t="n"/>
      <c r="F786" s="13" t="n"/>
    </row>
    <row r="787" ht="15.75" customHeight="1">
      <c r="B787" s="13" t="n"/>
      <c r="C787" s="13" t="n"/>
      <c r="D787" s="13" t="n"/>
      <c r="E787" s="13" t="n"/>
      <c r="F787" s="13" t="n"/>
    </row>
    <row r="788" ht="15.75" customHeight="1">
      <c r="B788" s="13" t="n"/>
      <c r="C788" s="13" t="n"/>
      <c r="D788" s="13" t="n"/>
      <c r="E788" s="13" t="n"/>
      <c r="F788" s="13" t="n"/>
    </row>
    <row r="789" ht="15.75" customHeight="1">
      <c r="B789" s="13" t="n"/>
      <c r="C789" s="13" t="n"/>
      <c r="D789" s="13" t="n"/>
      <c r="E789" s="13" t="n"/>
      <c r="F789" s="13" t="n"/>
    </row>
    <row r="790" ht="15.75" customHeight="1">
      <c r="B790" s="13" t="n"/>
      <c r="C790" s="13" t="n"/>
      <c r="D790" s="13" t="n"/>
      <c r="E790" s="13" t="n"/>
      <c r="F790" s="13" t="n"/>
    </row>
    <row r="791" ht="15.75" customHeight="1">
      <c r="B791" s="13" t="n"/>
      <c r="C791" s="13" t="n"/>
      <c r="D791" s="13" t="n"/>
      <c r="E791" s="13" t="n"/>
      <c r="F791" s="13" t="n"/>
    </row>
    <row r="792" ht="15.75" customHeight="1">
      <c r="B792" s="13" t="n"/>
      <c r="C792" s="13" t="n"/>
      <c r="D792" s="13" t="n"/>
      <c r="E792" s="13" t="n"/>
      <c r="F792" s="13" t="n"/>
    </row>
    <row r="793" ht="15.75" customHeight="1">
      <c r="B793" s="13" t="n"/>
      <c r="C793" s="13" t="n"/>
      <c r="D793" s="13" t="n"/>
      <c r="E793" s="13" t="n"/>
      <c r="F793" s="13" t="n"/>
    </row>
    <row r="794" ht="15.75" customHeight="1">
      <c r="B794" s="13" t="n"/>
      <c r="C794" s="13" t="n"/>
      <c r="D794" s="13" t="n"/>
      <c r="E794" s="13" t="n"/>
      <c r="F794" s="13" t="n"/>
    </row>
    <row r="795" ht="15.75" customHeight="1">
      <c r="B795" s="13" t="n"/>
      <c r="C795" s="13" t="n"/>
      <c r="D795" s="13" t="n"/>
      <c r="E795" s="13" t="n"/>
      <c r="F795" s="13" t="n"/>
    </row>
    <row r="796" ht="15.75" customHeight="1">
      <c r="B796" s="13" t="n"/>
      <c r="C796" s="13" t="n"/>
      <c r="D796" s="13" t="n"/>
      <c r="E796" s="13" t="n"/>
      <c r="F796" s="13" t="n"/>
    </row>
    <row r="797" ht="15.75" customHeight="1">
      <c r="B797" s="13" t="n"/>
      <c r="C797" s="13" t="n"/>
      <c r="D797" s="13" t="n"/>
      <c r="E797" s="13" t="n"/>
      <c r="F797" s="13" t="n"/>
    </row>
    <row r="798" ht="15.75" customHeight="1">
      <c r="B798" s="13" t="n"/>
      <c r="C798" s="13" t="n"/>
      <c r="D798" s="13" t="n"/>
      <c r="E798" s="13" t="n"/>
      <c r="F798" s="13" t="n"/>
    </row>
    <row r="799" ht="15.75" customHeight="1">
      <c r="B799" s="13" t="n"/>
      <c r="C799" s="13" t="n"/>
      <c r="D799" s="13" t="n"/>
      <c r="E799" s="13" t="n"/>
      <c r="F799" s="13" t="n"/>
    </row>
    <row r="800" ht="15.75" customHeight="1">
      <c r="B800" s="13" t="n"/>
      <c r="C800" s="13" t="n"/>
      <c r="D800" s="13" t="n"/>
      <c r="E800" s="13" t="n"/>
      <c r="F800" s="13" t="n"/>
    </row>
    <row r="801" ht="15.75" customHeight="1">
      <c r="B801" s="13" t="n"/>
      <c r="C801" s="13" t="n"/>
      <c r="D801" s="13" t="n"/>
      <c r="E801" s="13" t="n"/>
      <c r="F801" s="13" t="n"/>
    </row>
    <row r="802" ht="15.75" customHeight="1">
      <c r="B802" s="13" t="n"/>
      <c r="C802" s="13" t="n"/>
      <c r="D802" s="13" t="n"/>
      <c r="E802" s="13" t="n"/>
      <c r="F802" s="13" t="n"/>
    </row>
    <row r="803" ht="15.75" customHeight="1">
      <c r="B803" s="13" t="n"/>
      <c r="C803" s="13" t="n"/>
      <c r="D803" s="13" t="n"/>
      <c r="E803" s="13" t="n"/>
      <c r="F803" s="13" t="n"/>
    </row>
    <row r="804" ht="15.75" customHeight="1">
      <c r="B804" s="13" t="n"/>
      <c r="C804" s="13" t="n"/>
      <c r="D804" s="13" t="n"/>
      <c r="E804" s="13" t="n"/>
      <c r="F804" s="13" t="n"/>
    </row>
    <row r="805" ht="15.75" customHeight="1">
      <c r="B805" s="13" t="n"/>
      <c r="C805" s="13" t="n"/>
      <c r="D805" s="13" t="n"/>
      <c r="E805" s="13" t="n"/>
      <c r="F805" s="13" t="n"/>
    </row>
    <row r="806" ht="15.75" customHeight="1">
      <c r="B806" s="13" t="n"/>
      <c r="C806" s="13" t="n"/>
      <c r="D806" s="13" t="n"/>
      <c r="E806" s="13" t="n"/>
      <c r="F806" s="13" t="n"/>
    </row>
    <row r="807" ht="15.75" customHeight="1">
      <c r="B807" s="13" t="n"/>
      <c r="C807" s="13" t="n"/>
      <c r="D807" s="13" t="n"/>
      <c r="E807" s="13" t="n"/>
      <c r="F807" s="13" t="n"/>
    </row>
    <row r="808" ht="15.75" customHeight="1">
      <c r="B808" s="13" t="n"/>
      <c r="C808" s="13" t="n"/>
      <c r="D808" s="13" t="n"/>
      <c r="E808" s="13" t="n"/>
      <c r="F808" s="13" t="n"/>
    </row>
    <row r="809" ht="15.75" customHeight="1">
      <c r="B809" s="13" t="n"/>
      <c r="C809" s="13" t="n"/>
      <c r="D809" s="13" t="n"/>
      <c r="E809" s="13" t="n"/>
      <c r="F809" s="13" t="n"/>
    </row>
    <row r="810" ht="15.75" customHeight="1">
      <c r="B810" s="13" t="n"/>
      <c r="C810" s="13" t="n"/>
      <c r="D810" s="13" t="n"/>
      <c r="E810" s="13" t="n"/>
      <c r="F810" s="13" t="n"/>
    </row>
    <row r="811" ht="15.75" customHeight="1">
      <c r="B811" s="13" t="n"/>
      <c r="C811" s="13" t="n"/>
      <c r="D811" s="13" t="n"/>
      <c r="E811" s="13" t="n"/>
      <c r="F811" s="13" t="n"/>
    </row>
    <row r="812" ht="15.75" customHeight="1">
      <c r="B812" s="13" t="n"/>
      <c r="C812" s="13" t="n"/>
      <c r="D812" s="13" t="n"/>
      <c r="E812" s="13" t="n"/>
      <c r="F812" s="13" t="n"/>
    </row>
    <row r="813" ht="15.75" customHeight="1">
      <c r="B813" s="13" t="n"/>
      <c r="C813" s="13" t="n"/>
      <c r="D813" s="13" t="n"/>
      <c r="E813" s="13" t="n"/>
      <c r="F813" s="13" t="n"/>
    </row>
    <row r="814" ht="15.75" customHeight="1">
      <c r="B814" s="13" t="n"/>
      <c r="C814" s="13" t="n"/>
      <c r="D814" s="13" t="n"/>
      <c r="E814" s="13" t="n"/>
      <c r="F814" s="13" t="n"/>
    </row>
    <row r="815" ht="15.75" customHeight="1">
      <c r="B815" s="13" t="n"/>
      <c r="C815" s="13" t="n"/>
      <c r="D815" s="13" t="n"/>
      <c r="E815" s="13" t="n"/>
      <c r="F815" s="13" t="n"/>
    </row>
    <row r="816" ht="15.75" customHeight="1">
      <c r="B816" s="13" t="n"/>
      <c r="C816" s="13" t="n"/>
      <c r="D816" s="13" t="n"/>
      <c r="E816" s="13" t="n"/>
      <c r="F816" s="13" t="n"/>
    </row>
    <row r="817" ht="15.75" customHeight="1">
      <c r="B817" s="13" t="n"/>
      <c r="C817" s="13" t="n"/>
      <c r="D817" s="13" t="n"/>
      <c r="E817" s="13" t="n"/>
      <c r="F817" s="13" t="n"/>
    </row>
    <row r="818" ht="15.75" customHeight="1">
      <c r="B818" s="13" t="n"/>
      <c r="C818" s="13" t="n"/>
      <c r="D818" s="13" t="n"/>
      <c r="E818" s="13" t="n"/>
      <c r="F818" s="13" t="n"/>
    </row>
    <row r="819" ht="15.75" customHeight="1">
      <c r="B819" s="13" t="n"/>
      <c r="C819" s="13" t="n"/>
      <c r="D819" s="13" t="n"/>
      <c r="E819" s="13" t="n"/>
      <c r="F819" s="13" t="n"/>
    </row>
    <row r="820" ht="15.75" customHeight="1">
      <c r="B820" s="13" t="n"/>
      <c r="C820" s="13" t="n"/>
      <c r="D820" s="13" t="n"/>
      <c r="E820" s="13" t="n"/>
      <c r="F820" s="13" t="n"/>
    </row>
    <row r="821" ht="15.75" customHeight="1">
      <c r="B821" s="13" t="n"/>
      <c r="C821" s="13" t="n"/>
      <c r="D821" s="13" t="n"/>
      <c r="E821" s="13" t="n"/>
      <c r="F821" s="13" t="n"/>
    </row>
    <row r="822" ht="15.75" customHeight="1">
      <c r="B822" s="13" t="n"/>
      <c r="C822" s="13" t="n"/>
      <c r="D822" s="13" t="n"/>
      <c r="E822" s="13" t="n"/>
      <c r="F822" s="13" t="n"/>
    </row>
    <row r="823" ht="15.75" customHeight="1">
      <c r="B823" s="13" t="n"/>
      <c r="C823" s="13" t="n"/>
      <c r="D823" s="13" t="n"/>
      <c r="E823" s="13" t="n"/>
      <c r="F823" s="13" t="n"/>
    </row>
    <row r="824" ht="15.75" customHeight="1">
      <c r="B824" s="13" t="n"/>
      <c r="C824" s="13" t="n"/>
      <c r="D824" s="13" t="n"/>
      <c r="E824" s="13" t="n"/>
      <c r="F824" s="13" t="n"/>
    </row>
    <row r="825" ht="15.75" customHeight="1">
      <c r="B825" s="13" t="n"/>
      <c r="C825" s="13" t="n"/>
      <c r="D825" s="13" t="n"/>
      <c r="E825" s="13" t="n"/>
      <c r="F825" s="13" t="n"/>
    </row>
    <row r="826" ht="15.75" customHeight="1">
      <c r="B826" s="13" t="n"/>
      <c r="C826" s="13" t="n"/>
      <c r="D826" s="13" t="n"/>
      <c r="E826" s="13" t="n"/>
      <c r="F826" s="13" t="n"/>
    </row>
    <row r="827" ht="15.75" customHeight="1">
      <c r="B827" s="13" t="n"/>
      <c r="C827" s="13" t="n"/>
      <c r="D827" s="13" t="n"/>
      <c r="E827" s="13" t="n"/>
      <c r="F827" s="13" t="n"/>
    </row>
    <row r="828" ht="15.75" customHeight="1">
      <c r="B828" s="13" t="n"/>
      <c r="C828" s="13" t="n"/>
      <c r="D828" s="13" t="n"/>
      <c r="E828" s="13" t="n"/>
      <c r="F828" s="13" t="n"/>
    </row>
    <row r="829" ht="15.75" customHeight="1">
      <c r="B829" s="13" t="n"/>
      <c r="C829" s="13" t="n"/>
      <c r="D829" s="13" t="n"/>
      <c r="E829" s="13" t="n"/>
      <c r="F829" s="13" t="n"/>
    </row>
    <row r="830" ht="15.75" customHeight="1">
      <c r="B830" s="13" t="n"/>
      <c r="C830" s="13" t="n"/>
      <c r="D830" s="13" t="n"/>
      <c r="E830" s="13" t="n"/>
      <c r="F830" s="13" t="n"/>
    </row>
    <row r="831" ht="15.75" customHeight="1">
      <c r="B831" s="13" t="n"/>
      <c r="C831" s="13" t="n"/>
      <c r="D831" s="13" t="n"/>
      <c r="E831" s="13" t="n"/>
      <c r="F831" s="13" t="n"/>
    </row>
    <row r="832" ht="15.75" customHeight="1">
      <c r="B832" s="13" t="n"/>
      <c r="C832" s="13" t="n"/>
      <c r="D832" s="13" t="n"/>
      <c r="E832" s="13" t="n"/>
      <c r="F832" s="13" t="n"/>
    </row>
    <row r="833" ht="15.75" customHeight="1">
      <c r="B833" s="13" t="n"/>
      <c r="C833" s="13" t="n"/>
      <c r="D833" s="13" t="n"/>
      <c r="E833" s="13" t="n"/>
      <c r="F833" s="13" t="n"/>
    </row>
    <row r="834" ht="15.75" customHeight="1">
      <c r="B834" s="13" t="n"/>
      <c r="C834" s="13" t="n"/>
      <c r="D834" s="13" t="n"/>
      <c r="E834" s="13" t="n"/>
      <c r="F834" s="13" t="n"/>
    </row>
    <row r="835" ht="15.75" customHeight="1">
      <c r="B835" s="13" t="n"/>
      <c r="C835" s="13" t="n"/>
      <c r="D835" s="13" t="n"/>
      <c r="E835" s="13" t="n"/>
      <c r="F835" s="13" t="n"/>
    </row>
    <row r="836" ht="15.75" customHeight="1">
      <c r="B836" s="13" t="n"/>
      <c r="C836" s="13" t="n"/>
      <c r="D836" s="13" t="n"/>
      <c r="E836" s="13" t="n"/>
      <c r="F836" s="13" t="n"/>
    </row>
    <row r="837" ht="15.75" customHeight="1">
      <c r="B837" s="13" t="n"/>
      <c r="C837" s="13" t="n"/>
      <c r="D837" s="13" t="n"/>
      <c r="E837" s="13" t="n"/>
      <c r="F837" s="13" t="n"/>
    </row>
    <row r="838" ht="15.75" customHeight="1">
      <c r="B838" s="13" t="n"/>
      <c r="C838" s="13" t="n"/>
      <c r="D838" s="13" t="n"/>
      <c r="E838" s="13" t="n"/>
      <c r="F838" s="13" t="n"/>
    </row>
    <row r="839" ht="15.75" customHeight="1">
      <c r="B839" s="13" t="n"/>
      <c r="C839" s="13" t="n"/>
      <c r="D839" s="13" t="n"/>
      <c r="E839" s="13" t="n"/>
      <c r="F839" s="13" t="n"/>
    </row>
    <row r="840" ht="15.75" customHeight="1">
      <c r="B840" s="13" t="n"/>
      <c r="C840" s="13" t="n"/>
      <c r="D840" s="13" t="n"/>
      <c r="E840" s="13" t="n"/>
      <c r="F840" s="13" t="n"/>
    </row>
    <row r="841" ht="15.75" customHeight="1">
      <c r="B841" s="13" t="n"/>
      <c r="C841" s="13" t="n"/>
      <c r="D841" s="13" t="n"/>
      <c r="E841" s="13" t="n"/>
      <c r="F841" s="13" t="n"/>
    </row>
    <row r="842" ht="15.75" customHeight="1">
      <c r="B842" s="13" t="n"/>
      <c r="C842" s="13" t="n"/>
      <c r="D842" s="13" t="n"/>
      <c r="E842" s="13" t="n"/>
      <c r="F842" s="13" t="n"/>
    </row>
    <row r="843" ht="15.75" customHeight="1">
      <c r="B843" s="13" t="n"/>
      <c r="C843" s="13" t="n"/>
      <c r="D843" s="13" t="n"/>
      <c r="E843" s="13" t="n"/>
      <c r="F843" s="13" t="n"/>
    </row>
    <row r="844" ht="15.75" customHeight="1">
      <c r="B844" s="13" t="n"/>
      <c r="C844" s="13" t="n"/>
      <c r="D844" s="13" t="n"/>
      <c r="E844" s="13" t="n"/>
      <c r="F844" s="13" t="n"/>
    </row>
    <row r="845" ht="15.75" customHeight="1">
      <c r="B845" s="13" t="n"/>
      <c r="C845" s="13" t="n"/>
      <c r="D845" s="13" t="n"/>
      <c r="E845" s="13" t="n"/>
      <c r="F845" s="13" t="n"/>
    </row>
    <row r="846" ht="15.75" customHeight="1">
      <c r="B846" s="13" t="n"/>
      <c r="C846" s="13" t="n"/>
      <c r="D846" s="13" t="n"/>
      <c r="E846" s="13" t="n"/>
      <c r="F846" s="13" t="n"/>
    </row>
    <row r="847" ht="15.75" customHeight="1">
      <c r="B847" s="13" t="n"/>
      <c r="C847" s="13" t="n"/>
      <c r="D847" s="13" t="n"/>
      <c r="E847" s="13" t="n"/>
      <c r="F847" s="13" t="n"/>
    </row>
    <row r="848" ht="15.75" customHeight="1">
      <c r="B848" s="13" t="n"/>
      <c r="C848" s="13" t="n"/>
      <c r="D848" s="13" t="n"/>
      <c r="E848" s="13" t="n"/>
      <c r="F848" s="13" t="n"/>
    </row>
    <row r="849" ht="15.75" customHeight="1">
      <c r="B849" s="13" t="n"/>
      <c r="C849" s="13" t="n"/>
      <c r="D849" s="13" t="n"/>
      <c r="E849" s="13" t="n"/>
      <c r="F849" s="13" t="n"/>
    </row>
    <row r="850" ht="15.75" customHeight="1">
      <c r="B850" s="13" t="n"/>
      <c r="C850" s="13" t="n"/>
      <c r="D850" s="13" t="n"/>
      <c r="E850" s="13" t="n"/>
      <c r="F850" s="13" t="n"/>
    </row>
    <row r="851" ht="15.75" customHeight="1">
      <c r="B851" s="13" t="n"/>
      <c r="C851" s="13" t="n"/>
      <c r="D851" s="13" t="n"/>
      <c r="E851" s="13" t="n"/>
      <c r="F851" s="13" t="n"/>
    </row>
    <row r="852" ht="15.75" customHeight="1">
      <c r="B852" s="13" t="n"/>
      <c r="C852" s="13" t="n"/>
      <c r="D852" s="13" t="n"/>
      <c r="E852" s="13" t="n"/>
      <c r="F852" s="13" t="n"/>
    </row>
    <row r="853" ht="15.75" customHeight="1">
      <c r="B853" s="13" t="n"/>
      <c r="C853" s="13" t="n"/>
      <c r="D853" s="13" t="n"/>
      <c r="E853" s="13" t="n"/>
      <c r="F853" s="13" t="n"/>
    </row>
    <row r="854" ht="15.75" customHeight="1">
      <c r="B854" s="13" t="n"/>
      <c r="C854" s="13" t="n"/>
      <c r="D854" s="13" t="n"/>
      <c r="E854" s="13" t="n"/>
      <c r="F854" s="13" t="n"/>
    </row>
    <row r="855" ht="15.75" customHeight="1">
      <c r="B855" s="13" t="n"/>
      <c r="C855" s="13" t="n"/>
      <c r="D855" s="13" t="n"/>
      <c r="E855" s="13" t="n"/>
      <c r="F855" s="13" t="n"/>
    </row>
    <row r="856" ht="15.75" customHeight="1">
      <c r="B856" s="13" t="n"/>
      <c r="C856" s="13" t="n"/>
      <c r="D856" s="13" t="n"/>
      <c r="E856" s="13" t="n"/>
      <c r="F856" s="13" t="n"/>
    </row>
    <row r="857" ht="15.75" customHeight="1">
      <c r="B857" s="13" t="n"/>
      <c r="C857" s="13" t="n"/>
      <c r="D857" s="13" t="n"/>
      <c r="E857" s="13" t="n"/>
      <c r="F857" s="13" t="n"/>
    </row>
    <row r="858" ht="15.75" customHeight="1">
      <c r="B858" s="13" t="n"/>
      <c r="C858" s="13" t="n"/>
      <c r="D858" s="13" t="n"/>
      <c r="E858" s="13" t="n"/>
      <c r="F858" s="13" t="n"/>
    </row>
    <row r="859" ht="15.75" customHeight="1">
      <c r="B859" s="13" t="n"/>
      <c r="C859" s="13" t="n"/>
      <c r="D859" s="13" t="n"/>
      <c r="E859" s="13" t="n"/>
      <c r="F859" s="13" t="n"/>
    </row>
    <row r="860" ht="15.75" customHeight="1">
      <c r="B860" s="13" t="n"/>
      <c r="C860" s="13" t="n"/>
      <c r="D860" s="13" t="n"/>
      <c r="E860" s="13" t="n"/>
      <c r="F860" s="13" t="n"/>
    </row>
    <row r="861" ht="15.75" customHeight="1">
      <c r="B861" s="13" t="n"/>
      <c r="C861" s="13" t="n"/>
      <c r="D861" s="13" t="n"/>
      <c r="E861" s="13" t="n"/>
      <c r="F861" s="13" t="n"/>
    </row>
    <row r="862" ht="15.75" customHeight="1">
      <c r="B862" s="13" t="n"/>
      <c r="C862" s="13" t="n"/>
      <c r="D862" s="13" t="n"/>
      <c r="E862" s="13" t="n"/>
      <c r="F862" s="13" t="n"/>
    </row>
    <row r="863" ht="15.75" customHeight="1">
      <c r="B863" s="13" t="n"/>
      <c r="C863" s="13" t="n"/>
      <c r="D863" s="13" t="n"/>
      <c r="E863" s="13" t="n"/>
      <c r="F863" s="13" t="n"/>
    </row>
    <row r="864" ht="15.75" customHeight="1">
      <c r="B864" s="13" t="n"/>
      <c r="C864" s="13" t="n"/>
      <c r="D864" s="13" t="n"/>
      <c r="E864" s="13" t="n"/>
      <c r="F864" s="13" t="n"/>
    </row>
    <row r="865" ht="15.75" customHeight="1">
      <c r="B865" s="13" t="n"/>
      <c r="C865" s="13" t="n"/>
      <c r="D865" s="13" t="n"/>
      <c r="E865" s="13" t="n"/>
      <c r="F865" s="13" t="n"/>
    </row>
    <row r="866" ht="15.75" customHeight="1">
      <c r="B866" s="13" t="n"/>
      <c r="C866" s="13" t="n"/>
      <c r="D866" s="13" t="n"/>
      <c r="E866" s="13" t="n"/>
      <c r="F866" s="13" t="n"/>
    </row>
    <row r="867" ht="15.75" customHeight="1">
      <c r="B867" s="13" t="n"/>
      <c r="C867" s="13" t="n"/>
      <c r="D867" s="13" t="n"/>
      <c r="E867" s="13" t="n"/>
      <c r="F867" s="13" t="n"/>
    </row>
    <row r="868" ht="15.75" customHeight="1">
      <c r="B868" s="13" t="n"/>
      <c r="C868" s="13" t="n"/>
      <c r="D868" s="13" t="n"/>
      <c r="E868" s="13" t="n"/>
      <c r="F868" s="13" t="n"/>
    </row>
    <row r="869" ht="15.75" customHeight="1">
      <c r="B869" s="13" t="n"/>
      <c r="C869" s="13" t="n"/>
      <c r="D869" s="13" t="n"/>
      <c r="E869" s="13" t="n"/>
      <c r="F869" s="13" t="n"/>
    </row>
    <row r="870" ht="15.75" customHeight="1">
      <c r="B870" s="13" t="n"/>
      <c r="C870" s="13" t="n"/>
      <c r="D870" s="13" t="n"/>
      <c r="E870" s="13" t="n"/>
      <c r="F870" s="13" t="n"/>
    </row>
    <row r="871" ht="15.75" customHeight="1">
      <c r="B871" s="13" t="n"/>
      <c r="C871" s="13" t="n"/>
      <c r="D871" s="13" t="n"/>
      <c r="E871" s="13" t="n"/>
      <c r="F871" s="13" t="n"/>
    </row>
    <row r="872" ht="15.75" customHeight="1">
      <c r="B872" s="13" t="n"/>
      <c r="C872" s="13" t="n"/>
      <c r="D872" s="13" t="n"/>
      <c r="E872" s="13" t="n"/>
      <c r="F872" s="13" t="n"/>
    </row>
    <row r="873" ht="15.75" customHeight="1">
      <c r="B873" s="13" t="n"/>
      <c r="C873" s="13" t="n"/>
      <c r="D873" s="13" t="n"/>
      <c r="E873" s="13" t="n"/>
      <c r="F873" s="13" t="n"/>
    </row>
    <row r="874" ht="15.75" customHeight="1">
      <c r="B874" s="13" t="n"/>
      <c r="C874" s="13" t="n"/>
      <c r="D874" s="13" t="n"/>
      <c r="E874" s="13" t="n"/>
      <c r="F874" s="13" t="n"/>
    </row>
    <row r="875" ht="15.75" customHeight="1">
      <c r="B875" s="13" t="n"/>
      <c r="C875" s="13" t="n"/>
      <c r="D875" s="13" t="n"/>
      <c r="E875" s="13" t="n"/>
      <c r="F875" s="13" t="n"/>
    </row>
    <row r="876" ht="15.75" customHeight="1">
      <c r="B876" s="13" t="n"/>
      <c r="C876" s="13" t="n"/>
      <c r="D876" s="13" t="n"/>
      <c r="E876" s="13" t="n"/>
      <c r="F876" s="13" t="n"/>
    </row>
    <row r="877" ht="15.75" customHeight="1">
      <c r="B877" s="13" t="n"/>
      <c r="C877" s="13" t="n"/>
      <c r="D877" s="13" t="n"/>
      <c r="E877" s="13" t="n"/>
      <c r="F877" s="13" t="n"/>
    </row>
    <row r="878" ht="15.75" customHeight="1">
      <c r="B878" s="13" t="n"/>
      <c r="C878" s="13" t="n"/>
      <c r="D878" s="13" t="n"/>
      <c r="E878" s="13" t="n"/>
      <c r="F878" s="13" t="n"/>
    </row>
    <row r="879" ht="15.75" customHeight="1">
      <c r="B879" s="13" t="n"/>
      <c r="C879" s="13" t="n"/>
      <c r="D879" s="13" t="n"/>
      <c r="E879" s="13" t="n"/>
      <c r="F879" s="13" t="n"/>
    </row>
    <row r="880" ht="15.75" customHeight="1">
      <c r="B880" s="13" t="n"/>
      <c r="C880" s="13" t="n"/>
      <c r="D880" s="13" t="n"/>
      <c r="E880" s="13" t="n"/>
      <c r="F880" s="13" t="n"/>
    </row>
    <row r="881" ht="15.75" customHeight="1">
      <c r="B881" s="13" t="n"/>
      <c r="C881" s="13" t="n"/>
      <c r="D881" s="13" t="n"/>
      <c r="E881" s="13" t="n"/>
      <c r="F881" s="13" t="n"/>
    </row>
    <row r="882" ht="15.75" customHeight="1">
      <c r="B882" s="13" t="n"/>
      <c r="C882" s="13" t="n"/>
      <c r="D882" s="13" t="n"/>
      <c r="E882" s="13" t="n"/>
      <c r="F882" s="13" t="n"/>
    </row>
    <row r="883" ht="15.75" customHeight="1">
      <c r="B883" s="13" t="n"/>
      <c r="C883" s="13" t="n"/>
      <c r="D883" s="13" t="n"/>
      <c r="E883" s="13" t="n"/>
      <c r="F883" s="13" t="n"/>
    </row>
    <row r="884" ht="15.75" customHeight="1">
      <c r="B884" s="13" t="n"/>
      <c r="C884" s="13" t="n"/>
      <c r="D884" s="13" t="n"/>
      <c r="E884" s="13" t="n"/>
      <c r="F884" s="13" t="n"/>
    </row>
    <row r="885" ht="15.75" customHeight="1">
      <c r="B885" s="13" t="n"/>
      <c r="C885" s="13" t="n"/>
      <c r="D885" s="13" t="n"/>
      <c r="E885" s="13" t="n"/>
      <c r="F885" s="13" t="n"/>
    </row>
    <row r="886" ht="15.75" customHeight="1">
      <c r="B886" s="13" t="n"/>
      <c r="C886" s="13" t="n"/>
      <c r="D886" s="13" t="n"/>
      <c r="E886" s="13" t="n"/>
      <c r="F886" s="13" t="n"/>
    </row>
    <row r="887" ht="15.75" customHeight="1">
      <c r="B887" s="13" t="n"/>
      <c r="C887" s="13" t="n"/>
      <c r="D887" s="13" t="n"/>
      <c r="E887" s="13" t="n"/>
      <c r="F887" s="13" t="n"/>
    </row>
    <row r="888" ht="15.75" customHeight="1">
      <c r="B888" s="13" t="n"/>
      <c r="C888" s="13" t="n"/>
      <c r="D888" s="13" t="n"/>
      <c r="E888" s="13" t="n"/>
      <c r="F888" s="13" t="n"/>
    </row>
    <row r="889" ht="15.75" customHeight="1">
      <c r="B889" s="13" t="n"/>
      <c r="C889" s="13" t="n"/>
      <c r="D889" s="13" t="n"/>
      <c r="E889" s="13" t="n"/>
      <c r="F889" s="13" t="n"/>
    </row>
    <row r="890" ht="15.75" customHeight="1">
      <c r="B890" s="13" t="n"/>
      <c r="C890" s="13" t="n"/>
      <c r="D890" s="13" t="n"/>
      <c r="E890" s="13" t="n"/>
      <c r="F890" s="13" t="n"/>
    </row>
    <row r="891" ht="15.75" customHeight="1">
      <c r="B891" s="13" t="n"/>
      <c r="C891" s="13" t="n"/>
      <c r="D891" s="13" t="n"/>
      <c r="E891" s="13" t="n"/>
      <c r="F891" s="13" t="n"/>
    </row>
    <row r="892" ht="15.75" customHeight="1">
      <c r="B892" s="13" t="n"/>
      <c r="C892" s="13" t="n"/>
      <c r="D892" s="13" t="n"/>
      <c r="E892" s="13" t="n"/>
      <c r="F892" s="13" t="n"/>
    </row>
    <row r="893" ht="15.75" customHeight="1">
      <c r="B893" s="13" t="n"/>
      <c r="C893" s="13" t="n"/>
      <c r="D893" s="13" t="n"/>
      <c r="E893" s="13" t="n"/>
      <c r="F893" s="13" t="n"/>
    </row>
    <row r="894" ht="15.75" customHeight="1">
      <c r="B894" s="13" t="n"/>
      <c r="C894" s="13" t="n"/>
      <c r="D894" s="13" t="n"/>
      <c r="E894" s="13" t="n"/>
      <c r="F894" s="13" t="n"/>
    </row>
    <row r="895" ht="15.75" customHeight="1">
      <c r="B895" s="13" t="n"/>
      <c r="C895" s="13" t="n"/>
      <c r="D895" s="13" t="n"/>
      <c r="E895" s="13" t="n"/>
      <c r="F895" s="13" t="n"/>
    </row>
    <row r="896" ht="15.75" customHeight="1">
      <c r="B896" s="13" t="n"/>
      <c r="C896" s="13" t="n"/>
      <c r="D896" s="13" t="n"/>
      <c r="E896" s="13" t="n"/>
      <c r="F896" s="13" t="n"/>
    </row>
    <row r="897" ht="15.75" customHeight="1">
      <c r="B897" s="13" t="n"/>
      <c r="C897" s="13" t="n"/>
      <c r="D897" s="13" t="n"/>
      <c r="E897" s="13" t="n"/>
      <c r="F897" s="13" t="n"/>
    </row>
    <row r="898" ht="15.75" customHeight="1">
      <c r="B898" s="13" t="n"/>
      <c r="C898" s="13" t="n"/>
      <c r="D898" s="13" t="n"/>
      <c r="E898" s="13" t="n"/>
      <c r="F898" s="13" t="n"/>
    </row>
    <row r="899" ht="15.75" customHeight="1">
      <c r="B899" s="13" t="n"/>
      <c r="C899" s="13" t="n"/>
      <c r="D899" s="13" t="n"/>
      <c r="E899" s="13" t="n"/>
      <c r="F899" s="13" t="n"/>
    </row>
    <row r="900" ht="15.75" customHeight="1">
      <c r="B900" s="13" t="n"/>
      <c r="C900" s="13" t="n"/>
      <c r="D900" s="13" t="n"/>
      <c r="E900" s="13" t="n"/>
      <c r="F900" s="13" t="n"/>
    </row>
    <row r="901" ht="15.75" customHeight="1">
      <c r="B901" s="13" t="n"/>
      <c r="C901" s="13" t="n"/>
      <c r="D901" s="13" t="n"/>
      <c r="E901" s="13" t="n"/>
      <c r="F901" s="13" t="n"/>
    </row>
    <row r="902" ht="15.75" customHeight="1">
      <c r="B902" s="13" t="n"/>
      <c r="C902" s="13" t="n"/>
      <c r="D902" s="13" t="n"/>
      <c r="E902" s="13" t="n"/>
      <c r="F902" s="13" t="n"/>
    </row>
    <row r="903" ht="15.75" customHeight="1">
      <c r="B903" s="13" t="n"/>
      <c r="C903" s="13" t="n"/>
      <c r="D903" s="13" t="n"/>
      <c r="E903" s="13" t="n"/>
      <c r="F903" s="13" t="n"/>
    </row>
    <row r="904" ht="15.75" customHeight="1">
      <c r="B904" s="13" t="n"/>
      <c r="C904" s="13" t="n"/>
      <c r="D904" s="13" t="n"/>
      <c r="E904" s="13" t="n"/>
      <c r="F904" s="13" t="n"/>
    </row>
    <row r="905" ht="15.75" customHeight="1">
      <c r="B905" s="13" t="n"/>
      <c r="C905" s="13" t="n"/>
      <c r="D905" s="13" t="n"/>
      <c r="E905" s="13" t="n"/>
      <c r="F905" s="13" t="n"/>
    </row>
    <row r="906" ht="15.75" customHeight="1">
      <c r="B906" s="13" t="n"/>
      <c r="C906" s="13" t="n"/>
      <c r="D906" s="13" t="n"/>
      <c r="E906" s="13" t="n"/>
      <c r="F906" s="13" t="n"/>
    </row>
    <row r="907" ht="15.75" customHeight="1">
      <c r="B907" s="13" t="n"/>
      <c r="C907" s="13" t="n"/>
      <c r="D907" s="13" t="n"/>
      <c r="E907" s="13" t="n"/>
      <c r="F907" s="13" t="n"/>
    </row>
    <row r="908" ht="15.75" customHeight="1">
      <c r="B908" s="13" t="n"/>
      <c r="C908" s="13" t="n"/>
      <c r="D908" s="13" t="n"/>
      <c r="E908" s="13" t="n"/>
      <c r="F908" s="13" t="n"/>
    </row>
    <row r="909" ht="15.75" customHeight="1">
      <c r="B909" s="13" t="n"/>
      <c r="C909" s="13" t="n"/>
      <c r="D909" s="13" t="n"/>
      <c r="E909" s="13" t="n"/>
      <c r="F909" s="13" t="n"/>
    </row>
    <row r="910" ht="15.75" customHeight="1">
      <c r="B910" s="13" t="n"/>
      <c r="C910" s="13" t="n"/>
      <c r="D910" s="13" t="n"/>
      <c r="E910" s="13" t="n"/>
      <c r="F910" s="13" t="n"/>
    </row>
    <row r="911" ht="15.75" customHeight="1">
      <c r="B911" s="13" t="n"/>
      <c r="C911" s="13" t="n"/>
      <c r="D911" s="13" t="n"/>
      <c r="E911" s="13" t="n"/>
      <c r="F911" s="13" t="n"/>
    </row>
    <row r="912" ht="15.75" customHeight="1">
      <c r="B912" s="13" t="n"/>
      <c r="C912" s="13" t="n"/>
      <c r="D912" s="13" t="n"/>
      <c r="E912" s="13" t="n"/>
      <c r="F912" s="13" t="n"/>
    </row>
    <row r="913" ht="15.75" customHeight="1">
      <c r="B913" s="13" t="n"/>
      <c r="C913" s="13" t="n"/>
      <c r="D913" s="13" t="n"/>
      <c r="E913" s="13" t="n"/>
      <c r="F913" s="13" t="n"/>
    </row>
    <row r="914" ht="15.75" customHeight="1">
      <c r="B914" s="13" t="n"/>
      <c r="C914" s="13" t="n"/>
      <c r="D914" s="13" t="n"/>
      <c r="E914" s="13" t="n"/>
      <c r="F914" s="13" t="n"/>
    </row>
    <row r="915" ht="15.75" customHeight="1">
      <c r="B915" s="13" t="n"/>
      <c r="C915" s="13" t="n"/>
      <c r="D915" s="13" t="n"/>
      <c r="E915" s="13" t="n"/>
      <c r="F915" s="13" t="n"/>
    </row>
    <row r="916" ht="15.75" customHeight="1">
      <c r="B916" s="13" t="n"/>
      <c r="C916" s="13" t="n"/>
      <c r="D916" s="13" t="n"/>
      <c r="E916" s="13" t="n"/>
      <c r="F916" s="13" t="n"/>
    </row>
    <row r="917" ht="15.75" customHeight="1">
      <c r="B917" s="13" t="n"/>
      <c r="C917" s="13" t="n"/>
      <c r="D917" s="13" t="n"/>
      <c r="E917" s="13" t="n"/>
      <c r="F917" s="13" t="n"/>
    </row>
    <row r="918" ht="15.75" customHeight="1">
      <c r="B918" s="13" t="n"/>
      <c r="C918" s="13" t="n"/>
      <c r="D918" s="13" t="n"/>
      <c r="E918" s="13" t="n"/>
      <c r="F918" s="13" t="n"/>
    </row>
    <row r="919" ht="15.75" customHeight="1">
      <c r="B919" s="13" t="n"/>
      <c r="C919" s="13" t="n"/>
      <c r="D919" s="13" t="n"/>
      <c r="E919" s="13" t="n"/>
      <c r="F919" s="13" t="n"/>
    </row>
    <row r="920" ht="15.75" customHeight="1">
      <c r="B920" s="13" t="n"/>
      <c r="C920" s="13" t="n"/>
      <c r="D920" s="13" t="n"/>
      <c r="E920" s="13" t="n"/>
      <c r="F920" s="13" t="n"/>
    </row>
    <row r="921" ht="15.75" customHeight="1">
      <c r="B921" s="13" t="n"/>
      <c r="C921" s="13" t="n"/>
      <c r="D921" s="13" t="n"/>
      <c r="E921" s="13" t="n"/>
      <c r="F921" s="13" t="n"/>
    </row>
    <row r="922" ht="15.75" customHeight="1">
      <c r="B922" s="13" t="n"/>
      <c r="C922" s="13" t="n"/>
      <c r="D922" s="13" t="n"/>
      <c r="E922" s="13" t="n"/>
      <c r="F922" s="13" t="n"/>
    </row>
    <row r="923" ht="15.75" customHeight="1">
      <c r="B923" s="13" t="n"/>
      <c r="C923" s="13" t="n"/>
      <c r="D923" s="13" t="n"/>
      <c r="E923" s="13" t="n"/>
      <c r="F923" s="13" t="n"/>
    </row>
    <row r="924" ht="15.75" customHeight="1">
      <c r="B924" s="13" t="n"/>
      <c r="C924" s="13" t="n"/>
      <c r="D924" s="13" t="n"/>
      <c r="E924" s="13" t="n"/>
      <c r="F924" s="13" t="n"/>
    </row>
    <row r="925" ht="15.75" customHeight="1">
      <c r="B925" s="13" t="n"/>
      <c r="C925" s="13" t="n"/>
      <c r="D925" s="13" t="n"/>
      <c r="E925" s="13" t="n"/>
      <c r="F925" s="13" t="n"/>
    </row>
    <row r="926" ht="15.75" customHeight="1">
      <c r="B926" s="13" t="n"/>
      <c r="C926" s="13" t="n"/>
      <c r="D926" s="13" t="n"/>
      <c r="E926" s="13" t="n"/>
      <c r="F926" s="13" t="n"/>
    </row>
    <row r="927" ht="15.75" customHeight="1">
      <c r="B927" s="13" t="n"/>
      <c r="C927" s="13" t="n"/>
      <c r="D927" s="13" t="n"/>
      <c r="E927" s="13" t="n"/>
      <c r="F927" s="13" t="n"/>
    </row>
    <row r="928" ht="15.75" customHeight="1">
      <c r="B928" s="13" t="n"/>
      <c r="C928" s="13" t="n"/>
      <c r="D928" s="13" t="n"/>
      <c r="E928" s="13" t="n"/>
      <c r="F928" s="13" t="n"/>
    </row>
    <row r="929" ht="15.75" customHeight="1">
      <c r="B929" s="13" t="n"/>
      <c r="C929" s="13" t="n"/>
      <c r="D929" s="13" t="n"/>
      <c r="E929" s="13" t="n"/>
      <c r="F929" s="13" t="n"/>
    </row>
    <row r="930" ht="15.75" customHeight="1">
      <c r="B930" s="13" t="n"/>
      <c r="C930" s="13" t="n"/>
      <c r="D930" s="13" t="n"/>
      <c r="E930" s="13" t="n"/>
      <c r="F930" s="13" t="n"/>
    </row>
    <row r="931" ht="15.75" customHeight="1">
      <c r="B931" s="13" t="n"/>
      <c r="C931" s="13" t="n"/>
      <c r="D931" s="13" t="n"/>
      <c r="E931" s="13" t="n"/>
      <c r="F931" s="13" t="n"/>
    </row>
    <row r="932" ht="15.75" customHeight="1">
      <c r="B932" s="13" t="n"/>
      <c r="C932" s="13" t="n"/>
      <c r="D932" s="13" t="n"/>
      <c r="E932" s="13" t="n"/>
      <c r="F932" s="13" t="n"/>
    </row>
    <row r="933" ht="15.75" customHeight="1">
      <c r="B933" s="13" t="n"/>
      <c r="C933" s="13" t="n"/>
      <c r="D933" s="13" t="n"/>
      <c r="E933" s="13" t="n"/>
      <c r="F933" s="13" t="n"/>
    </row>
    <row r="934" ht="15.75" customHeight="1">
      <c r="B934" s="13" t="n"/>
      <c r="C934" s="13" t="n"/>
      <c r="D934" s="13" t="n"/>
      <c r="E934" s="13" t="n"/>
      <c r="F934" s="13" t="n"/>
    </row>
    <row r="935" ht="15.75" customHeight="1">
      <c r="B935" s="13" t="n"/>
      <c r="C935" s="13" t="n"/>
      <c r="D935" s="13" t="n"/>
      <c r="E935" s="13" t="n"/>
      <c r="F935" s="13" t="n"/>
    </row>
    <row r="936" ht="15.75" customHeight="1">
      <c r="B936" s="13" t="n"/>
      <c r="C936" s="13" t="n"/>
      <c r="D936" s="13" t="n"/>
      <c r="E936" s="13" t="n"/>
      <c r="F936" s="13" t="n"/>
    </row>
    <row r="937" ht="15.75" customHeight="1">
      <c r="B937" s="13" t="n"/>
      <c r="C937" s="13" t="n"/>
      <c r="D937" s="13" t="n"/>
      <c r="E937" s="13" t="n"/>
      <c r="F937" s="13" t="n"/>
    </row>
    <row r="938" ht="15.75" customHeight="1">
      <c r="B938" s="13" t="n"/>
      <c r="C938" s="13" t="n"/>
      <c r="D938" s="13" t="n"/>
      <c r="E938" s="13" t="n"/>
      <c r="F938" s="13" t="n"/>
    </row>
    <row r="939" ht="15.75" customHeight="1">
      <c r="B939" s="13" t="n"/>
      <c r="C939" s="13" t="n"/>
      <c r="D939" s="13" t="n"/>
      <c r="E939" s="13" t="n"/>
      <c r="F939" s="13" t="n"/>
    </row>
    <row r="940" ht="15.75" customHeight="1">
      <c r="B940" s="13" t="n"/>
      <c r="C940" s="13" t="n"/>
      <c r="D940" s="13" t="n"/>
      <c r="E940" s="13" t="n"/>
      <c r="F940" s="13" t="n"/>
    </row>
    <row r="941" ht="15.75" customHeight="1">
      <c r="B941" s="13" t="n"/>
      <c r="C941" s="13" t="n"/>
      <c r="D941" s="13" t="n"/>
      <c r="E941" s="13" t="n"/>
      <c r="F941" s="13" t="n"/>
    </row>
    <row r="942" ht="15.75" customHeight="1">
      <c r="B942" s="13" t="n"/>
      <c r="C942" s="13" t="n"/>
      <c r="D942" s="13" t="n"/>
      <c r="E942" s="13" t="n"/>
      <c r="F942" s="13" t="n"/>
    </row>
    <row r="943" ht="15.75" customHeight="1">
      <c r="B943" s="13" t="n"/>
      <c r="C943" s="13" t="n"/>
      <c r="D943" s="13" t="n"/>
      <c r="E943" s="13" t="n"/>
      <c r="F943" s="13" t="n"/>
    </row>
    <row r="944" ht="15.75" customHeight="1">
      <c r="B944" s="13" t="n"/>
      <c r="C944" s="13" t="n"/>
      <c r="D944" s="13" t="n"/>
      <c r="E944" s="13" t="n"/>
      <c r="F944" s="13" t="n"/>
    </row>
    <row r="945" ht="15.75" customHeight="1">
      <c r="B945" s="13" t="n"/>
      <c r="C945" s="13" t="n"/>
      <c r="D945" s="13" t="n"/>
      <c r="E945" s="13" t="n"/>
      <c r="F945" s="13" t="n"/>
    </row>
    <row r="946" ht="15.75" customHeight="1">
      <c r="B946" s="13" t="n"/>
      <c r="C946" s="13" t="n"/>
      <c r="D946" s="13" t="n"/>
      <c r="E946" s="13" t="n"/>
      <c r="F946" s="13" t="n"/>
    </row>
    <row r="947" ht="15.75" customHeight="1">
      <c r="B947" s="13" t="n"/>
      <c r="C947" s="13" t="n"/>
      <c r="D947" s="13" t="n"/>
      <c r="E947" s="13" t="n"/>
      <c r="F947" s="13" t="n"/>
    </row>
    <row r="948" ht="15.75" customHeight="1">
      <c r="B948" s="13" t="n"/>
      <c r="C948" s="13" t="n"/>
      <c r="D948" s="13" t="n"/>
      <c r="E948" s="13" t="n"/>
      <c r="F948" s="13" t="n"/>
    </row>
    <row r="949" ht="15.75" customHeight="1">
      <c r="B949" s="13" t="n"/>
      <c r="C949" s="13" t="n"/>
      <c r="D949" s="13" t="n"/>
      <c r="E949" s="13" t="n"/>
      <c r="F949" s="13" t="n"/>
    </row>
    <row r="950" ht="15.75" customHeight="1">
      <c r="B950" s="13" t="n"/>
      <c r="C950" s="13" t="n"/>
      <c r="D950" s="13" t="n"/>
      <c r="E950" s="13" t="n"/>
      <c r="F950" s="13" t="n"/>
    </row>
    <row r="951" ht="15.75" customHeight="1">
      <c r="B951" s="13" t="n"/>
      <c r="C951" s="13" t="n"/>
      <c r="D951" s="13" t="n"/>
      <c r="E951" s="13" t="n"/>
      <c r="F951" s="13" t="n"/>
    </row>
    <row r="952" ht="15.75" customHeight="1">
      <c r="B952" s="13" t="n"/>
      <c r="C952" s="13" t="n"/>
      <c r="D952" s="13" t="n"/>
      <c r="E952" s="13" t="n"/>
      <c r="F952" s="13" t="n"/>
    </row>
    <row r="953" ht="15.75" customHeight="1">
      <c r="B953" s="13" t="n"/>
      <c r="C953" s="13" t="n"/>
      <c r="D953" s="13" t="n"/>
      <c r="E953" s="13" t="n"/>
      <c r="F953" s="13" t="n"/>
    </row>
    <row r="954" ht="15.75" customHeight="1">
      <c r="B954" s="13" t="n"/>
      <c r="C954" s="13" t="n"/>
      <c r="D954" s="13" t="n"/>
      <c r="E954" s="13" t="n"/>
      <c r="F954" s="13" t="n"/>
    </row>
    <row r="955" ht="15.75" customHeight="1">
      <c r="B955" s="13" t="n"/>
      <c r="C955" s="13" t="n"/>
      <c r="D955" s="13" t="n"/>
      <c r="E955" s="13" t="n"/>
      <c r="F955" s="13" t="n"/>
    </row>
    <row r="956" ht="15.75" customHeight="1">
      <c r="B956" s="13" t="n"/>
      <c r="C956" s="13" t="n"/>
      <c r="D956" s="13" t="n"/>
      <c r="E956" s="13" t="n"/>
      <c r="F956" s="13" t="n"/>
    </row>
    <row r="957" ht="15.75" customHeight="1">
      <c r="B957" s="13" t="n"/>
      <c r="C957" s="13" t="n"/>
      <c r="D957" s="13" t="n"/>
      <c r="E957" s="13" t="n"/>
      <c r="F957" s="13" t="n"/>
    </row>
    <row r="958" ht="15.75" customHeight="1">
      <c r="B958" s="13" t="n"/>
      <c r="C958" s="13" t="n"/>
      <c r="D958" s="13" t="n"/>
      <c r="E958" s="13" t="n"/>
      <c r="F958" s="13" t="n"/>
    </row>
    <row r="959" ht="15.75" customHeight="1">
      <c r="B959" s="13" t="n"/>
      <c r="C959" s="13" t="n"/>
      <c r="D959" s="13" t="n"/>
      <c r="E959" s="13" t="n"/>
      <c r="F959" s="13" t="n"/>
    </row>
    <row r="960" ht="15.75" customHeight="1">
      <c r="B960" s="13" t="n"/>
      <c r="C960" s="13" t="n"/>
      <c r="D960" s="13" t="n"/>
      <c r="E960" s="13" t="n"/>
      <c r="F960" s="13" t="n"/>
    </row>
    <row r="961" ht="15.75" customHeight="1">
      <c r="B961" s="13" t="n"/>
      <c r="C961" s="13" t="n"/>
      <c r="D961" s="13" t="n"/>
      <c r="E961" s="13" t="n"/>
      <c r="F961" s="13" t="n"/>
    </row>
    <row r="962" ht="15.75" customHeight="1">
      <c r="B962" s="13" t="n"/>
      <c r="C962" s="13" t="n"/>
      <c r="D962" s="13" t="n"/>
      <c r="E962" s="13" t="n"/>
      <c r="F962" s="13" t="n"/>
    </row>
    <row r="963" ht="15.75" customHeight="1">
      <c r="B963" s="13" t="n"/>
      <c r="C963" s="13" t="n"/>
      <c r="D963" s="13" t="n"/>
      <c r="E963" s="13" t="n"/>
      <c r="F963" s="13" t="n"/>
    </row>
    <row r="964" ht="15.75" customHeight="1">
      <c r="B964" s="13" t="n"/>
      <c r="C964" s="13" t="n"/>
      <c r="D964" s="13" t="n"/>
      <c r="E964" s="13" t="n"/>
      <c r="F964" s="13" t="n"/>
    </row>
    <row r="965" ht="15.75" customHeight="1">
      <c r="B965" s="13" t="n"/>
      <c r="C965" s="13" t="n"/>
      <c r="D965" s="13" t="n"/>
      <c r="E965" s="13" t="n"/>
      <c r="F965" s="13" t="n"/>
    </row>
    <row r="966" ht="15.75" customHeight="1">
      <c r="B966" s="13" t="n"/>
      <c r="C966" s="13" t="n"/>
      <c r="D966" s="13" t="n"/>
      <c r="E966" s="13" t="n"/>
      <c r="F966" s="13" t="n"/>
    </row>
    <row r="967" ht="15.75" customHeight="1">
      <c r="B967" s="13" t="n"/>
      <c r="C967" s="13" t="n"/>
      <c r="D967" s="13" t="n"/>
      <c r="E967" s="13" t="n"/>
      <c r="F967" s="13" t="n"/>
    </row>
    <row r="968" ht="15.75" customHeight="1">
      <c r="B968" s="13" t="n"/>
      <c r="C968" s="13" t="n"/>
      <c r="D968" s="13" t="n"/>
      <c r="E968" s="13" t="n"/>
      <c r="F968" s="13" t="n"/>
    </row>
    <row r="969" ht="15.75" customHeight="1">
      <c r="B969" s="13" t="n"/>
      <c r="C969" s="13" t="n"/>
      <c r="D969" s="13" t="n"/>
      <c r="E969" s="13" t="n"/>
      <c r="F969" s="13" t="n"/>
    </row>
    <row r="970" ht="15.75" customHeight="1">
      <c r="B970" s="13" t="n"/>
      <c r="C970" s="13" t="n"/>
      <c r="D970" s="13" t="n"/>
      <c r="E970" s="13" t="n"/>
      <c r="F970" s="13" t="n"/>
    </row>
    <row r="971" ht="15.75" customHeight="1">
      <c r="B971" s="13" t="n"/>
      <c r="C971" s="13" t="n"/>
      <c r="D971" s="13" t="n"/>
      <c r="E971" s="13" t="n"/>
      <c r="F971" s="13" t="n"/>
    </row>
    <row r="972" ht="15.75" customHeight="1">
      <c r="B972" s="13" t="n"/>
      <c r="C972" s="13" t="n"/>
      <c r="D972" s="13" t="n"/>
      <c r="E972" s="13" t="n"/>
      <c r="F972" s="13" t="n"/>
    </row>
    <row r="973" ht="15.75" customHeight="1">
      <c r="B973" s="13" t="n"/>
      <c r="C973" s="13" t="n"/>
      <c r="D973" s="13" t="n"/>
      <c r="E973" s="13" t="n"/>
      <c r="F973" s="13" t="n"/>
    </row>
    <row r="974" ht="15.75" customHeight="1">
      <c r="B974" s="13" t="n"/>
      <c r="C974" s="13" t="n"/>
      <c r="D974" s="13" t="n"/>
      <c r="E974" s="13" t="n"/>
      <c r="F974" s="13" t="n"/>
    </row>
    <row r="975" ht="15.75" customHeight="1">
      <c r="B975" s="13" t="n"/>
      <c r="C975" s="13" t="n"/>
      <c r="D975" s="13" t="n"/>
      <c r="E975" s="13" t="n"/>
      <c r="F975" s="13" t="n"/>
    </row>
    <row r="976" ht="15.75" customHeight="1">
      <c r="B976" s="13" t="n"/>
      <c r="C976" s="13" t="n"/>
      <c r="D976" s="13" t="n"/>
      <c r="E976" s="13" t="n"/>
      <c r="F976" s="13" t="n"/>
    </row>
    <row r="977" ht="15.75" customHeight="1">
      <c r="B977" s="13" t="n"/>
      <c r="C977" s="13" t="n"/>
      <c r="D977" s="13" t="n"/>
      <c r="E977" s="13" t="n"/>
      <c r="F977" s="13" t="n"/>
    </row>
    <row r="978" ht="15.75" customHeight="1">
      <c r="B978" s="13" t="n"/>
      <c r="C978" s="13" t="n"/>
      <c r="D978" s="13" t="n"/>
      <c r="E978" s="13" t="n"/>
      <c r="F978" s="13" t="n"/>
    </row>
    <row r="979" ht="15.75" customHeight="1">
      <c r="B979" s="13" t="n"/>
      <c r="C979" s="13" t="n"/>
      <c r="D979" s="13" t="n"/>
      <c r="E979" s="13" t="n"/>
      <c r="F979" s="13" t="n"/>
    </row>
    <row r="980" ht="15.75" customHeight="1">
      <c r="B980" s="13" t="n"/>
      <c r="C980" s="13" t="n"/>
      <c r="D980" s="13" t="n"/>
      <c r="E980" s="13" t="n"/>
      <c r="F980" s="13" t="n"/>
    </row>
    <row r="981" ht="15.75" customHeight="1">
      <c r="B981" s="13" t="n"/>
      <c r="C981" s="13" t="n"/>
      <c r="D981" s="13" t="n"/>
      <c r="E981" s="13" t="n"/>
      <c r="F981" s="13" t="n"/>
    </row>
    <row r="982" ht="15.75" customHeight="1">
      <c r="B982" s="13" t="n"/>
      <c r="C982" s="13" t="n"/>
      <c r="D982" s="13" t="n"/>
      <c r="E982" s="13" t="n"/>
      <c r="F982" s="13" t="n"/>
    </row>
    <row r="983" ht="15.75" customHeight="1">
      <c r="B983" s="13" t="n"/>
      <c r="C983" s="13" t="n"/>
      <c r="D983" s="13" t="n"/>
      <c r="E983" s="13" t="n"/>
      <c r="F983" s="13" t="n"/>
    </row>
    <row r="984" ht="15.75" customHeight="1">
      <c r="B984" s="13" t="n"/>
      <c r="C984" s="13" t="n"/>
      <c r="D984" s="13" t="n"/>
      <c r="E984" s="13" t="n"/>
      <c r="F984" s="13" t="n"/>
    </row>
    <row r="985" ht="15.75" customHeight="1">
      <c r="B985" s="13" t="n"/>
      <c r="C985" s="13" t="n"/>
      <c r="D985" s="13" t="n"/>
      <c r="E985" s="13" t="n"/>
      <c r="F985" s="13" t="n"/>
    </row>
    <row r="986" ht="15.75" customHeight="1">
      <c r="B986" s="13" t="n"/>
      <c r="C986" s="13" t="n"/>
      <c r="D986" s="13" t="n"/>
      <c r="E986" s="13" t="n"/>
      <c r="F986" s="13" t="n"/>
    </row>
    <row r="987" ht="15.75" customHeight="1">
      <c r="B987" s="13" t="n"/>
      <c r="C987" s="13" t="n"/>
      <c r="D987" s="13" t="n"/>
      <c r="E987" s="13" t="n"/>
      <c r="F987" s="13" t="n"/>
    </row>
    <row r="988" ht="15.75" customHeight="1">
      <c r="B988" s="13" t="n"/>
      <c r="C988" s="13" t="n"/>
      <c r="D988" s="13" t="n"/>
      <c r="E988" s="13" t="n"/>
      <c r="F988" s="13" t="n"/>
    </row>
    <row r="989" ht="15.75" customHeight="1">
      <c r="B989" s="13" t="n"/>
      <c r="C989" s="13" t="n"/>
      <c r="D989" s="13" t="n"/>
      <c r="E989" s="13" t="n"/>
      <c r="F989" s="13" t="n"/>
    </row>
    <row r="990" ht="15.75" customHeight="1">
      <c r="B990" s="13" t="n"/>
      <c r="C990" s="13" t="n"/>
      <c r="D990" s="13" t="n"/>
      <c r="E990" s="13" t="n"/>
      <c r="F990" s="13" t="n"/>
    </row>
    <row r="991" ht="15.75" customHeight="1">
      <c r="B991" s="13" t="n"/>
      <c r="C991" s="13" t="n"/>
      <c r="D991" s="13" t="n"/>
      <c r="E991" s="13" t="n"/>
      <c r="F991" s="13" t="n"/>
    </row>
    <row r="992" ht="15.75" customHeight="1">
      <c r="B992" s="13" t="n"/>
      <c r="C992" s="13" t="n"/>
      <c r="D992" s="13" t="n"/>
      <c r="E992" s="13" t="n"/>
      <c r="F992" s="13" t="n"/>
    </row>
    <row r="993" ht="15.75" customHeight="1">
      <c r="B993" s="13" t="n"/>
      <c r="C993" s="13" t="n"/>
      <c r="D993" s="13" t="n"/>
      <c r="E993" s="13" t="n"/>
      <c r="F993" s="13" t="n"/>
    </row>
    <row r="994" ht="15.75" customHeight="1">
      <c r="B994" s="13" t="n"/>
      <c r="C994" s="13" t="n"/>
      <c r="D994" s="13" t="n"/>
      <c r="E994" s="13" t="n"/>
      <c r="F994" s="13" t="n"/>
    </row>
    <row r="995" ht="15.75" customHeight="1">
      <c r="B995" s="13" t="n"/>
      <c r="C995" s="13" t="n"/>
      <c r="D995" s="13" t="n"/>
      <c r="E995" s="13" t="n"/>
      <c r="F995" s="13" t="n"/>
    </row>
    <row r="996" ht="15.75" customHeight="1">
      <c r="B996" s="13" t="n"/>
      <c r="C996" s="13" t="n"/>
      <c r="D996" s="13" t="n"/>
      <c r="E996" s="13" t="n"/>
      <c r="F996" s="13" t="n"/>
    </row>
    <row r="997" ht="15.75" customHeight="1">
      <c r="B997" s="13" t="n"/>
      <c r="C997" s="13" t="n"/>
      <c r="D997" s="13" t="n"/>
      <c r="E997" s="13" t="n"/>
      <c r="F997" s="13" t="n"/>
    </row>
    <row r="998" ht="15.75" customHeight="1">
      <c r="B998" s="13" t="n"/>
      <c r="C998" s="13" t="n"/>
      <c r="D998" s="13" t="n"/>
      <c r="E998" s="13" t="n"/>
      <c r="F998" s="13" t="n"/>
    </row>
    <row r="999" ht="15.75" customHeight="1">
      <c r="B999" s="13" t="n"/>
      <c r="C999" s="13" t="n"/>
      <c r="D999" s="13" t="n"/>
      <c r="E999" s="13" t="n"/>
      <c r="F999" s="13" t="n"/>
    </row>
  </sheetData>
  <mergeCells count="14">
    <mergeCell ref="AI19:AI20"/>
    <mergeCell ref="C12:D12"/>
    <mergeCell ref="AJ19:AJ20"/>
    <mergeCell ref="AK19:AK20"/>
    <mergeCell ref="AH17:AH18"/>
    <mergeCell ref="C3:C8"/>
    <mergeCell ref="C11:D11"/>
    <mergeCell ref="AG25:AH25"/>
    <mergeCell ref="AJ17:AJ18"/>
    <mergeCell ref="AH19:AH20"/>
    <mergeCell ref="C13:D13"/>
    <mergeCell ref="AI17:AI18"/>
    <mergeCell ref="AG31:AH31"/>
    <mergeCell ref="AK17:AK18"/>
  </mergeCells>
  <conditionalFormatting sqref="T16:T702">
    <cfRule type="cellIs" priority="1" operator="greaterThan" dxfId="16">
      <formula>0.2</formula>
    </cfRule>
    <cfRule type="cellIs" priority="2" operator="between" dxfId="15">
      <formula>0.100001</formula>
      <formula>0.2</formula>
    </cfRule>
    <cfRule type="cellIs" priority="3" operator="between" dxfId="14">
      <formula>0</formula>
      <formula>0.1</formula>
    </cfRule>
    <cfRule type="cellIs" priority="4" operator="lessThan" dxfId="13">
      <formula>0</formula>
    </cfRule>
  </conditionalFormatting>
  <conditionalFormatting sqref="U16:U702">
    <cfRule type="cellIs" priority="5" operator="lessThan" dxfId="1">
      <formula>0</formula>
    </cfRule>
    <cfRule type="cellIs" priority="6" operator="between" dxfId="2">
      <formula>0</formula>
      <formula>0.3</formula>
    </cfRule>
    <cfRule type="cellIs" priority="7" operator="greaterThan" dxfId="0">
      <formula>0.3</formula>
    </cfRule>
  </conditionalFormatting>
  <conditionalFormatting sqref="X16:X702">
    <cfRule type="cellIs" priority="8" operator="lessThan" dxfId="1">
      <formula>0</formula>
    </cfRule>
    <cfRule type="cellIs" priority="9" operator="between" dxfId="2">
      <formula>0</formula>
      <formula>0.3</formula>
    </cfRule>
    <cfRule type="cellIs" priority="10" operator="greaterThan" dxfId="0">
      <formula>0.3</formula>
    </cfRule>
  </conditionalFormatting>
  <conditionalFormatting sqref="AA16:AA702">
    <cfRule type="cellIs" priority="11" operator="lessThan" dxfId="1">
      <formula>0</formula>
    </cfRule>
    <cfRule type="cellIs" priority="12" operator="between" dxfId="2">
      <formula>0</formula>
      <formula>0.3</formula>
    </cfRule>
    <cfRule type="cellIs" priority="13" operator="greaterThan" dxfId="0">
      <formula>0.3</formula>
    </cfRule>
  </conditionalFormatting>
  <conditionalFormatting sqref="AE16:AE702">
    <cfRule type="cellIs" priority="14" operator="greaterThan" dxfId="1">
      <formula>2</formula>
    </cfRule>
    <cfRule type="cellIs" priority="15" operator="between" dxfId="2">
      <formula>0.5</formula>
      <formula>2</formula>
    </cfRule>
    <cfRule type="cellIs" priority="16" operator="lessThan" dxfId="1">
      <formula>0</formula>
    </cfRule>
    <cfRule type="cellIs" priority="17" operator="between" dxfId="0">
      <formula>0</formula>
      <formula>0.5</formula>
    </cfRule>
  </conditionalFormatting>
  <hyperlinks>
    <hyperlink xmlns:r="http://schemas.openxmlformats.org/officeDocument/2006/relationships" ref="AF2" r:id="rId1"/>
    <hyperlink xmlns:r="http://schemas.openxmlformats.org/officeDocument/2006/relationships" ref="C11" display="IPCA" r:id="rId2"/>
    <hyperlink xmlns:r="http://schemas.openxmlformats.org/officeDocument/2006/relationships" ref="C12" display="ERP" r:id="rId3"/>
  </hyperlinks>
  <pageMargins left="0.511811024" right="0.511811024" top="0.787401575" bottom="0.787401575" header="0" footer="0"/>
  <pageSetup orientation="landscape" paperSize="9"/>
  <drawing xmlns:r="http://schemas.openxmlformats.org/officeDocument/2006/relationships" r:id="rId4"/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8"/>
  <sheetViews>
    <sheetView workbookViewId="0">
      <selection activeCell="F8" sqref="F8"/>
    </sheetView>
  </sheetViews>
  <sheetFormatPr baseColWidth="8" defaultRowHeight="13.8"/>
  <sheetData>
    <row r="1">
      <c r="A1" t="inlineStr">
        <is>
          <t>TICKER</t>
        </is>
      </c>
      <c r="B1" t="inlineStr">
        <is>
          <t>PRECO</t>
        </is>
      </c>
      <c r="C1" t="inlineStr">
        <is>
          <t>DY</t>
        </is>
      </c>
      <c r="D1" t="inlineStr">
        <is>
          <t>P/L</t>
        </is>
      </c>
      <c r="E1" t="inlineStr">
        <is>
          <t>P/VP</t>
        </is>
      </c>
      <c r="F1" t="inlineStr">
        <is>
          <t>P/ATIVOS</t>
        </is>
      </c>
      <c r="G1" t="inlineStr">
        <is>
          <t>MARGEM BRUTA</t>
        </is>
      </c>
      <c r="H1" t="inlineStr">
        <is>
          <t>MARGEM EBIT</t>
        </is>
      </c>
      <c r="I1" t="inlineStr">
        <is>
          <t>MARG. LIQUIDA</t>
        </is>
      </c>
      <c r="J1" t="inlineStr">
        <is>
          <t>P/EBIT</t>
        </is>
      </c>
      <c r="K1" t="inlineStr">
        <is>
          <t>EV/EBIT</t>
        </is>
      </c>
      <c r="L1" t="inlineStr">
        <is>
          <t>DIVIDA LIQUIDA / EBIT</t>
        </is>
      </c>
      <c r="M1" t="inlineStr">
        <is>
          <t>DIV. LIQ. / PATRI.</t>
        </is>
      </c>
      <c r="N1" t="inlineStr">
        <is>
          <t>PSR</t>
        </is>
      </c>
      <c r="O1" t="inlineStr">
        <is>
          <t>P/CAP. GIRO</t>
        </is>
      </c>
      <c r="P1" t="inlineStr">
        <is>
          <t>P. AT CIR. LIQ.</t>
        </is>
      </c>
      <c r="Q1" t="inlineStr">
        <is>
          <t>LIQ. CORRENTE</t>
        </is>
      </c>
      <c r="R1" t="inlineStr">
        <is>
          <t>ROE</t>
        </is>
      </c>
      <c r="S1" t="inlineStr">
        <is>
          <t>ROA</t>
        </is>
      </c>
      <c r="T1" t="inlineStr">
        <is>
          <t>ROIC</t>
        </is>
      </c>
      <c r="U1" t="inlineStr">
        <is>
          <t>PATRIMONIO / ATIVOS</t>
        </is>
      </c>
      <c r="V1" t="inlineStr">
        <is>
          <t>PASSIVOS / ATIVOS</t>
        </is>
      </c>
      <c r="W1" t="inlineStr">
        <is>
          <t>GIRO ATIVOS</t>
        </is>
      </c>
      <c r="X1" t="inlineStr">
        <is>
          <t>CAGR RECEITAS 5 ANOS</t>
        </is>
      </c>
      <c r="Y1" t="inlineStr">
        <is>
          <t>CAGR LUCROS 5 ANOS</t>
        </is>
      </c>
      <c r="Z1" t="inlineStr">
        <is>
          <t xml:space="preserve"> LIQUIDEZ MEDIA DIARIA</t>
        </is>
      </c>
      <c r="AA1" t="inlineStr">
        <is>
          <t xml:space="preserve"> VPA</t>
        </is>
      </c>
      <c r="AB1" t="inlineStr">
        <is>
          <t xml:space="preserve"> LPA</t>
        </is>
      </c>
      <c r="AC1" t="inlineStr">
        <is>
          <t xml:space="preserve"> PEG Ratio</t>
        </is>
      </c>
      <c r="AD1" t="inlineStr">
        <is>
          <t xml:space="preserve"> VALOR DE MERCADO</t>
        </is>
      </c>
    </row>
    <row r="2">
      <c r="A2" t="inlineStr">
        <is>
          <t>AALR3</t>
        </is>
      </c>
      <c r="B2" t="n">
        <v>3.22</v>
      </c>
      <c r="D2" t="n">
        <v>-6.1</v>
      </c>
      <c r="E2" t="n">
        <v>0.46</v>
      </c>
      <c r="F2" t="n">
        <v>0.16</v>
      </c>
      <c r="G2" t="n">
        <v>26.83</v>
      </c>
      <c r="H2" t="n">
        <v>9.470000000000001</v>
      </c>
      <c r="I2" t="n">
        <v>-6.49</v>
      </c>
      <c r="J2" t="n">
        <v>4.18</v>
      </c>
      <c r="K2" t="n">
        <v>7.22</v>
      </c>
      <c r="L2" t="n">
        <v>3.1</v>
      </c>
      <c r="M2" t="n">
        <v>0.34</v>
      </c>
      <c r="N2" t="n">
        <v>0.4</v>
      </c>
      <c r="O2" t="n">
        <v>112.19</v>
      </c>
      <c r="P2" t="n">
        <v>-0.22</v>
      </c>
      <c r="Q2" t="n">
        <v>1.01</v>
      </c>
      <c r="R2" t="n">
        <v>-7.54</v>
      </c>
      <c r="S2" t="n">
        <v>-2.66</v>
      </c>
      <c r="T2" t="n">
        <v>5.63</v>
      </c>
      <c r="U2" t="n">
        <v>0.35</v>
      </c>
      <c r="V2" t="n">
        <v>0.64</v>
      </c>
      <c r="W2" t="n">
        <v>0.41</v>
      </c>
      <c r="X2" t="n">
        <v>2.55</v>
      </c>
      <c r="Z2" t="n">
        <v>181348.23</v>
      </c>
      <c r="AA2" t="n">
        <v>7</v>
      </c>
      <c r="AB2" t="n">
        <v>-0.53</v>
      </c>
      <c r="AC2" t="n">
        <v>0.12</v>
      </c>
      <c r="AD2" t="n">
        <v>484503152.76</v>
      </c>
    </row>
    <row r="3">
      <c r="A3" t="inlineStr">
        <is>
          <t>ABCB4</t>
        </is>
      </c>
      <c r="B3" t="n">
        <v>23.7</v>
      </c>
      <c r="C3" t="n">
        <v>11.39</v>
      </c>
      <c r="D3" t="n">
        <v>6.14</v>
      </c>
      <c r="E3" t="n">
        <v>0.86</v>
      </c>
      <c r="F3" t="n">
        <v>0.09</v>
      </c>
      <c r="G3" t="n">
        <v>15.81</v>
      </c>
      <c r="H3" t="n">
        <v>14.7</v>
      </c>
      <c r="I3" t="n">
        <v>12.2</v>
      </c>
      <c r="J3" t="n">
        <v>5.09</v>
      </c>
      <c r="K3" t="n">
        <v>5.09</v>
      </c>
      <c r="N3" t="n">
        <v>0.75</v>
      </c>
      <c r="O3" t="n">
        <v>-2.01</v>
      </c>
      <c r="P3" t="n">
        <v>-0.09</v>
      </c>
      <c r="Q3" t="n">
        <v>0.26</v>
      </c>
      <c r="R3" t="n">
        <v>14.08</v>
      </c>
      <c r="S3" t="n">
        <v>1.5</v>
      </c>
      <c r="U3" t="n">
        <v>0.11</v>
      </c>
      <c r="V3" t="n">
        <v>0.89</v>
      </c>
      <c r="W3" t="n">
        <v>0.12</v>
      </c>
      <c r="X3" t="n">
        <v>28.96</v>
      </c>
      <c r="Y3" t="n">
        <v>24.19</v>
      </c>
      <c r="Z3" t="n">
        <v>12186035</v>
      </c>
      <c r="AA3" t="n">
        <v>27.43</v>
      </c>
      <c r="AB3" t="n">
        <v>3.86</v>
      </c>
      <c r="AC3" t="n">
        <v>1.82</v>
      </c>
      <c r="AD3" t="n">
        <v>6168427587.27</v>
      </c>
    </row>
    <row r="4">
      <c r="A4" t="inlineStr">
        <is>
          <t>ABEV3</t>
        </is>
      </c>
      <c r="B4" t="n">
        <v>16.06</v>
      </c>
      <c r="C4" t="n">
        <v>8.15</v>
      </c>
      <c r="D4" t="n">
        <v>16.24</v>
      </c>
      <c r="E4" t="n">
        <v>2.81</v>
      </c>
      <c r="F4" t="n">
        <v>1.77</v>
      </c>
      <c r="G4" t="n">
        <v>51.48</v>
      </c>
      <c r="H4" t="n">
        <v>26.87</v>
      </c>
      <c r="I4" t="n">
        <v>17.66</v>
      </c>
      <c r="J4" t="n">
        <v>10.68</v>
      </c>
      <c r="K4" t="n">
        <v>10.02</v>
      </c>
      <c r="L4" t="n">
        <v>-0.7</v>
      </c>
      <c r="M4" t="n">
        <v>-0.18</v>
      </c>
      <c r="N4" t="n">
        <v>2.87</v>
      </c>
      <c r="O4" t="n">
        <v>216.41</v>
      </c>
      <c r="P4" t="n">
        <v>-2.53</v>
      </c>
      <c r="Q4" t="n">
        <v>1.03</v>
      </c>
      <c r="R4" t="n">
        <v>17.28</v>
      </c>
      <c r="S4" t="n">
        <v>10.91</v>
      </c>
      <c r="T4" t="n">
        <v>21.1</v>
      </c>
      <c r="U4" t="n">
        <v>0.63</v>
      </c>
      <c r="V4" t="n">
        <v>0.36</v>
      </c>
      <c r="W4" t="n">
        <v>0.62</v>
      </c>
      <c r="X4" t="n">
        <v>8.609999999999999</v>
      </c>
      <c r="Y4" t="n">
        <v>6.48</v>
      </c>
      <c r="Z4" t="n">
        <v>380293401.55</v>
      </c>
      <c r="AA4" t="n">
        <v>5.72</v>
      </c>
      <c r="AB4" t="n">
        <v>0.99</v>
      </c>
      <c r="AC4" t="n">
        <v>2.04</v>
      </c>
      <c r="AD4" t="n">
        <v>253952641361.79</v>
      </c>
    </row>
    <row r="5">
      <c r="A5" t="inlineStr">
        <is>
          <t>ADHM3</t>
        </is>
      </c>
      <c r="B5" t="n">
        <v>1.56</v>
      </c>
      <c r="D5" t="n">
        <v>-4.09</v>
      </c>
      <c r="E5" t="n">
        <v>-1.29</v>
      </c>
      <c r="F5" t="n">
        <v>105.12</v>
      </c>
      <c r="G5" t="n">
        <v>100</v>
      </c>
      <c r="H5" t="n">
        <v>-13548.48</v>
      </c>
      <c r="I5" t="n">
        <v>-18860.61</v>
      </c>
      <c r="J5" t="n">
        <v>-5.69</v>
      </c>
      <c r="K5" t="n">
        <v>-5.69</v>
      </c>
      <c r="L5" t="n">
        <v>0</v>
      </c>
      <c r="N5" t="n">
        <v>770.9</v>
      </c>
      <c r="O5" t="n">
        <v>-1.43</v>
      </c>
      <c r="P5" t="n">
        <v>-116.16</v>
      </c>
      <c r="Q5" t="n">
        <v>0</v>
      </c>
      <c r="R5" t="n">
        <v>-31.47</v>
      </c>
      <c r="S5" t="n">
        <v>-2571.9</v>
      </c>
      <c r="T5" t="n">
        <v>22.61</v>
      </c>
      <c r="U5" t="n">
        <v>-81.72</v>
      </c>
      <c r="V5" t="n">
        <v>82.72</v>
      </c>
      <c r="W5" t="n">
        <v>0.14</v>
      </c>
      <c r="AA5" t="n">
        <v>-1.21</v>
      </c>
      <c r="AB5" t="n">
        <v>-0.38</v>
      </c>
      <c r="AC5" t="n">
        <v>-0.58</v>
      </c>
      <c r="AD5" t="n">
        <v>25439770.2</v>
      </c>
    </row>
    <row r="6">
      <c r="A6" t="inlineStr">
        <is>
          <t>AERI3</t>
        </is>
      </c>
      <c r="B6" t="n">
        <v>2.08</v>
      </c>
      <c r="D6" t="n">
        <v>-0.14</v>
      </c>
      <c r="E6" t="n">
        <v>-0.15</v>
      </c>
      <c r="F6" t="n">
        <v>0.09</v>
      </c>
      <c r="G6" t="n">
        <v>-6.13</v>
      </c>
      <c r="H6" t="n">
        <v>-83.8</v>
      </c>
      <c r="I6" t="n">
        <v>-147.32</v>
      </c>
      <c r="J6" t="n">
        <v>-0.24</v>
      </c>
      <c r="K6" t="n">
        <v>-3.71</v>
      </c>
      <c r="L6" t="n">
        <v>-3.47</v>
      </c>
      <c r="N6" t="n">
        <v>0.2</v>
      </c>
      <c r="O6" t="n">
        <v>-0.71</v>
      </c>
      <c r="P6" t="n">
        <v>-0.12</v>
      </c>
      <c r="Q6" t="n">
        <v>0.6899999999999999</v>
      </c>
      <c r="R6" t="n">
        <v>-112.94</v>
      </c>
      <c r="S6" t="n">
        <v>-62.35</v>
      </c>
      <c r="T6" t="n">
        <v>-66.14</v>
      </c>
      <c r="U6" t="n">
        <v>-0.55</v>
      </c>
      <c r="V6" t="n">
        <v>1.55</v>
      </c>
      <c r="W6" t="n">
        <v>0.42</v>
      </c>
      <c r="X6" t="n">
        <v>-19.51</v>
      </c>
      <c r="Z6" t="n">
        <v>68440.95</v>
      </c>
      <c r="AA6" t="n">
        <v>-13.47</v>
      </c>
      <c r="AB6" t="n">
        <v>-15.21</v>
      </c>
      <c r="AC6" t="n">
        <v>0.03</v>
      </c>
      <c r="AD6" t="n">
        <v>129210007.68</v>
      </c>
    </row>
    <row r="7">
      <c r="A7" t="inlineStr">
        <is>
          <t>AESB3</t>
        </is>
      </c>
      <c r="B7" t="n">
        <v>8.119999999999999</v>
      </c>
      <c r="D7" t="n">
        <v>-21.02</v>
      </c>
      <c r="E7" t="n">
        <v>1.83</v>
      </c>
      <c r="F7" t="n">
        <v>0.42</v>
      </c>
      <c r="G7" t="n">
        <v>27.29</v>
      </c>
      <c r="H7" t="n">
        <v>23.39</v>
      </c>
      <c r="I7" t="n">
        <v>-9.44</v>
      </c>
      <c r="J7" t="n">
        <v>8.48</v>
      </c>
      <c r="K7" t="n">
        <v>18.4</v>
      </c>
      <c r="L7" t="n">
        <v>9.93</v>
      </c>
      <c r="M7" t="n">
        <v>2.15</v>
      </c>
      <c r="N7" t="n">
        <v>1.98</v>
      </c>
      <c r="O7" t="n">
        <v>-11.75</v>
      </c>
      <c r="P7" t="n">
        <v>-0.49</v>
      </c>
      <c r="Q7" t="n">
        <v>0.79</v>
      </c>
      <c r="R7" t="n">
        <v>-8.720000000000001</v>
      </c>
      <c r="S7" t="n">
        <v>-2.02</v>
      </c>
      <c r="T7" t="n">
        <v>4.23</v>
      </c>
      <c r="U7" t="n">
        <v>0.23</v>
      </c>
      <c r="V7" t="n">
        <v>0.71</v>
      </c>
      <c r="W7" t="n">
        <v>0.21</v>
      </c>
      <c r="Z7" t="n">
        <v>13684494</v>
      </c>
      <c r="AA7" t="n">
        <v>4.43</v>
      </c>
      <c r="AB7" t="n">
        <v>-0.39</v>
      </c>
      <c r="AC7" t="n">
        <v>2.77</v>
      </c>
      <c r="AD7" t="n">
        <v>8367914180.36</v>
      </c>
    </row>
    <row r="8">
      <c r="A8" t="inlineStr">
        <is>
          <t>AFLT3</t>
        </is>
      </c>
      <c r="B8" t="n">
        <v>7.17</v>
      </c>
      <c r="C8" t="n">
        <v>7.25</v>
      </c>
      <c r="D8" t="n">
        <v>12.69</v>
      </c>
      <c r="E8" t="n">
        <v>1.86</v>
      </c>
      <c r="F8" t="n">
        <v>1.23</v>
      </c>
      <c r="G8" t="n">
        <v>79.2</v>
      </c>
      <c r="H8" t="n">
        <v>69.95</v>
      </c>
      <c r="I8" t="n">
        <v>55.98</v>
      </c>
      <c r="J8" t="n">
        <v>10.15</v>
      </c>
      <c r="K8" t="n">
        <v>9.51</v>
      </c>
      <c r="L8" t="n">
        <v>-0.64</v>
      </c>
      <c r="M8" t="n">
        <v>-0.12</v>
      </c>
      <c r="N8" t="n">
        <v>7.1</v>
      </c>
      <c r="O8" t="n">
        <v>7.24</v>
      </c>
      <c r="P8" t="n">
        <v>-1.94</v>
      </c>
      <c r="Q8" t="n">
        <v>1.85</v>
      </c>
      <c r="R8" t="n">
        <v>14.63</v>
      </c>
      <c r="S8" t="n">
        <v>9.66</v>
      </c>
      <c r="T8" t="n">
        <v>13.09</v>
      </c>
      <c r="U8" t="n">
        <v>0.66</v>
      </c>
      <c r="V8" t="n">
        <v>0.34</v>
      </c>
      <c r="W8" t="n">
        <v>0.17</v>
      </c>
      <c r="X8" t="n">
        <v>6.47</v>
      </c>
      <c r="Y8" t="n">
        <v>13.77</v>
      </c>
      <c r="Z8" t="n">
        <v>4372.23</v>
      </c>
      <c r="AA8" t="n">
        <v>3.86</v>
      </c>
      <c r="AB8" t="n">
        <v>0.57</v>
      </c>
      <c r="AC8" t="n">
        <v>0.35</v>
      </c>
      <c r="AD8" t="n">
        <v>452317299</v>
      </c>
    </row>
    <row r="9">
      <c r="A9" t="inlineStr">
        <is>
          <t>AGRO3</t>
        </is>
      </c>
      <c r="B9" t="n">
        <v>18.97</v>
      </c>
      <c r="C9" t="n">
        <v>3.97</v>
      </c>
      <c r="D9" t="n">
        <v>-131.74</v>
      </c>
      <c r="E9" t="n">
        <v>0.95</v>
      </c>
      <c r="F9" t="n">
        <v>0.51</v>
      </c>
      <c r="G9" t="n">
        <v>12.72</v>
      </c>
      <c r="H9" t="n">
        <v>-1.76</v>
      </c>
      <c r="I9" t="n">
        <v>-1.54</v>
      </c>
      <c r="J9" t="n">
        <v>-115.47</v>
      </c>
      <c r="K9" t="n">
        <v>-195.49</v>
      </c>
      <c r="L9" t="n">
        <v>-80.02</v>
      </c>
      <c r="M9" t="n">
        <v>0.66</v>
      </c>
      <c r="N9" t="n">
        <v>2.03</v>
      </c>
      <c r="O9" t="n">
        <v>5.05</v>
      </c>
      <c r="P9" t="n">
        <v>-0.74</v>
      </c>
      <c r="Q9" t="n">
        <v>1.47</v>
      </c>
      <c r="R9" t="n">
        <v>-0.72</v>
      </c>
      <c r="S9" t="n">
        <v>-0.39</v>
      </c>
      <c r="T9" t="n">
        <v>-3.64</v>
      </c>
      <c r="U9" t="n">
        <v>0.53</v>
      </c>
      <c r="V9" t="n">
        <v>0.47</v>
      </c>
      <c r="W9" t="n">
        <v>0.25</v>
      </c>
      <c r="X9" t="n">
        <v>10.7</v>
      </c>
      <c r="Z9" t="n">
        <v>1804706.77</v>
      </c>
      <c r="AA9" t="n">
        <v>19.88</v>
      </c>
      <c r="AB9" t="n">
        <v>-0.14</v>
      </c>
      <c r="AC9" t="n">
        <v>1.26</v>
      </c>
      <c r="AD9" t="n">
        <v>1947904932.68</v>
      </c>
    </row>
    <row r="10">
      <c r="A10" t="inlineStr">
        <is>
          <t>AGXY3</t>
        </is>
      </c>
      <c r="B10" t="n">
        <v>1.73</v>
      </c>
      <c r="D10" t="n">
        <v>0.03</v>
      </c>
      <c r="E10" t="n">
        <v>-0.18</v>
      </c>
      <c r="F10" t="n">
        <v>0.02</v>
      </c>
      <c r="G10" t="n">
        <v>-1.14</v>
      </c>
      <c r="H10" t="n">
        <v>39.74</v>
      </c>
      <c r="I10" t="n">
        <v>70.06</v>
      </c>
      <c r="J10" t="n">
        <v>0.05</v>
      </c>
      <c r="K10" t="n">
        <v>1.41</v>
      </c>
      <c r="L10" t="n">
        <v>1.36</v>
      </c>
      <c r="N10" t="n">
        <v>0.02</v>
      </c>
      <c r="O10" t="n">
        <v>0.07000000000000001</v>
      </c>
      <c r="P10" t="n">
        <v>-0.03</v>
      </c>
      <c r="Q10" t="n">
        <v>2.19</v>
      </c>
      <c r="R10" t="n">
        <v>-661.54</v>
      </c>
      <c r="S10" t="n">
        <v>55.38</v>
      </c>
      <c r="T10" t="n">
        <v>83.66</v>
      </c>
      <c r="U10" t="n">
        <v>-0.08</v>
      </c>
      <c r="V10" t="n">
        <v>1.08</v>
      </c>
      <c r="W10" t="n">
        <v>0.79</v>
      </c>
      <c r="X10" t="n">
        <v>24.29</v>
      </c>
      <c r="Y10" t="n">
        <v>123.15</v>
      </c>
      <c r="Z10" t="n">
        <v>37126.14</v>
      </c>
      <c r="AA10" t="n">
        <v>-9.779999999999999</v>
      </c>
      <c r="AB10" t="n">
        <v>64.68000000000001</v>
      </c>
      <c r="AC10" t="n">
        <v>0</v>
      </c>
      <c r="AD10" t="n">
        <v>33007053.54</v>
      </c>
    </row>
    <row r="11">
      <c r="A11" t="inlineStr">
        <is>
          <t>AHEB3</t>
        </is>
      </c>
      <c r="B11" t="n">
        <v>23.9</v>
      </c>
      <c r="D11" t="n">
        <v>4.12</v>
      </c>
      <c r="E11" t="n">
        <v>0.7</v>
      </c>
      <c r="F11" t="n">
        <v>0.34</v>
      </c>
      <c r="G11" t="n">
        <v>18.5</v>
      </c>
      <c r="H11" t="n">
        <v>10.33</v>
      </c>
      <c r="I11" t="n">
        <v>8.960000000000001</v>
      </c>
      <c r="J11" t="n">
        <v>3.57</v>
      </c>
      <c r="K11" t="n">
        <v>2.2</v>
      </c>
      <c r="L11" t="n">
        <v>-1.44</v>
      </c>
      <c r="M11" t="n">
        <v>-0.28</v>
      </c>
      <c r="N11" t="n">
        <v>0.37</v>
      </c>
      <c r="O11" t="n">
        <v>1.34</v>
      </c>
      <c r="P11" t="n">
        <v>-0.6</v>
      </c>
      <c r="Q11" t="n">
        <v>2.45</v>
      </c>
      <c r="R11" t="n">
        <v>16.94</v>
      </c>
      <c r="S11" t="n">
        <v>8.27</v>
      </c>
      <c r="T11" t="n">
        <v>15.74</v>
      </c>
      <c r="U11" t="n">
        <v>0.49</v>
      </c>
      <c r="V11" t="n">
        <v>0.51</v>
      </c>
      <c r="W11" t="n">
        <v>0.92</v>
      </c>
      <c r="X11" t="n">
        <v>21.7</v>
      </c>
      <c r="Z11" t="n">
        <v>2711.47</v>
      </c>
      <c r="AA11" t="n">
        <v>34.23</v>
      </c>
      <c r="AB11" t="n">
        <v>5.8</v>
      </c>
      <c r="AC11" t="n">
        <v>-0.07000000000000001</v>
      </c>
      <c r="AD11" t="n">
        <v>208429195.3</v>
      </c>
    </row>
    <row r="12">
      <c r="A12" t="inlineStr">
        <is>
          <t>AHEB5</t>
        </is>
      </c>
      <c r="B12" t="n">
        <v>58</v>
      </c>
      <c r="D12" t="n">
        <v>10</v>
      </c>
      <c r="E12" t="n">
        <v>1.69</v>
      </c>
      <c r="F12" t="n">
        <v>0.83</v>
      </c>
      <c r="G12" t="n">
        <v>18.5</v>
      </c>
      <c r="H12" t="n">
        <v>10.33</v>
      </c>
      <c r="I12" t="n">
        <v>8.960000000000001</v>
      </c>
      <c r="J12" t="n">
        <v>8.67</v>
      </c>
      <c r="K12" t="n">
        <v>2.2</v>
      </c>
      <c r="L12" t="n">
        <v>-1.44</v>
      </c>
      <c r="M12" t="n">
        <v>-0.28</v>
      </c>
      <c r="N12" t="n">
        <v>0.9</v>
      </c>
      <c r="O12" t="n">
        <v>3.25</v>
      </c>
      <c r="P12" t="n">
        <v>-1.45</v>
      </c>
      <c r="Q12" t="n">
        <v>2.45</v>
      </c>
      <c r="R12" t="n">
        <v>16.94</v>
      </c>
      <c r="S12" t="n">
        <v>8.27</v>
      </c>
      <c r="T12" t="n">
        <v>15.74</v>
      </c>
      <c r="U12" t="n">
        <v>0.49</v>
      </c>
      <c r="V12" t="n">
        <v>0.51</v>
      </c>
      <c r="W12" t="n">
        <v>0.92</v>
      </c>
      <c r="X12" t="n">
        <v>21.7</v>
      </c>
      <c r="AA12" t="n">
        <v>34.23</v>
      </c>
      <c r="AB12" t="n">
        <v>5.8</v>
      </c>
      <c r="AC12" t="n">
        <v>-0.18</v>
      </c>
      <c r="AD12" t="n">
        <v>208429195.3</v>
      </c>
    </row>
    <row r="13">
      <c r="A13" t="inlineStr">
        <is>
          <t>AHEB6</t>
        </is>
      </c>
      <c r="B13" t="n">
        <v>55</v>
      </c>
      <c r="D13" t="n">
        <v>9.49</v>
      </c>
      <c r="E13" t="n">
        <v>1.61</v>
      </c>
      <c r="F13" t="n">
        <v>0.78</v>
      </c>
      <c r="G13" t="n">
        <v>18.5</v>
      </c>
      <c r="H13" t="n">
        <v>10.33</v>
      </c>
      <c r="I13" t="n">
        <v>8.960000000000001</v>
      </c>
      <c r="J13" t="n">
        <v>8.23</v>
      </c>
      <c r="K13" t="n">
        <v>2.2</v>
      </c>
      <c r="L13" t="n">
        <v>-1.44</v>
      </c>
      <c r="M13" t="n">
        <v>-0.28</v>
      </c>
      <c r="N13" t="n">
        <v>0.85</v>
      </c>
      <c r="O13" t="n">
        <v>3.08</v>
      </c>
      <c r="P13" t="n">
        <v>-1.38</v>
      </c>
      <c r="Q13" t="n">
        <v>2.45</v>
      </c>
      <c r="R13" t="n">
        <v>16.94</v>
      </c>
      <c r="S13" t="n">
        <v>8.27</v>
      </c>
      <c r="T13" t="n">
        <v>15.74</v>
      </c>
      <c r="U13" t="n">
        <v>0.49</v>
      </c>
      <c r="V13" t="n">
        <v>0.51</v>
      </c>
      <c r="W13" t="n">
        <v>0.92</v>
      </c>
      <c r="X13" t="n">
        <v>21.7</v>
      </c>
      <c r="AA13" t="n">
        <v>34.23</v>
      </c>
      <c r="AB13" t="n">
        <v>5.8</v>
      </c>
      <c r="AC13" t="n">
        <v>-0.17</v>
      </c>
      <c r="AD13" t="n">
        <v>208429195.3</v>
      </c>
    </row>
    <row r="14">
      <c r="A14" t="inlineStr">
        <is>
          <t>ALLD3</t>
        </is>
      </c>
      <c r="B14" t="n">
        <v>4.47</v>
      </c>
      <c r="C14" t="n">
        <v>25.97</v>
      </c>
      <c r="D14" t="n">
        <v>1.25</v>
      </c>
      <c r="E14" t="n">
        <v>0.28</v>
      </c>
      <c r="F14" t="n">
        <v>0.13</v>
      </c>
      <c r="G14" t="n">
        <v>11.75</v>
      </c>
      <c r="H14" t="n">
        <v>9.41</v>
      </c>
      <c r="I14" t="n">
        <v>6.26</v>
      </c>
      <c r="J14" t="n">
        <v>0.83</v>
      </c>
      <c r="K14" t="n">
        <v>1.1</v>
      </c>
      <c r="L14" t="n">
        <v>0.26</v>
      </c>
      <c r="M14" t="n">
        <v>0.09</v>
      </c>
      <c r="N14" t="n">
        <v>0.08</v>
      </c>
      <c r="O14" t="n">
        <v>0.41</v>
      </c>
      <c r="P14" t="n">
        <v>-0.45</v>
      </c>
      <c r="Q14" t="n">
        <v>1.74</v>
      </c>
      <c r="R14" t="n">
        <v>22.27</v>
      </c>
      <c r="S14" t="n">
        <v>10.1</v>
      </c>
      <c r="T14" t="n">
        <v>18.12</v>
      </c>
      <c r="U14" t="n">
        <v>0.45</v>
      </c>
      <c r="V14" t="n">
        <v>0.55</v>
      </c>
      <c r="W14" t="n">
        <v>1.61</v>
      </c>
      <c r="X14" t="n">
        <v>3.11</v>
      </c>
      <c r="Y14" t="n">
        <v>15.35</v>
      </c>
      <c r="Z14" t="n">
        <v>1684980.86</v>
      </c>
      <c r="AA14" t="n">
        <v>16.02</v>
      </c>
      <c r="AB14" t="n">
        <v>3.57</v>
      </c>
      <c r="AC14" t="n">
        <v>0.01</v>
      </c>
      <c r="AD14" t="n">
        <v>429907681.28</v>
      </c>
    </row>
    <row r="15">
      <c r="A15" t="inlineStr">
        <is>
          <t>ALOS3</t>
        </is>
      </c>
      <c r="B15" t="n">
        <v>26.56</v>
      </c>
      <c r="C15" t="n">
        <v>11.07</v>
      </c>
      <c r="D15" t="n">
        <v>16.18</v>
      </c>
      <c r="E15" t="n">
        <v>1.03</v>
      </c>
      <c r="F15" t="n">
        <v>0.54</v>
      </c>
      <c r="G15" t="n">
        <v>73.41</v>
      </c>
      <c r="H15" t="n">
        <v>52.49</v>
      </c>
      <c r="I15" t="n">
        <v>28.81</v>
      </c>
      <c r="J15" t="n">
        <v>8.880000000000001</v>
      </c>
      <c r="K15" t="n">
        <v>7.46</v>
      </c>
      <c r="L15" t="n">
        <v>-1.43</v>
      </c>
      <c r="M15" t="n">
        <v>-0.17</v>
      </c>
      <c r="N15" t="n">
        <v>4.66</v>
      </c>
      <c r="O15" t="n">
        <v>7.08</v>
      </c>
      <c r="P15" t="n">
        <v>-0.61</v>
      </c>
      <c r="Q15" t="n">
        <v>2.81</v>
      </c>
      <c r="R15" t="n">
        <v>6.39</v>
      </c>
      <c r="S15" t="n">
        <v>3.33</v>
      </c>
      <c r="T15" t="n">
        <v>11.37</v>
      </c>
      <c r="U15" t="n">
        <v>0.52</v>
      </c>
      <c r="V15" t="n">
        <v>0.48</v>
      </c>
      <c r="W15" t="n">
        <v>0.12</v>
      </c>
      <c r="X15" t="n">
        <v>29.09</v>
      </c>
      <c r="Y15" t="n">
        <v>37.4</v>
      </c>
      <c r="Z15" t="n">
        <v>95348489.27</v>
      </c>
      <c r="AA15" t="n">
        <v>25.71</v>
      </c>
      <c r="AB15" t="n">
        <v>1.64</v>
      </c>
      <c r="AC15" t="n">
        <v>-4.06</v>
      </c>
      <c r="AD15" t="n">
        <v>13411479190.2</v>
      </c>
    </row>
    <row r="16">
      <c r="A16" t="inlineStr">
        <is>
          <t>ALPA3</t>
        </is>
      </c>
      <c r="B16" t="n">
        <v>8.640000000000001</v>
      </c>
      <c r="C16" t="n">
        <v>5.69</v>
      </c>
      <c r="D16" t="n">
        <v>9.529999999999999</v>
      </c>
      <c r="E16" t="n">
        <v>1.71</v>
      </c>
      <c r="F16" t="n">
        <v>0.9399999999999999</v>
      </c>
      <c r="G16" t="n">
        <v>52.49</v>
      </c>
      <c r="H16" t="n">
        <v>14.46</v>
      </c>
      <c r="I16" t="n">
        <v>13.17</v>
      </c>
      <c r="J16" t="n">
        <v>8.68</v>
      </c>
      <c r="K16" t="n">
        <v>10.85</v>
      </c>
      <c r="L16" t="n">
        <v>0.71</v>
      </c>
      <c r="M16" t="n">
        <v>0.14</v>
      </c>
      <c r="N16" t="n">
        <v>1.26</v>
      </c>
      <c r="O16" t="n">
        <v>4.64</v>
      </c>
      <c r="P16" t="n">
        <v>-1.81</v>
      </c>
      <c r="Q16" t="n">
        <v>1.73</v>
      </c>
      <c r="R16" t="n">
        <v>17.9</v>
      </c>
      <c r="S16" t="n">
        <v>9.85</v>
      </c>
      <c r="T16" t="n">
        <v>13.55</v>
      </c>
      <c r="U16" t="n">
        <v>0.55</v>
      </c>
      <c r="V16" t="n">
        <v>0.45</v>
      </c>
      <c r="W16" t="n">
        <v>0.75</v>
      </c>
      <c r="X16" t="n">
        <v>6.29</v>
      </c>
      <c r="Y16" t="n">
        <v>34.59</v>
      </c>
      <c r="Z16" t="n">
        <v>68152.82000000001</v>
      </c>
      <c r="AA16" t="n">
        <v>5.06</v>
      </c>
      <c r="AB16" t="n">
        <v>0.91</v>
      </c>
      <c r="AC16" t="n">
        <v>0.04</v>
      </c>
      <c r="AD16" t="n">
        <v>6897957043.78</v>
      </c>
    </row>
    <row r="17">
      <c r="A17" t="inlineStr">
        <is>
          <t>ALPA4</t>
        </is>
      </c>
      <c r="B17" t="n">
        <v>11.53</v>
      </c>
      <c r="C17" t="n">
        <v>4.68</v>
      </c>
      <c r="D17" t="n">
        <v>12.75</v>
      </c>
      <c r="E17" t="n">
        <v>2.28</v>
      </c>
      <c r="F17" t="n">
        <v>1.26</v>
      </c>
      <c r="G17" t="n">
        <v>52.49</v>
      </c>
      <c r="H17" t="n">
        <v>14.46</v>
      </c>
      <c r="I17" t="n">
        <v>13.17</v>
      </c>
      <c r="J17" t="n">
        <v>11.61</v>
      </c>
      <c r="K17" t="n">
        <v>10.85</v>
      </c>
      <c r="L17" t="n">
        <v>0.71</v>
      </c>
      <c r="M17" t="n">
        <v>0.14</v>
      </c>
      <c r="N17" t="n">
        <v>1.68</v>
      </c>
      <c r="O17" t="n">
        <v>6.21</v>
      </c>
      <c r="P17" t="n">
        <v>-2.42</v>
      </c>
      <c r="Q17" t="n">
        <v>1.73</v>
      </c>
      <c r="R17" t="n">
        <v>17.9</v>
      </c>
      <c r="S17" t="n">
        <v>9.85</v>
      </c>
      <c r="T17" t="n">
        <v>13.55</v>
      </c>
      <c r="U17" t="n">
        <v>0.55</v>
      </c>
      <c r="V17" t="n">
        <v>0.45</v>
      </c>
      <c r="W17" t="n">
        <v>0.75</v>
      </c>
      <c r="X17" t="n">
        <v>6.29</v>
      </c>
      <c r="Y17" t="n">
        <v>34.59</v>
      </c>
      <c r="Z17" t="n">
        <v>13851314.73</v>
      </c>
      <c r="AA17" t="n">
        <v>5.06</v>
      </c>
      <c r="AB17" t="n">
        <v>0.91</v>
      </c>
      <c r="AC17" t="n">
        <v>0.06</v>
      </c>
      <c r="AD17" t="n">
        <v>6897957043.78</v>
      </c>
    </row>
    <row r="18">
      <c r="A18" t="inlineStr">
        <is>
          <t>ALPK3</t>
        </is>
      </c>
      <c r="B18" t="n">
        <v>4.26</v>
      </c>
      <c r="C18" t="n">
        <v>0.18</v>
      </c>
      <c r="D18" t="n">
        <v>69.03</v>
      </c>
      <c r="E18" t="n">
        <v>2.58</v>
      </c>
      <c r="F18" t="n">
        <v>0.36</v>
      </c>
      <c r="G18" t="n">
        <v>30.29</v>
      </c>
      <c r="H18" t="n">
        <v>13.9</v>
      </c>
      <c r="I18" t="n">
        <v>0.7</v>
      </c>
      <c r="J18" t="n">
        <v>3.46</v>
      </c>
      <c r="K18" t="n">
        <v>8.16</v>
      </c>
      <c r="L18" t="n">
        <v>4.66</v>
      </c>
      <c r="M18" t="n">
        <v>3.48</v>
      </c>
      <c r="N18" t="n">
        <v>0.48</v>
      </c>
      <c r="O18" t="n">
        <v>-11.33</v>
      </c>
      <c r="P18" t="n">
        <v>-0.45</v>
      </c>
      <c r="Q18" t="n">
        <v>0.86</v>
      </c>
      <c r="R18" t="n">
        <v>3.74</v>
      </c>
      <c r="S18" t="n">
        <v>0.52</v>
      </c>
      <c r="T18" t="n">
        <v>13.52</v>
      </c>
      <c r="U18" t="n">
        <v>0.14</v>
      </c>
      <c r="V18" t="n">
        <v>0.86</v>
      </c>
      <c r="W18" t="n">
        <v>0.75</v>
      </c>
      <c r="X18" t="n">
        <v>23.59</v>
      </c>
      <c r="Z18" t="n">
        <v>712448.73</v>
      </c>
      <c r="AA18" t="n">
        <v>1.65</v>
      </c>
      <c r="AB18" t="n">
        <v>0.06</v>
      </c>
      <c r="AC18" t="n">
        <v>-0.17</v>
      </c>
      <c r="AD18" t="n">
        <v>945207709.23</v>
      </c>
    </row>
    <row r="19">
      <c r="A19" t="inlineStr">
        <is>
          <t>ALUP11</t>
        </is>
      </c>
      <c r="B19" t="n">
        <v>32.47</v>
      </c>
      <c r="C19" t="n">
        <v>3.33</v>
      </c>
      <c r="D19" t="n">
        <v>9.6</v>
      </c>
      <c r="E19" t="n">
        <v>1.15</v>
      </c>
      <c r="F19" t="n">
        <v>0.31</v>
      </c>
      <c r="G19" t="n">
        <v>66.95999999999999</v>
      </c>
      <c r="H19" t="n">
        <v>67.25</v>
      </c>
      <c r="I19" t="n">
        <v>25.17</v>
      </c>
      <c r="J19" t="n">
        <v>3.59</v>
      </c>
      <c r="K19" t="n">
        <v>6.72</v>
      </c>
      <c r="L19" t="n">
        <v>3.13</v>
      </c>
      <c r="M19" t="n">
        <v>1</v>
      </c>
      <c r="N19" t="n">
        <v>2.42</v>
      </c>
      <c r="O19" t="n">
        <v>1.85</v>
      </c>
      <c r="P19" t="n">
        <v>-0.41</v>
      </c>
      <c r="Q19" t="n">
        <v>3.3</v>
      </c>
      <c r="R19" t="n">
        <v>12</v>
      </c>
      <c r="S19" t="n">
        <v>3.25</v>
      </c>
      <c r="T19" t="n">
        <v>9.07</v>
      </c>
      <c r="U19" t="n">
        <v>0.27</v>
      </c>
      <c r="V19" t="n">
        <v>0.63</v>
      </c>
      <c r="W19" t="n">
        <v>0.13</v>
      </c>
      <c r="X19" t="n">
        <v>-6.46</v>
      </c>
      <c r="Y19" t="n">
        <v>3.42</v>
      </c>
      <c r="Z19" t="n">
        <v>21728657.09</v>
      </c>
      <c r="AA19" t="n">
        <v>28.17</v>
      </c>
      <c r="AB19" t="n">
        <v>3.38</v>
      </c>
      <c r="AC19" t="n">
        <v>-7.2</v>
      </c>
      <c r="AD19" t="n">
        <v>10709576908.83</v>
      </c>
    </row>
    <row r="20">
      <c r="A20" t="inlineStr">
        <is>
          <t>ALUP3</t>
        </is>
      </c>
      <c r="B20" t="n">
        <v>11.57</v>
      </c>
      <c r="C20" t="n">
        <v>3.11</v>
      </c>
      <c r="D20" t="n">
        <v>10.26</v>
      </c>
      <c r="E20" t="n">
        <v>1.23</v>
      </c>
      <c r="F20" t="n">
        <v>0.33</v>
      </c>
      <c r="G20" t="n">
        <v>66.95999999999999</v>
      </c>
      <c r="H20" t="n">
        <v>67.25</v>
      </c>
      <c r="I20" t="n">
        <v>25.17</v>
      </c>
      <c r="J20" t="n">
        <v>3.84</v>
      </c>
      <c r="K20" t="n">
        <v>6.72</v>
      </c>
      <c r="L20" t="n">
        <v>3.13</v>
      </c>
      <c r="M20" t="n">
        <v>1</v>
      </c>
      <c r="N20" t="n">
        <v>2.58</v>
      </c>
      <c r="O20" t="n">
        <v>1.98</v>
      </c>
      <c r="P20" t="n">
        <v>-0.44</v>
      </c>
      <c r="Q20" t="n">
        <v>3.3</v>
      </c>
      <c r="R20" t="n">
        <v>12</v>
      </c>
      <c r="S20" t="n">
        <v>3.25</v>
      </c>
      <c r="T20" t="n">
        <v>9.07</v>
      </c>
      <c r="U20" t="n">
        <v>0.27</v>
      </c>
      <c r="V20" t="n">
        <v>0.63</v>
      </c>
      <c r="W20" t="n">
        <v>0.13</v>
      </c>
      <c r="X20" t="n">
        <v>-6.46</v>
      </c>
      <c r="Y20" t="n">
        <v>3.42</v>
      </c>
      <c r="Z20" t="n">
        <v>75012.32000000001</v>
      </c>
      <c r="AA20" t="n">
        <v>9.390000000000001</v>
      </c>
      <c r="AB20" t="n">
        <v>1.13</v>
      </c>
      <c r="AC20" t="n">
        <v>-7.69</v>
      </c>
      <c r="AD20" t="n">
        <v>10709576908.83</v>
      </c>
    </row>
    <row r="21">
      <c r="A21" t="inlineStr">
        <is>
          <t>ALUP4</t>
        </is>
      </c>
      <c r="B21" t="n">
        <v>10.51</v>
      </c>
      <c r="C21" t="n">
        <v>3.43</v>
      </c>
      <c r="D21" t="n">
        <v>9.32</v>
      </c>
      <c r="E21" t="n">
        <v>1.12</v>
      </c>
      <c r="F21" t="n">
        <v>0.3</v>
      </c>
      <c r="G21" t="n">
        <v>66.95999999999999</v>
      </c>
      <c r="H21" t="n">
        <v>67.25</v>
      </c>
      <c r="I21" t="n">
        <v>25.17</v>
      </c>
      <c r="J21" t="n">
        <v>3.49</v>
      </c>
      <c r="K21" t="n">
        <v>6.72</v>
      </c>
      <c r="L21" t="n">
        <v>3.13</v>
      </c>
      <c r="M21" t="n">
        <v>1</v>
      </c>
      <c r="N21" t="n">
        <v>2.35</v>
      </c>
      <c r="O21" t="n">
        <v>1.8</v>
      </c>
      <c r="P21" t="n">
        <v>-0.4</v>
      </c>
      <c r="Q21" t="n">
        <v>3.3</v>
      </c>
      <c r="R21" t="n">
        <v>12</v>
      </c>
      <c r="S21" t="n">
        <v>3.25</v>
      </c>
      <c r="T21" t="n">
        <v>9.07</v>
      </c>
      <c r="U21" t="n">
        <v>0.27</v>
      </c>
      <c r="V21" t="n">
        <v>0.63</v>
      </c>
      <c r="W21" t="n">
        <v>0.13</v>
      </c>
      <c r="X21" t="n">
        <v>-6.46</v>
      </c>
      <c r="Y21" t="n">
        <v>3.42</v>
      </c>
      <c r="Z21" t="n">
        <v>105392.95</v>
      </c>
      <c r="AA21" t="n">
        <v>9.390000000000001</v>
      </c>
      <c r="AB21" t="n">
        <v>1.13</v>
      </c>
      <c r="AC21" t="n">
        <v>-6.99</v>
      </c>
      <c r="AD21" t="n">
        <v>10709576908.83</v>
      </c>
    </row>
    <row r="22">
      <c r="A22" t="inlineStr">
        <is>
          <t>AMAR3</t>
        </is>
      </c>
      <c r="B22" t="n">
        <v>0.58</v>
      </c>
      <c r="D22" t="n">
        <v>-1.92</v>
      </c>
      <c r="E22" t="n">
        <v>2.35</v>
      </c>
      <c r="F22" t="n">
        <v>0.15</v>
      </c>
      <c r="G22" t="n">
        <v>52.58</v>
      </c>
      <c r="H22" t="n">
        <v>10.01</v>
      </c>
      <c r="I22" t="n">
        <v>-10.75</v>
      </c>
      <c r="J22" t="n">
        <v>2.06</v>
      </c>
      <c r="K22" t="n">
        <v>7.5</v>
      </c>
      <c r="L22" t="n">
        <v>5.48</v>
      </c>
      <c r="M22" t="n">
        <v>6.27</v>
      </c>
      <c r="N22" t="n">
        <v>0.21</v>
      </c>
      <c r="O22" t="n">
        <v>-0.6899999999999999</v>
      </c>
      <c r="P22" t="n">
        <v>-0.21</v>
      </c>
      <c r="Q22" t="n">
        <v>0.5600000000000001</v>
      </c>
      <c r="R22" t="n">
        <v>-122.78</v>
      </c>
      <c r="S22" t="n">
        <v>-7.76</v>
      </c>
      <c r="T22" t="n">
        <v>15.07</v>
      </c>
      <c r="U22" t="n">
        <v>0.06</v>
      </c>
      <c r="V22" t="n">
        <v>0.9399999999999999</v>
      </c>
      <c r="W22" t="n">
        <v>0.72</v>
      </c>
      <c r="X22" t="n">
        <v>-7.06</v>
      </c>
      <c r="Z22" t="n">
        <v>124715.86</v>
      </c>
      <c r="AA22" t="n">
        <v>0.25</v>
      </c>
      <c r="AB22" t="n">
        <v>-0.31</v>
      </c>
      <c r="AC22" t="n">
        <v>0.46</v>
      </c>
      <c r="AD22" t="n">
        <v>297839455.16</v>
      </c>
    </row>
    <row r="23">
      <c r="A23" t="inlineStr">
        <is>
          <t>AMBP3</t>
        </is>
      </c>
      <c r="B23" t="n">
        <v>0.16</v>
      </c>
      <c r="D23" t="n">
        <v>-1.04</v>
      </c>
      <c r="E23" t="n">
        <v>0.24</v>
      </c>
      <c r="F23" t="n">
        <v>0.02</v>
      </c>
      <c r="G23" t="n">
        <v>18.22</v>
      </c>
      <c r="H23" t="n">
        <v>17.36</v>
      </c>
      <c r="I23" t="n">
        <v>-3.54</v>
      </c>
      <c r="J23" t="n">
        <v>0.21</v>
      </c>
      <c r="K23" t="n">
        <v>5.27</v>
      </c>
      <c r="L23" t="n">
        <v>5.06</v>
      </c>
      <c r="M23" t="n">
        <v>5.81</v>
      </c>
      <c r="N23" t="n">
        <v>0.04</v>
      </c>
      <c r="O23" t="n">
        <v>0.06</v>
      </c>
      <c r="P23" t="n">
        <v>-0.03</v>
      </c>
      <c r="Q23" t="n">
        <v>2.72</v>
      </c>
      <c r="R23" t="n">
        <v>-23.47</v>
      </c>
      <c r="S23" t="n">
        <v>-1.52</v>
      </c>
      <c r="T23" t="n">
        <v>8.91</v>
      </c>
      <c r="U23" t="n">
        <v>0.06</v>
      </c>
      <c r="V23" t="n">
        <v>0.87</v>
      </c>
      <c r="W23" t="n">
        <v>0.43</v>
      </c>
      <c r="X23" t="n">
        <v>67.64</v>
      </c>
      <c r="Z23" t="n">
        <v>823984.05</v>
      </c>
      <c r="AA23" t="n">
        <v>0.65</v>
      </c>
      <c r="AB23" t="n">
        <v>-0.15</v>
      </c>
      <c r="AC23" t="n">
        <v>0.05</v>
      </c>
      <c r="AD23" t="n">
        <v>267266990.4</v>
      </c>
    </row>
    <row r="24">
      <c r="A24" t="inlineStr">
        <is>
          <t>AMER3</t>
        </is>
      </c>
      <c r="B24" t="n">
        <v>4.53</v>
      </c>
      <c r="D24" t="n">
        <v>1.64</v>
      </c>
      <c r="E24" t="n">
        <v>0.2</v>
      </c>
      <c r="F24" t="n">
        <v>0.06</v>
      </c>
      <c r="G24" t="n">
        <v>26.5</v>
      </c>
      <c r="H24" t="n">
        <v>3.34</v>
      </c>
      <c r="I24" t="n">
        <v>4.49</v>
      </c>
      <c r="J24" t="n">
        <v>2.2</v>
      </c>
      <c r="K24" t="n">
        <v>5.89</v>
      </c>
      <c r="L24" t="n">
        <v>3.69</v>
      </c>
      <c r="M24" t="n">
        <v>0.34</v>
      </c>
      <c r="N24" t="n">
        <v>0.07000000000000001</v>
      </c>
      <c r="O24" t="n">
        <v>0.33</v>
      </c>
      <c r="P24" t="n">
        <v>-0.11</v>
      </c>
      <c r="Q24" t="n">
        <v>1.56</v>
      </c>
      <c r="R24" t="n">
        <v>12.51</v>
      </c>
      <c r="S24" t="n">
        <v>3.43</v>
      </c>
      <c r="T24" t="n">
        <v>4.51</v>
      </c>
      <c r="U24" t="n">
        <v>0.27</v>
      </c>
      <c r="V24" t="n">
        <v>0.73</v>
      </c>
      <c r="W24" t="n">
        <v>0.76</v>
      </c>
      <c r="X24" t="n">
        <v>3.98</v>
      </c>
      <c r="Z24" t="n">
        <v>7981008</v>
      </c>
      <c r="AA24" t="n">
        <v>22.12</v>
      </c>
      <c r="AB24" t="n">
        <v>2.77</v>
      </c>
      <c r="AC24" t="n">
        <v>-0.02</v>
      </c>
      <c r="AD24" t="n">
        <v>907111109.34</v>
      </c>
    </row>
    <row r="25">
      <c r="A25" t="inlineStr">
        <is>
          <t>AMOB3</t>
        </is>
      </c>
      <c r="B25" t="n">
        <v>13.53</v>
      </c>
      <c r="G25" t="n">
        <v>3.6</v>
      </c>
      <c r="H25" t="n">
        <v>-46.82</v>
      </c>
      <c r="I25" t="n">
        <v>-57.58</v>
      </c>
      <c r="L25" t="n">
        <v>-0.01</v>
      </c>
      <c r="Q25" t="n">
        <v>0.19</v>
      </c>
      <c r="R25" t="n">
        <v>-2595.29</v>
      </c>
      <c r="S25" t="n">
        <v>-6030.26</v>
      </c>
      <c r="T25" t="n">
        <v>2660.36</v>
      </c>
      <c r="U25" t="n">
        <v>-2.32</v>
      </c>
      <c r="V25" t="n">
        <v>3.32</v>
      </c>
      <c r="W25" t="n">
        <v>104.73</v>
      </c>
      <c r="Z25" t="n">
        <v>256003.55</v>
      </c>
      <c r="AD25" t="n">
        <v>0</v>
      </c>
    </row>
    <row r="26">
      <c r="A26" t="inlineStr">
        <is>
          <t>ANIM3</t>
        </is>
      </c>
      <c r="B26" t="n">
        <v>2.24</v>
      </c>
      <c r="C26" t="n">
        <v>3.65</v>
      </c>
      <c r="D26" t="n">
        <v>6.71</v>
      </c>
      <c r="E26" t="n">
        <v>0.38</v>
      </c>
      <c r="F26" t="n">
        <v>0.09</v>
      </c>
      <c r="G26" t="n">
        <v>63.13</v>
      </c>
      <c r="H26" t="n">
        <v>24.93</v>
      </c>
      <c r="I26" t="n">
        <v>3.27</v>
      </c>
      <c r="J26" t="n">
        <v>0.88</v>
      </c>
      <c r="K26" t="n">
        <v>4.94</v>
      </c>
      <c r="L26" t="n">
        <v>4.05</v>
      </c>
      <c r="M26" t="n">
        <v>1.73</v>
      </c>
      <c r="N26" t="n">
        <v>0.22</v>
      </c>
      <c r="O26" t="n">
        <v>0.7</v>
      </c>
      <c r="P26" t="n">
        <v>-0.11</v>
      </c>
      <c r="Q26" t="n">
        <v>1.9</v>
      </c>
      <c r="R26" t="n">
        <v>5.62</v>
      </c>
      <c r="S26" t="n">
        <v>1.27</v>
      </c>
      <c r="T26" t="n">
        <v>11.57</v>
      </c>
      <c r="U26" t="n">
        <v>0.23</v>
      </c>
      <c r="V26" t="n">
        <v>0.72</v>
      </c>
      <c r="W26" t="n">
        <v>0.39</v>
      </c>
      <c r="X26" t="n">
        <v>23.12</v>
      </c>
      <c r="Z26" t="n">
        <v>29829957.86</v>
      </c>
      <c r="AA26" t="n">
        <v>5.92</v>
      </c>
      <c r="AB26" t="n">
        <v>0.33</v>
      </c>
      <c r="AC26" t="n">
        <v>0.44</v>
      </c>
      <c r="AD26" t="n">
        <v>908704811.25</v>
      </c>
    </row>
    <row r="27">
      <c r="A27" t="inlineStr">
        <is>
          <t>APER3</t>
        </is>
      </c>
      <c r="B27" t="n">
        <v>46.75</v>
      </c>
      <c r="D27" t="n">
        <v>-32.82</v>
      </c>
      <c r="E27" t="n">
        <v>2.02</v>
      </c>
      <c r="F27" t="n">
        <v>1.01</v>
      </c>
      <c r="G27" t="n">
        <v>100</v>
      </c>
      <c r="H27" t="n">
        <v>6.6</v>
      </c>
      <c r="I27" t="n">
        <v>-8.16</v>
      </c>
      <c r="J27" t="n">
        <v>40.57</v>
      </c>
      <c r="K27" t="n">
        <v>43.31</v>
      </c>
      <c r="L27" t="n">
        <v>2.74</v>
      </c>
      <c r="M27" t="n">
        <v>0.14</v>
      </c>
      <c r="N27" t="n">
        <v>2.68</v>
      </c>
      <c r="O27" t="n">
        <v>115.28</v>
      </c>
      <c r="P27" t="n">
        <v>-1.38</v>
      </c>
      <c r="Q27" t="n">
        <v>1.03</v>
      </c>
      <c r="R27" t="n">
        <v>-6.15</v>
      </c>
      <c r="S27" t="n">
        <v>-3.09</v>
      </c>
      <c r="T27" t="n">
        <v>2.91</v>
      </c>
      <c r="U27" t="n">
        <v>0.5</v>
      </c>
      <c r="V27" t="n">
        <v>0.5</v>
      </c>
      <c r="W27" t="n">
        <v>0.38</v>
      </c>
      <c r="X27" t="n">
        <v>29.52</v>
      </c>
      <c r="Z27" t="n">
        <v>51166</v>
      </c>
      <c r="AA27" t="n">
        <v>23.16</v>
      </c>
      <c r="AB27" t="n">
        <v>-1.42</v>
      </c>
      <c r="AC27" t="n">
        <v>0.16</v>
      </c>
      <c r="AD27" t="n">
        <v>953269946.75</v>
      </c>
    </row>
    <row r="28">
      <c r="A28" t="inlineStr">
        <is>
          <t>APTI3</t>
        </is>
      </c>
      <c r="B28" t="n">
        <v>197.64</v>
      </c>
      <c r="D28" t="n">
        <v>0.36</v>
      </c>
      <c r="E28" t="n">
        <v>0.02</v>
      </c>
      <c r="F28" t="n">
        <v>0.01</v>
      </c>
      <c r="G28" t="n">
        <v>100</v>
      </c>
      <c r="H28" t="n">
        <v>37.36</v>
      </c>
      <c r="I28" t="n">
        <v>22.45</v>
      </c>
      <c r="J28" t="n">
        <v>0.22</v>
      </c>
      <c r="K28" t="n">
        <v>0.42</v>
      </c>
      <c r="L28" t="n">
        <v>-1.77</v>
      </c>
      <c r="M28" t="n">
        <v>-0.12</v>
      </c>
      <c r="N28" t="n">
        <v>0.08</v>
      </c>
      <c r="O28" t="n">
        <v>0.02</v>
      </c>
      <c r="P28" t="n">
        <v>-0.01</v>
      </c>
      <c r="Q28" t="n">
        <v>3.99</v>
      </c>
      <c r="R28" t="n">
        <v>4.24</v>
      </c>
      <c r="S28" t="n">
        <v>2.03</v>
      </c>
      <c r="T28" t="n">
        <v>1.8</v>
      </c>
      <c r="U28" t="n">
        <v>0.48</v>
      </c>
      <c r="V28" t="n">
        <v>0.52</v>
      </c>
      <c r="W28" t="n">
        <v>0.09</v>
      </c>
      <c r="X28" t="n">
        <v>20.51</v>
      </c>
      <c r="Y28" t="n">
        <v>-30.97</v>
      </c>
      <c r="AA28" t="n">
        <v>13019.79</v>
      </c>
      <c r="AB28" t="n">
        <v>551.4400000000001</v>
      </c>
      <c r="AC28" t="n">
        <v>-0.01</v>
      </c>
      <c r="AD28" t="n">
        <v>37417457.4</v>
      </c>
    </row>
    <row r="29">
      <c r="A29" t="inlineStr">
        <is>
          <t>APTI4</t>
        </is>
      </c>
      <c r="B29" t="n">
        <v>2930.92</v>
      </c>
      <c r="D29" t="n">
        <v>5.32</v>
      </c>
      <c r="E29" t="n">
        <v>0.23</v>
      </c>
      <c r="F29" t="n">
        <v>0.11</v>
      </c>
      <c r="G29" t="n">
        <v>100</v>
      </c>
      <c r="H29" t="n">
        <v>37.36</v>
      </c>
      <c r="I29" t="n">
        <v>22.45</v>
      </c>
      <c r="J29" t="n">
        <v>3.19</v>
      </c>
      <c r="K29" t="n">
        <v>0.42</v>
      </c>
      <c r="L29" t="n">
        <v>-1.77</v>
      </c>
      <c r="M29" t="n">
        <v>-0.12</v>
      </c>
      <c r="N29" t="n">
        <v>1.19</v>
      </c>
      <c r="O29" t="n">
        <v>0.31</v>
      </c>
      <c r="P29" t="n">
        <v>-0.2</v>
      </c>
      <c r="Q29" t="n">
        <v>3.99</v>
      </c>
      <c r="R29" t="n">
        <v>4.24</v>
      </c>
      <c r="S29" t="n">
        <v>2.03</v>
      </c>
      <c r="T29" t="n">
        <v>1.8</v>
      </c>
      <c r="U29" t="n">
        <v>0.48</v>
      </c>
      <c r="V29" t="n">
        <v>0.52</v>
      </c>
      <c r="W29" t="n">
        <v>0.09</v>
      </c>
      <c r="X29" t="n">
        <v>20.51</v>
      </c>
      <c r="Y29" t="n">
        <v>-30.97</v>
      </c>
      <c r="AA29" t="n">
        <v>13019.79</v>
      </c>
      <c r="AB29" t="n">
        <v>551.4400000000001</v>
      </c>
      <c r="AC29" t="n">
        <v>-0.09</v>
      </c>
      <c r="AD29" t="n">
        <v>37417457.4</v>
      </c>
    </row>
    <row r="30">
      <c r="A30" t="inlineStr">
        <is>
          <t>ARML3</t>
        </is>
      </c>
      <c r="B30" t="n">
        <v>3.27</v>
      </c>
      <c r="C30" t="n">
        <v>18.88</v>
      </c>
      <c r="D30" t="n">
        <v>22.47</v>
      </c>
      <c r="E30" t="n">
        <v>0.89</v>
      </c>
      <c r="F30" t="n">
        <v>0.2</v>
      </c>
      <c r="G30" t="n">
        <v>32.22</v>
      </c>
      <c r="H30" t="n">
        <v>23.57</v>
      </c>
      <c r="I30" t="n">
        <v>2.66</v>
      </c>
      <c r="J30" t="n">
        <v>2.54</v>
      </c>
      <c r="K30" t="n">
        <v>7.36</v>
      </c>
      <c r="L30" t="n">
        <v>4.83</v>
      </c>
      <c r="M30" t="n">
        <v>1.69</v>
      </c>
      <c r="N30" t="n">
        <v>0.6</v>
      </c>
      <c r="O30" t="n">
        <v>1.05</v>
      </c>
      <c r="P30" t="n">
        <v>-0.31</v>
      </c>
      <c r="Q30" t="n">
        <v>2.16</v>
      </c>
      <c r="R30" t="n">
        <v>3.96</v>
      </c>
      <c r="S30" t="n">
        <v>0.9</v>
      </c>
      <c r="T30" t="n">
        <v>8.42</v>
      </c>
      <c r="U30" t="n">
        <v>0.23</v>
      </c>
      <c r="V30" t="n">
        <v>0.76</v>
      </c>
      <c r="W30" t="n">
        <v>0.34</v>
      </c>
      <c r="X30" t="n">
        <v>76.15000000000001</v>
      </c>
      <c r="Y30" t="n">
        <v>23.61</v>
      </c>
      <c r="Z30" t="n">
        <v>2218002.23</v>
      </c>
      <c r="AA30" t="n">
        <v>3.69</v>
      </c>
      <c r="AB30" t="n">
        <v>0.15</v>
      </c>
      <c r="AC30" t="n">
        <v>-0.37</v>
      </c>
      <c r="AD30" t="n">
        <v>1133035697.19</v>
      </c>
    </row>
    <row r="31">
      <c r="A31" t="inlineStr">
        <is>
          <t>ARND3</t>
        </is>
      </c>
      <c r="B31" t="n">
        <v>0.5</v>
      </c>
      <c r="D31" t="n">
        <v>-0.16</v>
      </c>
      <c r="E31" t="n">
        <v>0.5600000000000001</v>
      </c>
      <c r="F31" t="n">
        <v>0.4</v>
      </c>
      <c r="G31" t="n">
        <v>91.01000000000001</v>
      </c>
      <c r="H31" t="n">
        <v>-748.2</v>
      </c>
      <c r="I31" t="n">
        <v>-764.9</v>
      </c>
      <c r="J31" t="n">
        <v>-0.17</v>
      </c>
      <c r="K31" t="n">
        <v>0.18</v>
      </c>
      <c r="L31" t="n">
        <v>0.35</v>
      </c>
      <c r="M31" t="n">
        <v>-1.18</v>
      </c>
      <c r="N31" t="n">
        <v>1.23</v>
      </c>
      <c r="O31" t="n">
        <v>0.51</v>
      </c>
      <c r="P31" t="n">
        <v>-53.24</v>
      </c>
      <c r="Q31" t="n">
        <v>5.15</v>
      </c>
      <c r="R31" t="n">
        <v>-346.26</v>
      </c>
      <c r="S31" t="n">
        <v>-250.83</v>
      </c>
      <c r="T31" t="n">
        <v>-313.74</v>
      </c>
      <c r="U31" t="n">
        <v>0.72</v>
      </c>
      <c r="V31" t="n">
        <v>0.2</v>
      </c>
      <c r="W31" t="n">
        <v>0.33</v>
      </c>
      <c r="X31" t="n">
        <v>11.16</v>
      </c>
      <c r="Z31" t="n">
        <v>2738.24</v>
      </c>
      <c r="AA31" t="n">
        <v>0.89</v>
      </c>
      <c r="AB31" t="n">
        <v>-3.1</v>
      </c>
      <c r="AC31" t="n">
        <v>0</v>
      </c>
      <c r="AD31" t="n">
        <v>70495903</v>
      </c>
    </row>
    <row r="32">
      <c r="A32" t="inlineStr">
        <is>
          <t>ASAI3</t>
        </is>
      </c>
      <c r="B32" t="n">
        <v>8.19</v>
      </c>
      <c r="C32" t="n">
        <v>1.27</v>
      </c>
      <c r="D32" t="n">
        <v>15.84</v>
      </c>
      <c r="E32" t="n">
        <v>1.88</v>
      </c>
      <c r="F32" t="n">
        <v>0.23</v>
      </c>
      <c r="G32" t="n">
        <v>17.44</v>
      </c>
      <c r="H32" t="n">
        <v>5.16</v>
      </c>
      <c r="I32" t="n">
        <v>0.9</v>
      </c>
      <c r="J32" t="n">
        <v>2.77</v>
      </c>
      <c r="K32" t="n">
        <v>5.81</v>
      </c>
      <c r="L32" t="n">
        <v>3</v>
      </c>
      <c r="M32" t="n">
        <v>2.04</v>
      </c>
      <c r="N32" t="n">
        <v>0.14</v>
      </c>
      <c r="O32" t="n">
        <v>6.84</v>
      </c>
      <c r="P32" t="n">
        <v>-0.37</v>
      </c>
      <c r="Q32" t="n">
        <v>1.1</v>
      </c>
      <c r="R32" t="n">
        <v>11.89</v>
      </c>
      <c r="S32" t="n">
        <v>1.48</v>
      </c>
      <c r="T32" t="n">
        <v>17.18</v>
      </c>
      <c r="U32" t="n">
        <v>0.12</v>
      </c>
      <c r="V32" t="n">
        <v>0.88</v>
      </c>
      <c r="W32" t="n">
        <v>1.64</v>
      </c>
      <c r="X32" t="n">
        <v>16.49</v>
      </c>
      <c r="Y32" t="n">
        <v>-12.92</v>
      </c>
      <c r="Z32" t="n">
        <v>69735114.91</v>
      </c>
      <c r="AA32" t="n">
        <v>4.35</v>
      </c>
      <c r="AB32" t="n">
        <v>0.52</v>
      </c>
      <c r="AC32" t="n">
        <v>-1.04</v>
      </c>
      <c r="AD32" t="n">
        <v>11207238849.36</v>
      </c>
    </row>
    <row r="33">
      <c r="A33" t="inlineStr">
        <is>
          <t>AUAU3</t>
        </is>
      </c>
      <c r="B33" t="n">
        <v>3.32</v>
      </c>
      <c r="C33" t="n">
        <v>0.91</v>
      </c>
      <c r="Z33" t="n">
        <v>7329943.14</v>
      </c>
      <c r="AD33" t="n">
        <v>0</v>
      </c>
    </row>
    <row r="34">
      <c r="A34" t="inlineStr">
        <is>
          <t>AURE3</t>
        </is>
      </c>
      <c r="B34" t="n">
        <v>11.15</v>
      </c>
      <c r="D34" t="n">
        <v>-9.050000000000001</v>
      </c>
      <c r="E34" t="n">
        <v>0.98</v>
      </c>
      <c r="F34" t="n">
        <v>0.25</v>
      </c>
      <c r="G34" t="n">
        <v>13.55</v>
      </c>
      <c r="H34" t="n">
        <v>9.24</v>
      </c>
      <c r="I34" t="n">
        <v>-9.73</v>
      </c>
      <c r="J34" t="n">
        <v>9.529999999999999</v>
      </c>
      <c r="K34" t="n">
        <v>26.05</v>
      </c>
      <c r="L34" t="n">
        <v>16.5</v>
      </c>
      <c r="M34" t="n">
        <v>1.7</v>
      </c>
      <c r="N34" t="n">
        <v>0.88</v>
      </c>
      <c r="O34" t="n">
        <v>15.87</v>
      </c>
      <c r="P34" t="n">
        <v>-0.29</v>
      </c>
      <c r="Q34" t="n">
        <v>1.11</v>
      </c>
      <c r="R34" t="n">
        <v>-10.86</v>
      </c>
      <c r="S34" t="n">
        <v>-2.73</v>
      </c>
      <c r="T34" t="n">
        <v>3.22</v>
      </c>
      <c r="U34" t="n">
        <v>0.25</v>
      </c>
      <c r="V34" t="n">
        <v>0.72</v>
      </c>
      <c r="W34" t="n">
        <v>0.28</v>
      </c>
      <c r="X34" t="n">
        <v>41.69</v>
      </c>
      <c r="Z34" t="n">
        <v>29420080.45</v>
      </c>
      <c r="AA34" t="n">
        <v>11.34</v>
      </c>
      <c r="AB34" t="n">
        <v>-1.23</v>
      </c>
      <c r="AC34" t="n">
        <v>0</v>
      </c>
      <c r="AD34" t="n">
        <v>11743225749.32</v>
      </c>
    </row>
    <row r="35">
      <c r="A35" t="inlineStr">
        <is>
          <t>AVLL3</t>
        </is>
      </c>
      <c r="B35" t="n">
        <v>10.84</v>
      </c>
      <c r="D35" t="n">
        <v>-0.63</v>
      </c>
      <c r="E35" t="n">
        <v>-0.38</v>
      </c>
      <c r="F35" t="n">
        <v>0.06</v>
      </c>
      <c r="G35" t="n">
        <v>34.7</v>
      </c>
      <c r="H35" t="n">
        <v>21.53</v>
      </c>
      <c r="I35" t="n">
        <v>-23.55</v>
      </c>
      <c r="J35" t="n">
        <v>0.6899999999999999</v>
      </c>
      <c r="K35" t="n">
        <v>5.35</v>
      </c>
      <c r="L35" t="n">
        <v>4.66</v>
      </c>
      <c r="N35" t="n">
        <v>0.15</v>
      </c>
      <c r="O35" t="n">
        <v>-0.77</v>
      </c>
      <c r="P35" t="n">
        <v>-0.11</v>
      </c>
      <c r="Q35" t="n">
        <v>0.82</v>
      </c>
      <c r="R35" t="n">
        <v>-60.73</v>
      </c>
      <c r="S35" t="n">
        <v>-10.31</v>
      </c>
      <c r="T35" t="n">
        <v>18.26</v>
      </c>
      <c r="U35" t="n">
        <v>-0.17</v>
      </c>
      <c r="V35" t="n">
        <v>1.16</v>
      </c>
      <c r="W35" t="n">
        <v>0.44</v>
      </c>
      <c r="X35" t="n">
        <v>26.55</v>
      </c>
      <c r="Z35" t="n">
        <v>4566.27</v>
      </c>
      <c r="AA35" t="n">
        <v>-28.36</v>
      </c>
      <c r="AB35" t="n">
        <v>-17.22</v>
      </c>
      <c r="AC35" t="n">
        <v>0</v>
      </c>
      <c r="AD35" t="n">
        <v>84695109.68000001</v>
      </c>
    </row>
    <row r="36">
      <c r="A36" t="inlineStr">
        <is>
          <t>AXIA3</t>
        </is>
      </c>
      <c r="B36" t="n">
        <v>51.44</v>
      </c>
      <c r="C36" t="n">
        <v>7.09</v>
      </c>
      <c r="D36" t="n">
        <v>15.87</v>
      </c>
      <c r="E36" t="n">
        <v>1.25</v>
      </c>
      <c r="F36" t="n">
        <v>0.54</v>
      </c>
      <c r="G36" t="n">
        <v>47.02</v>
      </c>
      <c r="H36" t="n">
        <v>15.92</v>
      </c>
      <c r="I36" t="n">
        <v>21.89</v>
      </c>
      <c r="J36" t="n">
        <v>21.83</v>
      </c>
      <c r="K36" t="n">
        <v>29.04</v>
      </c>
      <c r="L36" t="n">
        <v>6.61</v>
      </c>
      <c r="M36" t="n">
        <v>0.38</v>
      </c>
      <c r="N36" t="n">
        <v>3.47</v>
      </c>
      <c r="O36" t="n">
        <v>5.22</v>
      </c>
      <c r="P36" t="n">
        <v>-0.67</v>
      </c>
      <c r="Q36" t="n">
        <v>2.11</v>
      </c>
      <c r="R36" t="n">
        <v>7.88</v>
      </c>
      <c r="S36" t="n">
        <v>3.41</v>
      </c>
      <c r="T36" t="n">
        <v>-10.23</v>
      </c>
      <c r="U36" t="n">
        <v>0.43</v>
      </c>
      <c r="V36" t="n">
        <v>0.57</v>
      </c>
      <c r="W36" t="n">
        <v>0.16</v>
      </c>
      <c r="X36" t="n">
        <v>7.26</v>
      </c>
      <c r="Y36" t="n">
        <v>8.52</v>
      </c>
      <c r="Z36" t="n">
        <v>529239845</v>
      </c>
      <c r="AA36" t="n">
        <v>41.16</v>
      </c>
      <c r="AB36" t="n">
        <v>3.24</v>
      </c>
      <c r="AC36" t="n">
        <v>-9.869999999999999</v>
      </c>
      <c r="AD36" t="n">
        <v>155589484353.9</v>
      </c>
    </row>
    <row r="37">
      <c r="A37" t="inlineStr">
        <is>
          <t>AXIA5</t>
        </is>
      </c>
      <c r="B37" t="n">
        <v>55.5</v>
      </c>
      <c r="C37" t="n">
        <v>6.02</v>
      </c>
      <c r="D37" t="n">
        <v>17.12</v>
      </c>
      <c r="E37" t="n">
        <v>1.35</v>
      </c>
      <c r="F37" t="n">
        <v>0.58</v>
      </c>
      <c r="G37" t="n">
        <v>47.02</v>
      </c>
      <c r="H37" t="n">
        <v>15.92</v>
      </c>
      <c r="I37" t="n">
        <v>21.89</v>
      </c>
      <c r="J37" t="n">
        <v>23.55</v>
      </c>
      <c r="K37" t="n">
        <v>29.04</v>
      </c>
      <c r="L37" t="n">
        <v>6.61</v>
      </c>
      <c r="M37" t="n">
        <v>0.38</v>
      </c>
      <c r="N37" t="n">
        <v>3.75</v>
      </c>
      <c r="O37" t="n">
        <v>5.63</v>
      </c>
      <c r="P37" t="n">
        <v>-0.73</v>
      </c>
      <c r="Q37" t="n">
        <v>2.11</v>
      </c>
      <c r="R37" t="n">
        <v>7.88</v>
      </c>
      <c r="S37" t="n">
        <v>3.41</v>
      </c>
      <c r="T37" t="n">
        <v>-10.23</v>
      </c>
      <c r="U37" t="n">
        <v>0.43</v>
      </c>
      <c r="V37" t="n">
        <v>0.57</v>
      </c>
      <c r="W37" t="n">
        <v>0.16</v>
      </c>
      <c r="X37" t="n">
        <v>7.26</v>
      </c>
      <c r="Y37" t="n">
        <v>8.52</v>
      </c>
      <c r="Z37" t="n">
        <v>0</v>
      </c>
      <c r="AA37" t="n">
        <v>41.16</v>
      </c>
      <c r="AB37" t="n">
        <v>3.24</v>
      </c>
      <c r="AC37" t="n">
        <v>-10.65</v>
      </c>
      <c r="AD37" t="n">
        <v>155589484353.9</v>
      </c>
    </row>
    <row r="38">
      <c r="A38" t="inlineStr">
        <is>
          <t>AXIA6</t>
        </is>
      </c>
      <c r="B38" t="n">
        <v>59.2</v>
      </c>
      <c r="C38" t="n">
        <v>6.78</v>
      </c>
      <c r="D38" t="n">
        <v>18.26</v>
      </c>
      <c r="E38" t="n">
        <v>1.44</v>
      </c>
      <c r="F38" t="n">
        <v>0.62</v>
      </c>
      <c r="G38" t="n">
        <v>47.02</v>
      </c>
      <c r="H38" t="n">
        <v>15.92</v>
      </c>
      <c r="I38" t="n">
        <v>21.89</v>
      </c>
      <c r="J38" t="n">
        <v>25.12</v>
      </c>
      <c r="K38" t="n">
        <v>29.04</v>
      </c>
      <c r="L38" t="n">
        <v>6.61</v>
      </c>
      <c r="M38" t="n">
        <v>0.38</v>
      </c>
      <c r="N38" t="n">
        <v>4</v>
      </c>
      <c r="O38" t="n">
        <v>6</v>
      </c>
      <c r="P38" t="n">
        <v>-0.78</v>
      </c>
      <c r="Q38" t="n">
        <v>2.11</v>
      </c>
      <c r="R38" t="n">
        <v>7.88</v>
      </c>
      <c r="S38" t="n">
        <v>3.41</v>
      </c>
      <c r="T38" t="n">
        <v>-10.23</v>
      </c>
      <c r="U38" t="n">
        <v>0.43</v>
      </c>
      <c r="V38" t="n">
        <v>0.57</v>
      </c>
      <c r="W38" t="n">
        <v>0.16</v>
      </c>
      <c r="X38" t="n">
        <v>7.26</v>
      </c>
      <c r="Y38" t="n">
        <v>8.52</v>
      </c>
      <c r="Z38" t="n">
        <v>48101504</v>
      </c>
      <c r="AA38" t="n">
        <v>41.16</v>
      </c>
      <c r="AB38" t="n">
        <v>3.24</v>
      </c>
      <c r="AC38" t="n">
        <v>-11.36</v>
      </c>
      <c r="AD38" t="n">
        <v>155589484353.9</v>
      </c>
    </row>
    <row r="39">
      <c r="A39" t="inlineStr">
        <is>
          <t>AXIA7</t>
        </is>
      </c>
      <c r="B39" t="n">
        <v>50.67</v>
      </c>
      <c r="D39" t="n">
        <v>15.64</v>
      </c>
      <c r="E39" t="n">
        <v>1.23</v>
      </c>
      <c r="F39" t="n">
        <v>0.53</v>
      </c>
      <c r="G39" t="n">
        <v>47.02</v>
      </c>
      <c r="H39" t="n">
        <v>15.92</v>
      </c>
      <c r="I39" t="n">
        <v>21.89</v>
      </c>
      <c r="J39" t="n">
        <v>21.51</v>
      </c>
      <c r="K39" t="n">
        <v>29.04</v>
      </c>
      <c r="L39" t="n">
        <v>6.61</v>
      </c>
      <c r="M39" t="n">
        <v>0.38</v>
      </c>
      <c r="N39" t="n">
        <v>3.42</v>
      </c>
      <c r="O39" t="n">
        <v>5.14</v>
      </c>
      <c r="P39" t="n">
        <v>-0.66</v>
      </c>
      <c r="Q39" t="n">
        <v>2.11</v>
      </c>
      <c r="R39" t="n">
        <v>7.88</v>
      </c>
      <c r="S39" t="n">
        <v>3.41</v>
      </c>
      <c r="T39" t="n">
        <v>-10.23</v>
      </c>
      <c r="U39" t="n">
        <v>0.43</v>
      </c>
      <c r="V39" t="n">
        <v>0.57</v>
      </c>
      <c r="W39" t="n">
        <v>0.16</v>
      </c>
      <c r="X39" t="n">
        <v>7.26</v>
      </c>
      <c r="Y39" t="n">
        <v>8.52</v>
      </c>
      <c r="Z39" t="n">
        <v>64960297.95</v>
      </c>
      <c r="AA39" t="n">
        <v>41.16</v>
      </c>
      <c r="AB39" t="n">
        <v>3.24</v>
      </c>
      <c r="AC39" t="n">
        <v>-9.73</v>
      </c>
      <c r="AD39" t="n">
        <v>155589484353.9</v>
      </c>
    </row>
    <row r="40">
      <c r="A40" t="inlineStr">
        <is>
          <t>AZEV3</t>
        </is>
      </c>
      <c r="B40" t="n">
        <v>3.01</v>
      </c>
      <c r="D40" t="n">
        <v>-0.55</v>
      </c>
      <c r="E40" t="n">
        <v>2.97</v>
      </c>
      <c r="F40" t="n">
        <v>0.25</v>
      </c>
      <c r="G40" t="n">
        <v>15.41</v>
      </c>
      <c r="H40" t="n">
        <v>-83.75</v>
      </c>
      <c r="I40" t="n">
        <v>-135.4</v>
      </c>
      <c r="J40" t="n">
        <v>-0.9</v>
      </c>
      <c r="K40" t="n">
        <v>-1.15</v>
      </c>
      <c r="L40" t="n">
        <v>-0.55</v>
      </c>
      <c r="M40" t="n">
        <v>1.81</v>
      </c>
      <c r="N40" t="n">
        <v>0.75</v>
      </c>
      <c r="O40" t="n">
        <v>-1.07</v>
      </c>
      <c r="P40" t="n">
        <v>-0.35</v>
      </c>
      <c r="Q40" t="n">
        <v>0.55</v>
      </c>
      <c r="R40" t="n">
        <v>-535.98</v>
      </c>
      <c r="S40" t="n">
        <v>-45.37</v>
      </c>
      <c r="T40" t="n">
        <v>-128.7</v>
      </c>
      <c r="U40" t="n">
        <v>0.08</v>
      </c>
      <c r="V40" t="n">
        <v>0.92</v>
      </c>
      <c r="W40" t="n">
        <v>0.34</v>
      </c>
      <c r="X40" t="n">
        <v>68.75</v>
      </c>
      <c r="Z40" t="n">
        <v>1322248.73</v>
      </c>
      <c r="AA40" t="n">
        <v>1.01</v>
      </c>
      <c r="AB40" t="n">
        <v>-5.43</v>
      </c>
      <c r="AC40" t="n">
        <v>0</v>
      </c>
      <c r="AD40" t="n">
        <v>225532412.82</v>
      </c>
    </row>
    <row r="41">
      <c r="A41" t="inlineStr">
        <is>
          <t>AZEV4</t>
        </is>
      </c>
      <c r="B41" t="n">
        <v>1.53</v>
      </c>
      <c r="D41" t="n">
        <v>-0.28</v>
      </c>
      <c r="E41" t="n">
        <v>1.51</v>
      </c>
      <c r="F41" t="n">
        <v>0.13</v>
      </c>
      <c r="G41" t="n">
        <v>15.41</v>
      </c>
      <c r="H41" t="n">
        <v>-83.75</v>
      </c>
      <c r="I41" t="n">
        <v>-135.4</v>
      </c>
      <c r="J41" t="n">
        <v>-0.46</v>
      </c>
      <c r="K41" t="n">
        <v>-1.15</v>
      </c>
      <c r="L41" t="n">
        <v>-0.55</v>
      </c>
      <c r="M41" t="n">
        <v>1.81</v>
      </c>
      <c r="N41" t="n">
        <v>0.38</v>
      </c>
      <c r="O41" t="n">
        <v>-0.55</v>
      </c>
      <c r="P41" t="n">
        <v>-0.18</v>
      </c>
      <c r="Q41" t="n">
        <v>0.55</v>
      </c>
      <c r="R41" t="n">
        <v>-535.98</v>
      </c>
      <c r="S41" t="n">
        <v>-45.37</v>
      </c>
      <c r="T41" t="n">
        <v>-128.7</v>
      </c>
      <c r="U41" t="n">
        <v>0.08</v>
      </c>
      <c r="V41" t="n">
        <v>0.92</v>
      </c>
      <c r="W41" t="n">
        <v>0.34</v>
      </c>
      <c r="X41" t="n">
        <v>68.75</v>
      </c>
      <c r="Z41" t="n">
        <v>2637002.09</v>
      </c>
      <c r="AA41" t="n">
        <v>1.01</v>
      </c>
      <c r="AB41" t="n">
        <v>-5.43</v>
      </c>
      <c r="AC41" t="n">
        <v>0</v>
      </c>
      <c r="AD41" t="n">
        <v>225532412.82</v>
      </c>
    </row>
    <row r="42">
      <c r="A42" t="inlineStr">
        <is>
          <t>AZTE3</t>
        </is>
      </c>
      <c r="B42" t="n">
        <v>1.3</v>
      </c>
      <c r="Z42" t="n">
        <v>756651.05</v>
      </c>
      <c r="AD42" t="n">
        <v>0</v>
      </c>
    </row>
    <row r="43">
      <c r="A43" t="inlineStr">
        <is>
          <t>AZUL53</t>
        </is>
      </c>
      <c r="B43" t="n">
        <v>215</v>
      </c>
      <c r="D43" t="n">
        <v>17.64</v>
      </c>
      <c r="E43" t="n">
        <v>-20.99</v>
      </c>
      <c r="F43" t="n">
        <v>2.54</v>
      </c>
      <c r="G43" t="n">
        <v>23.31</v>
      </c>
      <c r="H43" t="n">
        <v>22.09</v>
      </c>
      <c r="I43" t="n">
        <v>20.68</v>
      </c>
      <c r="J43" t="n">
        <v>16.51</v>
      </c>
      <c r="K43" t="n">
        <v>3.94</v>
      </c>
      <c r="L43" t="n">
        <v>3.87</v>
      </c>
      <c r="N43" t="n">
        <v>3.65</v>
      </c>
      <c r="O43" t="n">
        <v>-10.93</v>
      </c>
      <c r="P43" t="n">
        <v>-3.31</v>
      </c>
      <c r="Q43" t="n">
        <v>0.5</v>
      </c>
      <c r="R43" t="n">
        <v>-119</v>
      </c>
      <c r="S43" t="n">
        <v>14.41</v>
      </c>
      <c r="T43" t="n">
        <v>-16.1</v>
      </c>
      <c r="U43" t="n">
        <v>-0.12</v>
      </c>
      <c r="V43" t="n">
        <v>1.12</v>
      </c>
      <c r="W43" t="n">
        <v>0.7</v>
      </c>
      <c r="X43" t="n">
        <v>30.38</v>
      </c>
      <c r="Z43" t="n">
        <v>55411</v>
      </c>
      <c r="AA43" t="n">
        <v>-10.24</v>
      </c>
      <c r="AB43" t="n">
        <v>12.19</v>
      </c>
      <c r="AC43" t="n">
        <v>-0.28</v>
      </c>
      <c r="AD43" t="n">
        <v>356272659.87</v>
      </c>
    </row>
    <row r="44">
      <c r="A44" t="inlineStr">
        <is>
          <t>AZUL54</t>
        </is>
      </c>
      <c r="B44" t="n">
        <v>72.5</v>
      </c>
      <c r="D44" t="n">
        <v>5.95</v>
      </c>
      <c r="E44" t="n">
        <v>-7.08</v>
      </c>
      <c r="F44" t="n">
        <v>0.86</v>
      </c>
      <c r="G44" t="n">
        <v>23.31</v>
      </c>
      <c r="H44" t="n">
        <v>22.09</v>
      </c>
      <c r="I44" t="n">
        <v>20.68</v>
      </c>
      <c r="J44" t="n">
        <v>5.57</v>
      </c>
      <c r="K44" t="n">
        <v>3.94</v>
      </c>
      <c r="L44" t="n">
        <v>3.87</v>
      </c>
      <c r="N44" t="n">
        <v>1.23</v>
      </c>
      <c r="O44" t="n">
        <v>-3.68</v>
      </c>
      <c r="P44" t="n">
        <v>-1.12</v>
      </c>
      <c r="Q44" t="n">
        <v>0.5</v>
      </c>
      <c r="R44" t="n">
        <v>-119</v>
      </c>
      <c r="S44" t="n">
        <v>14.41</v>
      </c>
      <c r="T44" t="n">
        <v>-16.1</v>
      </c>
      <c r="U44" t="n">
        <v>-0.12</v>
      </c>
      <c r="V44" t="n">
        <v>1.12</v>
      </c>
      <c r="W44" t="n">
        <v>0.7</v>
      </c>
      <c r="X44" t="n">
        <v>30.38</v>
      </c>
      <c r="Z44" t="n">
        <v>20945788</v>
      </c>
      <c r="AA44" t="n">
        <v>-10.24</v>
      </c>
      <c r="AB44" t="n">
        <v>12.19</v>
      </c>
      <c r="AC44" t="n">
        <v>-0.1</v>
      </c>
      <c r="AD44" t="n">
        <v>356272659.87</v>
      </c>
    </row>
    <row r="45">
      <c r="A45" t="inlineStr">
        <is>
          <t>AZZA3</t>
        </is>
      </c>
      <c r="B45" t="n">
        <v>16.37</v>
      </c>
      <c r="C45" t="n">
        <v>15.12</v>
      </c>
      <c r="D45" t="n">
        <v>4.07</v>
      </c>
      <c r="E45" t="n">
        <v>0.42</v>
      </c>
      <c r="F45" t="n">
        <v>0.22</v>
      </c>
      <c r="G45" t="n">
        <v>54.89</v>
      </c>
      <c r="H45" t="n">
        <v>8.66</v>
      </c>
      <c r="I45" t="n">
        <v>7.17</v>
      </c>
      <c r="J45" t="n">
        <v>3.37</v>
      </c>
      <c r="K45" t="n">
        <v>5.55</v>
      </c>
      <c r="L45" t="n">
        <v>2.17</v>
      </c>
      <c r="M45" t="n">
        <v>0.27</v>
      </c>
      <c r="N45" t="n">
        <v>0.29</v>
      </c>
      <c r="O45" t="n">
        <v>0.93</v>
      </c>
      <c r="P45" t="n">
        <v>-0.4</v>
      </c>
      <c r="Q45" t="n">
        <v>2.2</v>
      </c>
      <c r="R45" t="n">
        <v>10.39</v>
      </c>
      <c r="S45" t="n">
        <v>5.48</v>
      </c>
      <c r="T45" t="n">
        <v>1.51</v>
      </c>
      <c r="U45" t="n">
        <v>0.53</v>
      </c>
      <c r="V45" t="n">
        <v>0.47</v>
      </c>
      <c r="W45" t="n">
        <v>0.76</v>
      </c>
      <c r="X45" t="n">
        <v>49.34</v>
      </c>
      <c r="Y45" t="n">
        <v>76.48999999999999</v>
      </c>
      <c r="Z45" t="n">
        <v>30924138.14</v>
      </c>
      <c r="AA45" t="n">
        <v>38.77</v>
      </c>
      <c r="AB45" t="n">
        <v>4.03</v>
      </c>
      <c r="AC45" t="n">
        <v>0.04</v>
      </c>
      <c r="AD45" t="n">
        <v>3392627627.59</v>
      </c>
    </row>
    <row r="46">
      <c r="A46" t="inlineStr">
        <is>
          <t>B3SA3</t>
        </is>
      </c>
      <c r="B46" t="n">
        <v>15.49</v>
      </c>
      <c r="C46" t="n">
        <v>3.93</v>
      </c>
      <c r="D46" t="n">
        <v>15.77</v>
      </c>
      <c r="E46" t="n">
        <v>4.28</v>
      </c>
      <c r="F46" t="n">
        <v>1.61</v>
      </c>
      <c r="G46" t="n">
        <v>90.45999999999999</v>
      </c>
      <c r="H46" t="n">
        <v>60.27</v>
      </c>
      <c r="I46" t="n">
        <v>42.49</v>
      </c>
      <c r="J46" t="n">
        <v>11.12</v>
      </c>
      <c r="K46" t="n">
        <v>11.01</v>
      </c>
      <c r="L46" t="n">
        <v>-0.09</v>
      </c>
      <c r="M46" t="n">
        <v>-0.03</v>
      </c>
      <c r="N46" t="n">
        <v>6.7</v>
      </c>
      <c r="O46" t="n">
        <v>8.34</v>
      </c>
      <c r="P46" t="n">
        <v>-2.55</v>
      </c>
      <c r="Q46" t="n">
        <v>2.09</v>
      </c>
      <c r="R46" t="n">
        <v>27.15</v>
      </c>
      <c r="S46" t="n">
        <v>10.2</v>
      </c>
      <c r="T46" t="n">
        <v>6.45</v>
      </c>
      <c r="U46" t="n">
        <v>0.38</v>
      </c>
      <c r="V46" t="n">
        <v>0.62</v>
      </c>
      <c r="W46" t="n">
        <v>0.24</v>
      </c>
      <c r="X46" t="n">
        <v>3.58</v>
      </c>
      <c r="Y46" t="n">
        <v>3.6</v>
      </c>
      <c r="Z46" t="n">
        <v>458281548.05</v>
      </c>
      <c r="AA46" t="n">
        <v>3.62</v>
      </c>
      <c r="AB46" t="n">
        <v>0.98</v>
      </c>
      <c r="AC46" t="n">
        <v>3.34</v>
      </c>
      <c r="AD46" t="n">
        <v>78018890000</v>
      </c>
    </row>
    <row r="47">
      <c r="A47" t="inlineStr">
        <is>
          <t>BAHI3</t>
        </is>
      </c>
      <c r="B47" t="n">
        <v>4.51</v>
      </c>
      <c r="D47" t="n">
        <v>-2.32</v>
      </c>
      <c r="E47" t="n">
        <v>7.22</v>
      </c>
      <c r="F47" t="n">
        <v>0.3</v>
      </c>
      <c r="G47" t="n">
        <v>46.3</v>
      </c>
      <c r="H47" t="n">
        <v>-3.46</v>
      </c>
      <c r="I47" t="n">
        <v>-15.38</v>
      </c>
      <c r="J47" t="n">
        <v>-10.31</v>
      </c>
      <c r="K47" t="n">
        <v>-13.03</v>
      </c>
      <c r="L47" t="n">
        <v>-2.72</v>
      </c>
      <c r="M47" t="n">
        <v>1.91</v>
      </c>
      <c r="N47" t="n">
        <v>0.36</v>
      </c>
      <c r="O47" t="n">
        <v>-0.73</v>
      </c>
      <c r="P47" t="n">
        <v>-0.34</v>
      </c>
      <c r="Q47" t="n">
        <v>0.24</v>
      </c>
      <c r="R47" t="n">
        <v>-311.28</v>
      </c>
      <c r="S47" t="n">
        <v>-12.87</v>
      </c>
      <c r="T47" t="n">
        <v>-11.93</v>
      </c>
      <c r="U47" t="n">
        <v>0.04</v>
      </c>
      <c r="V47" t="n">
        <v>0.86</v>
      </c>
      <c r="W47" t="n">
        <v>0.84</v>
      </c>
      <c r="X47" t="n">
        <v>11.13</v>
      </c>
      <c r="Z47" t="n">
        <v>16499</v>
      </c>
      <c r="AA47" t="n">
        <v>0.62</v>
      </c>
      <c r="AB47" t="n">
        <v>-1.95</v>
      </c>
      <c r="AC47" t="n">
        <v>0.08</v>
      </c>
      <c r="AD47" t="n">
        <v>119021524.82</v>
      </c>
    </row>
    <row r="48">
      <c r="A48" t="inlineStr">
        <is>
          <t>BALM3</t>
        </is>
      </c>
      <c r="B48" t="n">
        <v>26</v>
      </c>
      <c r="C48" t="n">
        <v>15.38</v>
      </c>
      <c r="D48" t="n">
        <v>13.23</v>
      </c>
      <c r="E48" t="n">
        <v>1.6</v>
      </c>
      <c r="F48" t="n">
        <v>0.9</v>
      </c>
      <c r="G48" t="n">
        <v>63.15</v>
      </c>
      <c r="H48" t="n">
        <v>16.37</v>
      </c>
      <c r="I48" t="n">
        <v>9.07</v>
      </c>
      <c r="J48" t="n">
        <v>7.33</v>
      </c>
      <c r="K48" t="n">
        <v>4.58</v>
      </c>
      <c r="L48" t="n">
        <v>-1.38</v>
      </c>
      <c r="M48" t="n">
        <v>-0.3</v>
      </c>
      <c r="N48" t="n">
        <v>1.2</v>
      </c>
      <c r="O48" t="n">
        <v>2.12</v>
      </c>
      <c r="P48" t="n">
        <v>-3.4</v>
      </c>
      <c r="Q48" t="n">
        <v>2.37</v>
      </c>
      <c r="R48" t="n">
        <v>12.07</v>
      </c>
      <c r="S48" t="n">
        <v>6.83</v>
      </c>
      <c r="T48" t="n">
        <v>13.94</v>
      </c>
      <c r="U48" t="n">
        <v>0.57</v>
      </c>
      <c r="V48" t="n">
        <v>0.46</v>
      </c>
      <c r="W48" t="n">
        <v>0.75</v>
      </c>
      <c r="X48" t="n">
        <v>5.57</v>
      </c>
      <c r="Y48" t="n">
        <v>2.49</v>
      </c>
      <c r="Z48" t="n">
        <v>1787.5</v>
      </c>
      <c r="AA48" t="n">
        <v>16.29</v>
      </c>
      <c r="AB48" t="n">
        <v>1.97</v>
      </c>
      <c r="AC48" t="n">
        <v>-0.35</v>
      </c>
      <c r="AD48" t="n">
        <v>207270000</v>
      </c>
    </row>
    <row r="49">
      <c r="A49" t="inlineStr">
        <is>
          <t>BALM4</t>
        </is>
      </c>
      <c r="B49" t="n">
        <v>16.3</v>
      </c>
      <c r="C49" t="n">
        <v>24.54</v>
      </c>
      <c r="D49" t="n">
        <v>8.289999999999999</v>
      </c>
      <c r="E49" t="n">
        <v>1</v>
      </c>
      <c r="F49" t="n">
        <v>0.57</v>
      </c>
      <c r="G49" t="n">
        <v>63.15</v>
      </c>
      <c r="H49" t="n">
        <v>16.37</v>
      </c>
      <c r="I49" t="n">
        <v>9.07</v>
      </c>
      <c r="J49" t="n">
        <v>4.6</v>
      </c>
      <c r="K49" t="n">
        <v>4.58</v>
      </c>
      <c r="L49" t="n">
        <v>-1.38</v>
      </c>
      <c r="M49" t="n">
        <v>-0.3</v>
      </c>
      <c r="N49" t="n">
        <v>0.75</v>
      </c>
      <c r="O49" t="n">
        <v>1.33</v>
      </c>
      <c r="P49" t="n">
        <v>-2.13</v>
      </c>
      <c r="Q49" t="n">
        <v>2.37</v>
      </c>
      <c r="R49" t="n">
        <v>12.07</v>
      </c>
      <c r="S49" t="n">
        <v>6.83</v>
      </c>
      <c r="T49" t="n">
        <v>13.94</v>
      </c>
      <c r="U49" t="n">
        <v>0.57</v>
      </c>
      <c r="V49" t="n">
        <v>0.46</v>
      </c>
      <c r="W49" t="n">
        <v>0.75</v>
      </c>
      <c r="X49" t="n">
        <v>5.57</v>
      </c>
      <c r="Y49" t="n">
        <v>2.49</v>
      </c>
      <c r="Z49" t="n">
        <v>12010.14</v>
      </c>
      <c r="AA49" t="n">
        <v>16.29</v>
      </c>
      <c r="AB49" t="n">
        <v>1.97</v>
      </c>
      <c r="AC49" t="n">
        <v>-0.22</v>
      </c>
      <c r="AD49" t="n">
        <v>207270000</v>
      </c>
    </row>
    <row r="50">
      <c r="A50" t="inlineStr">
        <is>
          <t>BAUH3</t>
        </is>
      </c>
      <c r="B50" t="n">
        <v>0</v>
      </c>
      <c r="D50" t="n">
        <v>0</v>
      </c>
      <c r="E50" t="n">
        <v>0</v>
      </c>
      <c r="F50" t="n">
        <v>0</v>
      </c>
      <c r="G50" t="n">
        <v>24.68</v>
      </c>
      <c r="H50" t="n">
        <v>8.15</v>
      </c>
      <c r="I50" t="n">
        <v>7.93</v>
      </c>
      <c r="J50" t="n">
        <v>0</v>
      </c>
      <c r="L50" t="n">
        <v>-3.27</v>
      </c>
      <c r="M50" t="n">
        <v>-0.52</v>
      </c>
      <c r="N50" t="n">
        <v>0</v>
      </c>
      <c r="O50" t="n">
        <v>0</v>
      </c>
      <c r="P50" t="n">
        <v>0</v>
      </c>
      <c r="Q50" t="n">
        <v>1.89</v>
      </c>
      <c r="R50" t="n">
        <v>15.58</v>
      </c>
      <c r="S50" t="n">
        <v>10.51</v>
      </c>
      <c r="T50" t="n">
        <v>11.65</v>
      </c>
      <c r="U50" t="n">
        <v>0.67</v>
      </c>
      <c r="V50" t="n">
        <v>0.33</v>
      </c>
      <c r="W50" t="n">
        <v>1.33</v>
      </c>
      <c r="X50" t="n">
        <v>8.24</v>
      </c>
      <c r="Y50" t="n">
        <v>-0.29</v>
      </c>
      <c r="AA50" t="n">
        <v>28.37</v>
      </c>
      <c r="AB50" t="n">
        <v>4.42</v>
      </c>
      <c r="AC50" t="n">
        <v>0</v>
      </c>
    </row>
    <row r="51">
      <c r="A51" t="inlineStr">
        <is>
          <t>BAUH4</t>
        </is>
      </c>
      <c r="B51" t="n">
        <v>93.90000000000001</v>
      </c>
      <c r="D51" t="n">
        <v>21.24</v>
      </c>
      <c r="E51" t="n">
        <v>3.31</v>
      </c>
      <c r="F51" t="n">
        <v>2.23</v>
      </c>
      <c r="G51" t="n">
        <v>24.68</v>
      </c>
      <c r="H51" t="n">
        <v>8.15</v>
      </c>
      <c r="I51" t="n">
        <v>7.93</v>
      </c>
      <c r="J51" t="n">
        <v>20.67</v>
      </c>
      <c r="L51" t="n">
        <v>-3.27</v>
      </c>
      <c r="M51" t="n">
        <v>-0.52</v>
      </c>
      <c r="N51" t="n">
        <v>1.68</v>
      </c>
      <c r="O51" t="n">
        <v>8.32</v>
      </c>
      <c r="P51" t="n">
        <v>-5.19</v>
      </c>
      <c r="Q51" t="n">
        <v>1.89</v>
      </c>
      <c r="R51" t="n">
        <v>15.58</v>
      </c>
      <c r="S51" t="n">
        <v>10.51</v>
      </c>
      <c r="T51" t="n">
        <v>11.65</v>
      </c>
      <c r="U51" t="n">
        <v>0.67</v>
      </c>
      <c r="V51" t="n">
        <v>0.33</v>
      </c>
      <c r="W51" t="n">
        <v>1.33</v>
      </c>
      <c r="X51" t="n">
        <v>8.24</v>
      </c>
      <c r="Y51" t="n">
        <v>-0.29</v>
      </c>
      <c r="Z51" t="n">
        <v>0</v>
      </c>
      <c r="AA51" t="n">
        <v>28.37</v>
      </c>
      <c r="AB51" t="n">
        <v>4.42</v>
      </c>
      <c r="AC51" t="n">
        <v>-1.56</v>
      </c>
    </row>
    <row r="52">
      <c r="A52" t="inlineStr">
        <is>
          <t>BAZA3</t>
        </is>
      </c>
      <c r="B52" t="n">
        <v>59</v>
      </c>
      <c r="C52" t="n">
        <v>20.24</v>
      </c>
      <c r="D52" t="n">
        <v>3.91</v>
      </c>
      <c r="E52" t="n">
        <v>0.46</v>
      </c>
      <c r="F52" t="n">
        <v>0.05</v>
      </c>
      <c r="G52" t="n">
        <v>1.1</v>
      </c>
      <c r="H52" t="n">
        <v>6.05</v>
      </c>
      <c r="I52" t="n">
        <v>12.73</v>
      </c>
      <c r="J52" t="n">
        <v>8.24</v>
      </c>
      <c r="K52" t="n">
        <v>8.25</v>
      </c>
      <c r="N52" t="n">
        <v>0.5</v>
      </c>
      <c r="O52" t="n">
        <v>57.13</v>
      </c>
      <c r="P52" t="n">
        <v>-0.05</v>
      </c>
      <c r="R52" t="n">
        <v>11.77</v>
      </c>
      <c r="S52" t="n">
        <v>1.31</v>
      </c>
      <c r="U52" t="n">
        <v>0.11</v>
      </c>
      <c r="V52" t="n">
        <v>0.89</v>
      </c>
      <c r="W52" t="n">
        <v>0.1</v>
      </c>
      <c r="X52" t="n">
        <v>46.47</v>
      </c>
      <c r="Y52" t="n">
        <v>26.06</v>
      </c>
      <c r="Z52" t="n">
        <v>376538.68</v>
      </c>
      <c r="AA52" t="n">
        <v>128.13</v>
      </c>
      <c r="AB52" t="n">
        <v>15.08</v>
      </c>
      <c r="AC52" t="n">
        <v>-0.12</v>
      </c>
      <c r="AD52" t="n">
        <v>3314167582.8</v>
      </c>
    </row>
    <row r="53">
      <c r="A53" t="inlineStr">
        <is>
          <t>BBAS3</t>
        </is>
      </c>
      <c r="B53" t="n">
        <v>20.8</v>
      </c>
      <c r="C53" t="n">
        <v>2.65</v>
      </c>
      <c r="D53" t="n">
        <v>7.58</v>
      </c>
      <c r="E53" t="n">
        <v>0.62</v>
      </c>
      <c r="F53" t="n">
        <v>0.05</v>
      </c>
      <c r="G53" t="n">
        <v>30.81</v>
      </c>
      <c r="H53" t="n">
        <v>1.95</v>
      </c>
      <c r="I53" t="n">
        <v>4.82</v>
      </c>
      <c r="J53" t="n">
        <v>18.75</v>
      </c>
      <c r="K53" t="n">
        <v>18.72</v>
      </c>
      <c r="N53" t="n">
        <v>0.37</v>
      </c>
      <c r="O53" t="n">
        <v>2.16</v>
      </c>
      <c r="P53" t="n">
        <v>-0.05</v>
      </c>
      <c r="Q53" t="n">
        <v>9.470000000000001</v>
      </c>
      <c r="R53" t="n">
        <v>8.199999999999999</v>
      </c>
      <c r="S53" t="n">
        <v>0.6</v>
      </c>
      <c r="U53" t="n">
        <v>0.07000000000000001</v>
      </c>
      <c r="V53" t="n">
        <v>0.92</v>
      </c>
      <c r="W53" t="n">
        <v>0.12</v>
      </c>
      <c r="X53" t="n">
        <v>26.49</v>
      </c>
      <c r="Y53" t="n">
        <v>3.4</v>
      </c>
      <c r="Z53" t="n">
        <v>375023353.23</v>
      </c>
      <c r="AA53" t="n">
        <v>33.45</v>
      </c>
      <c r="AB53" t="n">
        <v>2.74</v>
      </c>
      <c r="AC53" t="n">
        <v>-0.21</v>
      </c>
      <c r="AD53" t="n">
        <v>118972114670.4</v>
      </c>
    </row>
    <row r="54">
      <c r="A54" t="inlineStr">
        <is>
          <t>BBDC3</t>
        </is>
      </c>
      <c r="B54" t="n">
        <v>16.04</v>
      </c>
      <c r="C54" t="n">
        <v>7.21</v>
      </c>
      <c r="D54" t="n">
        <v>7.24</v>
      </c>
      <c r="E54" t="n">
        <v>0.95</v>
      </c>
      <c r="F54" t="n">
        <v>0.07000000000000001</v>
      </c>
      <c r="G54" t="n">
        <v>27.28</v>
      </c>
      <c r="H54" t="n">
        <v>7.91</v>
      </c>
      <c r="I54" t="n">
        <v>8.15</v>
      </c>
      <c r="J54" t="n">
        <v>7.45</v>
      </c>
      <c r="K54" t="n">
        <v>7.99</v>
      </c>
      <c r="N54" t="n">
        <v>0.59</v>
      </c>
      <c r="O54" t="n">
        <v>0.66</v>
      </c>
      <c r="P54" t="n">
        <v>-0.08</v>
      </c>
      <c r="Q54" t="n">
        <v>10.43</v>
      </c>
      <c r="R54" t="n">
        <v>13.06</v>
      </c>
      <c r="S54" t="n">
        <v>0.96</v>
      </c>
      <c r="U54" t="n">
        <v>0.07000000000000001</v>
      </c>
      <c r="V54" t="n">
        <v>0.93</v>
      </c>
      <c r="W54" t="n">
        <v>0.12</v>
      </c>
      <c r="X54" t="n">
        <v>22.38</v>
      </c>
      <c r="Y54" t="n">
        <v>7.93</v>
      </c>
      <c r="Z54" t="n">
        <v>92012006.81999999</v>
      </c>
      <c r="AA54" t="n">
        <v>16.97</v>
      </c>
      <c r="AB54" t="n">
        <v>2.22</v>
      </c>
      <c r="AC54" t="n">
        <v>0.31</v>
      </c>
      <c r="AD54" t="n">
        <v>182058125911.2</v>
      </c>
    </row>
    <row r="55">
      <c r="A55" t="inlineStr">
        <is>
          <t>BBDC4</t>
        </is>
      </c>
      <c r="B55" t="n">
        <v>18.4</v>
      </c>
      <c r="C55" t="n">
        <v>6.83</v>
      </c>
      <c r="D55" t="n">
        <v>8.300000000000001</v>
      </c>
      <c r="E55" t="n">
        <v>1.08</v>
      </c>
      <c r="F55" t="n">
        <v>0.08</v>
      </c>
      <c r="G55" t="n">
        <v>27.28</v>
      </c>
      <c r="H55" t="n">
        <v>7.91</v>
      </c>
      <c r="I55" t="n">
        <v>8.15</v>
      </c>
      <c r="J55" t="n">
        <v>8.550000000000001</v>
      </c>
      <c r="K55" t="n">
        <v>7.99</v>
      </c>
      <c r="N55" t="n">
        <v>0.68</v>
      </c>
      <c r="O55" t="n">
        <v>0.75</v>
      </c>
      <c r="P55" t="n">
        <v>-0.09</v>
      </c>
      <c r="Q55" t="n">
        <v>10.43</v>
      </c>
      <c r="R55" t="n">
        <v>13.06</v>
      </c>
      <c r="S55" t="n">
        <v>0.96</v>
      </c>
      <c r="U55" t="n">
        <v>0.07000000000000001</v>
      </c>
      <c r="V55" t="n">
        <v>0.93</v>
      </c>
      <c r="W55" t="n">
        <v>0.12</v>
      </c>
      <c r="X55" t="n">
        <v>22.38</v>
      </c>
      <c r="Y55" t="n">
        <v>7.93</v>
      </c>
      <c r="Z55" t="n">
        <v>507475985.41</v>
      </c>
      <c r="AA55" t="n">
        <v>16.97</v>
      </c>
      <c r="AB55" t="n">
        <v>2.22</v>
      </c>
      <c r="AC55" t="n">
        <v>0.35</v>
      </c>
      <c r="AD55" t="n">
        <v>182058125911.2</v>
      </c>
    </row>
    <row r="56">
      <c r="A56" t="inlineStr">
        <is>
          <t>BBML3</t>
        </is>
      </c>
      <c r="B56" t="n">
        <v>3936.42</v>
      </c>
      <c r="D56" t="n">
        <v>-634.49</v>
      </c>
      <c r="E56" t="n">
        <v>-248.41</v>
      </c>
      <c r="F56" t="n">
        <v>162.14</v>
      </c>
      <c r="G56" t="n">
        <v>3.31</v>
      </c>
      <c r="H56" t="n">
        <v>-1.54</v>
      </c>
      <c r="I56" t="n">
        <v>-18.79</v>
      </c>
      <c r="J56" t="n">
        <v>-7761.41</v>
      </c>
      <c r="K56" t="n">
        <v>-7785.8</v>
      </c>
      <c r="L56" t="n">
        <v>-24.38</v>
      </c>
      <c r="N56" t="n">
        <v>119.25</v>
      </c>
      <c r="O56" t="n">
        <v>-145.27</v>
      </c>
      <c r="P56" t="n">
        <v>-226.58</v>
      </c>
      <c r="Q56" t="n">
        <v>0.2</v>
      </c>
      <c r="R56" t="n">
        <v>-39.15</v>
      </c>
      <c r="S56" t="n">
        <v>-25.55</v>
      </c>
      <c r="T56" t="n">
        <v>79.45</v>
      </c>
      <c r="U56" t="n">
        <v>-0.65</v>
      </c>
      <c r="V56" t="n">
        <v>1.65</v>
      </c>
      <c r="W56" t="n">
        <v>1.36</v>
      </c>
      <c r="X56" t="n">
        <v>6.07</v>
      </c>
      <c r="AA56" t="n">
        <v>-15.85</v>
      </c>
      <c r="AB56" t="n">
        <v>-6.2</v>
      </c>
      <c r="AC56" t="n">
        <v>24.29</v>
      </c>
      <c r="AD56" t="n">
        <v>160451699191.56</v>
      </c>
    </row>
    <row r="57">
      <c r="A57" t="inlineStr">
        <is>
          <t>BBSE3</t>
        </is>
      </c>
      <c r="B57" t="n">
        <v>41.31</v>
      </c>
      <c r="C57" t="n">
        <v>11.01</v>
      </c>
      <c r="D57" t="n">
        <v>8.73</v>
      </c>
      <c r="E57" t="n">
        <v>6.35</v>
      </c>
      <c r="F57" t="n">
        <v>4.09</v>
      </c>
      <c r="J57" t="n">
        <v>8.02</v>
      </c>
      <c r="K57" t="n">
        <v>8.039999999999999</v>
      </c>
      <c r="O57" t="n">
        <v>17.46</v>
      </c>
      <c r="P57" t="n">
        <v>-6.77</v>
      </c>
      <c r="Q57" t="n">
        <v>2.45</v>
      </c>
      <c r="R57" t="n">
        <v>72.72</v>
      </c>
      <c r="S57" t="n">
        <v>46.86</v>
      </c>
      <c r="U57" t="n">
        <v>0.64</v>
      </c>
      <c r="V57" t="n">
        <v>0.36</v>
      </c>
      <c r="W57" t="n">
        <v>0</v>
      </c>
      <c r="Y57" t="n">
        <v>19.01</v>
      </c>
      <c r="Z57" t="n">
        <v>215898158.82</v>
      </c>
      <c r="AA57" t="n">
        <v>6.51</v>
      </c>
      <c r="AB57" t="n">
        <v>4.74</v>
      </c>
      <c r="AC57" t="n">
        <v>1.38</v>
      </c>
      <c r="AD57" t="n">
        <v>80393374000</v>
      </c>
    </row>
    <row r="58">
      <c r="A58" t="inlineStr">
        <is>
          <t>BDLL3</t>
        </is>
      </c>
      <c r="B58" t="n">
        <v>4.5</v>
      </c>
      <c r="D58" t="n">
        <v>-0.38</v>
      </c>
      <c r="E58" t="n">
        <v>-0.03</v>
      </c>
      <c r="F58" t="n">
        <v>0.02</v>
      </c>
      <c r="G58" t="n">
        <v>7.06</v>
      </c>
      <c r="H58" t="n">
        <v>-66.45999999999999</v>
      </c>
      <c r="I58" t="n">
        <v>-46.91</v>
      </c>
      <c r="J58" t="n">
        <v>-0.27</v>
      </c>
      <c r="K58" t="n">
        <v>-6.7</v>
      </c>
      <c r="L58" t="n">
        <v>-6.46</v>
      </c>
      <c r="N58" t="n">
        <v>0.18</v>
      </c>
      <c r="O58" t="n">
        <v>-0.04</v>
      </c>
      <c r="P58" t="n">
        <v>-0.03</v>
      </c>
      <c r="Q58" t="n">
        <v>0.41</v>
      </c>
      <c r="R58" t="n">
        <v>-7.55</v>
      </c>
      <c r="S58" t="n">
        <v>-5</v>
      </c>
      <c r="T58" t="n">
        <v>103.24</v>
      </c>
      <c r="U58" t="n">
        <v>-0.66</v>
      </c>
      <c r="V58" t="n">
        <v>1.66</v>
      </c>
      <c r="W58" t="n">
        <v>0.11</v>
      </c>
      <c r="X58" t="n">
        <v>18.73</v>
      </c>
      <c r="Z58" t="n">
        <v>1478.56</v>
      </c>
      <c r="AA58" t="n">
        <v>-157.91</v>
      </c>
      <c r="AB58" t="n">
        <v>-11.92</v>
      </c>
      <c r="AC58" t="n">
        <v>0.01</v>
      </c>
      <c r="AD58" t="n">
        <v>6614243.28</v>
      </c>
    </row>
    <row r="59">
      <c r="A59" t="inlineStr">
        <is>
          <t>BDLL4</t>
        </is>
      </c>
      <c r="B59" t="n">
        <v>3.91</v>
      </c>
      <c r="D59" t="n">
        <v>-0.33</v>
      </c>
      <c r="E59" t="n">
        <v>-0.02</v>
      </c>
      <c r="F59" t="n">
        <v>0.02</v>
      </c>
      <c r="G59" t="n">
        <v>7.06</v>
      </c>
      <c r="H59" t="n">
        <v>-66.45999999999999</v>
      </c>
      <c r="I59" t="n">
        <v>-46.91</v>
      </c>
      <c r="J59" t="n">
        <v>-0.23</v>
      </c>
      <c r="K59" t="n">
        <v>-6.7</v>
      </c>
      <c r="L59" t="n">
        <v>-6.46</v>
      </c>
      <c r="N59" t="n">
        <v>0.15</v>
      </c>
      <c r="O59" t="n">
        <v>-0.03</v>
      </c>
      <c r="P59" t="n">
        <v>-0.03</v>
      </c>
      <c r="Q59" t="n">
        <v>0.41</v>
      </c>
      <c r="R59" t="n">
        <v>-7.55</v>
      </c>
      <c r="S59" t="n">
        <v>-5</v>
      </c>
      <c r="T59" t="n">
        <v>103.24</v>
      </c>
      <c r="U59" t="n">
        <v>-0.66</v>
      </c>
      <c r="V59" t="n">
        <v>1.66</v>
      </c>
      <c r="W59" t="n">
        <v>0.11</v>
      </c>
      <c r="X59" t="n">
        <v>18.73</v>
      </c>
      <c r="Z59" t="n">
        <v>552.48</v>
      </c>
      <c r="AA59" t="n">
        <v>-157.91</v>
      </c>
      <c r="AB59" t="n">
        <v>-11.92</v>
      </c>
      <c r="AC59" t="n">
        <v>0.01</v>
      </c>
      <c r="AD59" t="n">
        <v>6614243.28</v>
      </c>
    </row>
    <row r="60">
      <c r="A60" t="inlineStr">
        <is>
          <t>BEEF3</t>
        </is>
      </c>
      <c r="B60" t="n">
        <v>3.46</v>
      </c>
      <c r="C60" t="n">
        <v>5.64</v>
      </c>
      <c r="D60" t="n">
        <v>4.88</v>
      </c>
      <c r="E60" t="n">
        <v>2.75</v>
      </c>
      <c r="F60" t="n">
        <v>0.08</v>
      </c>
      <c r="G60" t="n">
        <v>17.06</v>
      </c>
      <c r="H60" t="n">
        <v>6.99</v>
      </c>
      <c r="I60" t="n">
        <v>1.25</v>
      </c>
      <c r="J60" t="n">
        <v>0.87</v>
      </c>
      <c r="K60" t="n">
        <v>4.3</v>
      </c>
      <c r="L60" t="n">
        <v>3.43</v>
      </c>
      <c r="M60" t="n">
        <v>10.86</v>
      </c>
      <c r="N60" t="n">
        <v>0.06</v>
      </c>
      <c r="O60" t="n">
        <v>0.59</v>
      </c>
      <c r="P60" t="n">
        <v>-0.2</v>
      </c>
      <c r="Q60" t="n">
        <v>1.32</v>
      </c>
      <c r="R60" t="n">
        <v>56.47</v>
      </c>
      <c r="S60" t="n">
        <v>1.71</v>
      </c>
      <c r="T60" t="n">
        <v>14.22</v>
      </c>
      <c r="U60" t="n">
        <v>0.03</v>
      </c>
      <c r="V60" t="n">
        <v>0.96</v>
      </c>
      <c r="W60" t="n">
        <v>1.37</v>
      </c>
      <c r="X60" t="n">
        <v>23.09</v>
      </c>
      <c r="Y60" t="n">
        <v>0.42</v>
      </c>
      <c r="Z60" t="n">
        <v>30627649.82</v>
      </c>
      <c r="AA60" t="n">
        <v>1.26</v>
      </c>
      <c r="AB60" t="n">
        <v>0.71</v>
      </c>
      <c r="AC60" t="n">
        <v>-0.03</v>
      </c>
      <c r="AD60" t="n">
        <v>3461871590.12</v>
      </c>
    </row>
    <row r="61">
      <c r="A61" t="inlineStr">
        <is>
          <t>BEES3</t>
        </is>
      </c>
      <c r="B61" t="n">
        <v>8.720000000000001</v>
      </c>
      <c r="C61" t="n">
        <v>7.74</v>
      </c>
      <c r="D61" t="n">
        <v>9.289999999999999</v>
      </c>
      <c r="E61" t="n">
        <v>1.23</v>
      </c>
      <c r="F61" t="n">
        <v>0.08</v>
      </c>
      <c r="G61" t="n">
        <v>28.49</v>
      </c>
      <c r="H61" t="n">
        <v>5.93</v>
      </c>
      <c r="I61" t="n">
        <v>5.76</v>
      </c>
      <c r="J61" t="n">
        <v>9.029999999999999</v>
      </c>
      <c r="K61" t="n">
        <v>9.19</v>
      </c>
      <c r="N61" t="n">
        <v>0.54</v>
      </c>
      <c r="O61" t="n">
        <v>0.61</v>
      </c>
      <c r="P61" t="n">
        <v>-0.09</v>
      </c>
      <c r="R61" t="n">
        <v>13.26</v>
      </c>
      <c r="S61" t="n">
        <v>0.82</v>
      </c>
      <c r="U61" t="n">
        <v>0.06</v>
      </c>
      <c r="V61" t="n">
        <v>0.9399999999999999</v>
      </c>
      <c r="W61" t="n">
        <v>0.14</v>
      </c>
      <c r="X61" t="n">
        <v>28.74</v>
      </c>
      <c r="Y61" t="n">
        <v>8.029999999999999</v>
      </c>
      <c r="Z61" t="n">
        <v>80469.82000000001</v>
      </c>
      <c r="AA61" t="n">
        <v>7.08</v>
      </c>
      <c r="AB61" t="n">
        <v>0.9399999999999999</v>
      </c>
      <c r="AC61" t="n">
        <v>-0.3</v>
      </c>
      <c r="AD61" t="n">
        <v>3082058986.38</v>
      </c>
    </row>
    <row r="62">
      <c r="A62" t="inlineStr">
        <is>
          <t>BEES4</t>
        </is>
      </c>
      <c r="B62" t="n">
        <v>9.029999999999999</v>
      </c>
      <c r="C62" t="n">
        <v>7.54</v>
      </c>
      <c r="D62" t="n">
        <v>9.619999999999999</v>
      </c>
      <c r="E62" t="n">
        <v>1.28</v>
      </c>
      <c r="F62" t="n">
        <v>0.08</v>
      </c>
      <c r="G62" t="n">
        <v>28.49</v>
      </c>
      <c r="H62" t="n">
        <v>5.93</v>
      </c>
      <c r="I62" t="n">
        <v>5.76</v>
      </c>
      <c r="J62" t="n">
        <v>9.35</v>
      </c>
      <c r="K62" t="n">
        <v>9.19</v>
      </c>
      <c r="N62" t="n">
        <v>0.55</v>
      </c>
      <c r="O62" t="n">
        <v>0.63</v>
      </c>
      <c r="P62" t="n">
        <v>-0.09</v>
      </c>
      <c r="R62" t="n">
        <v>13.26</v>
      </c>
      <c r="S62" t="n">
        <v>0.82</v>
      </c>
      <c r="U62" t="n">
        <v>0.06</v>
      </c>
      <c r="V62" t="n">
        <v>0.9399999999999999</v>
      </c>
      <c r="W62" t="n">
        <v>0.14</v>
      </c>
      <c r="X62" t="n">
        <v>28.74</v>
      </c>
      <c r="Y62" t="n">
        <v>8.029999999999999</v>
      </c>
      <c r="Z62" t="n">
        <v>37011.68</v>
      </c>
      <c r="AA62" t="n">
        <v>7.08</v>
      </c>
      <c r="AB62" t="n">
        <v>0.9399999999999999</v>
      </c>
      <c r="AC62" t="n">
        <v>-0.31</v>
      </c>
      <c r="AD62" t="n">
        <v>3082058986.38</v>
      </c>
    </row>
    <row r="63">
      <c r="A63" t="inlineStr">
        <is>
          <t>BFRE11</t>
        </is>
      </c>
      <c r="B63" t="n">
        <v>0</v>
      </c>
      <c r="D63" t="n">
        <v>0</v>
      </c>
      <c r="E63" t="n">
        <v>0</v>
      </c>
      <c r="F63" t="n">
        <v>0</v>
      </c>
      <c r="G63" t="n">
        <v>100</v>
      </c>
      <c r="H63" t="n">
        <v>195.96</v>
      </c>
      <c r="I63" t="n">
        <v>118.16</v>
      </c>
      <c r="J63" t="n">
        <v>0</v>
      </c>
      <c r="N63" t="n">
        <v>0</v>
      </c>
      <c r="O63" t="n">
        <v>0</v>
      </c>
      <c r="P63" t="n">
        <v>0</v>
      </c>
      <c r="R63" t="n">
        <v>6.82</v>
      </c>
      <c r="S63" t="n">
        <v>5.98</v>
      </c>
      <c r="U63" t="n">
        <v>0.88</v>
      </c>
      <c r="V63" t="n">
        <v>0.1</v>
      </c>
      <c r="W63" t="n">
        <v>0.05</v>
      </c>
      <c r="Y63" t="n">
        <v>6.26</v>
      </c>
      <c r="AA63" t="n">
        <v>309815.9</v>
      </c>
      <c r="AB63" t="n">
        <v>21126.92</v>
      </c>
      <c r="AC63" t="n">
        <v>0</v>
      </c>
    </row>
    <row r="64">
      <c r="A64" t="inlineStr">
        <is>
          <t>BFRE12</t>
        </is>
      </c>
      <c r="B64" t="n">
        <v>0</v>
      </c>
      <c r="D64" t="n">
        <v>0</v>
      </c>
      <c r="E64" t="n">
        <v>0</v>
      </c>
      <c r="F64" t="n">
        <v>0</v>
      </c>
      <c r="G64" t="n">
        <v>100</v>
      </c>
      <c r="H64" t="n">
        <v>195.96</v>
      </c>
      <c r="I64" t="n">
        <v>118.16</v>
      </c>
      <c r="J64" t="n">
        <v>0</v>
      </c>
      <c r="N64" t="n">
        <v>0</v>
      </c>
      <c r="O64" t="n">
        <v>0</v>
      </c>
      <c r="P64" t="n">
        <v>0</v>
      </c>
      <c r="R64" t="n">
        <v>6.82</v>
      </c>
      <c r="S64" t="n">
        <v>5.98</v>
      </c>
      <c r="U64" t="n">
        <v>0.88</v>
      </c>
      <c r="V64" t="n">
        <v>0.1</v>
      </c>
      <c r="W64" t="n">
        <v>0.05</v>
      </c>
      <c r="Y64" t="n">
        <v>6.26</v>
      </c>
      <c r="AA64" t="n">
        <v>309815.9</v>
      </c>
      <c r="AB64" t="n">
        <v>21126.92</v>
      </c>
      <c r="AC64" t="n">
        <v>0</v>
      </c>
    </row>
    <row r="65">
      <c r="A65" t="inlineStr">
        <is>
          <t>BGIP3</t>
        </is>
      </c>
      <c r="B65" t="n">
        <v>47.3</v>
      </c>
      <c r="C65" t="n">
        <v>7.02</v>
      </c>
      <c r="D65" t="n">
        <v>6.81</v>
      </c>
      <c r="E65" t="n">
        <v>1.12</v>
      </c>
      <c r="F65" t="n">
        <v>0.08</v>
      </c>
      <c r="G65" t="n">
        <v>31.02</v>
      </c>
      <c r="H65" t="n">
        <v>13.02</v>
      </c>
      <c r="I65" t="n">
        <v>8.210000000000001</v>
      </c>
      <c r="J65" t="n">
        <v>4.3</v>
      </c>
      <c r="K65" t="n">
        <v>3.63</v>
      </c>
      <c r="N65" t="n">
        <v>0.5600000000000001</v>
      </c>
      <c r="O65" t="n">
        <v>11.08</v>
      </c>
      <c r="P65" t="n">
        <v>-0.08</v>
      </c>
      <c r="R65" t="n">
        <v>16.51</v>
      </c>
      <c r="S65" t="n">
        <v>1.22</v>
      </c>
      <c r="U65" t="n">
        <v>0.07000000000000001</v>
      </c>
      <c r="V65" t="n">
        <v>0.93</v>
      </c>
      <c r="W65" t="n">
        <v>0.15</v>
      </c>
      <c r="X65" t="n">
        <v>24.17</v>
      </c>
      <c r="Y65" t="n">
        <v>24.15</v>
      </c>
      <c r="Z65" t="n">
        <v>139860.67</v>
      </c>
      <c r="AA65" t="n">
        <v>42.07</v>
      </c>
      <c r="AB65" t="n">
        <v>6.94</v>
      </c>
      <c r="AC65" t="n">
        <v>1.11</v>
      </c>
      <c r="AD65" t="n">
        <v>922115513</v>
      </c>
    </row>
    <row r="66">
      <c r="A66" t="inlineStr">
        <is>
          <t>BGIP4</t>
        </is>
      </c>
      <c r="B66" t="n">
        <v>32.6</v>
      </c>
      <c r="C66" t="n">
        <v>13.8</v>
      </c>
      <c r="D66" t="n">
        <v>4.69</v>
      </c>
      <c r="E66" t="n">
        <v>0.77</v>
      </c>
      <c r="F66" t="n">
        <v>0.06</v>
      </c>
      <c r="G66" t="n">
        <v>31.02</v>
      </c>
      <c r="H66" t="n">
        <v>13.02</v>
      </c>
      <c r="I66" t="n">
        <v>8.210000000000001</v>
      </c>
      <c r="J66" t="n">
        <v>2.96</v>
      </c>
      <c r="K66" t="n">
        <v>3.63</v>
      </c>
      <c r="N66" t="n">
        <v>0.39</v>
      </c>
      <c r="O66" t="n">
        <v>7.64</v>
      </c>
      <c r="P66" t="n">
        <v>-0.06</v>
      </c>
      <c r="R66" t="n">
        <v>16.51</v>
      </c>
      <c r="S66" t="n">
        <v>1.22</v>
      </c>
      <c r="U66" t="n">
        <v>0.07000000000000001</v>
      </c>
      <c r="V66" t="n">
        <v>0.93</v>
      </c>
      <c r="W66" t="n">
        <v>0.15</v>
      </c>
      <c r="X66" t="n">
        <v>24.17</v>
      </c>
      <c r="Y66" t="n">
        <v>24.15</v>
      </c>
      <c r="Z66" t="n">
        <v>18516.73</v>
      </c>
      <c r="AA66" t="n">
        <v>42.07</v>
      </c>
      <c r="AB66" t="n">
        <v>6.94</v>
      </c>
      <c r="AC66" t="n">
        <v>0.77</v>
      </c>
      <c r="AD66" t="n">
        <v>922115513</v>
      </c>
    </row>
    <row r="67">
      <c r="A67" t="inlineStr">
        <is>
          <t>BHIA3</t>
        </is>
      </c>
      <c r="B67" t="n">
        <v>0.78</v>
      </c>
      <c r="D67" t="n">
        <v>-0.49</v>
      </c>
      <c r="E67" t="n">
        <v>0.24</v>
      </c>
      <c r="F67" t="n">
        <v>0.03</v>
      </c>
      <c r="G67" t="n">
        <v>30.06</v>
      </c>
      <c r="H67" t="n">
        <v>-1.82</v>
      </c>
      <c r="I67" t="n">
        <v>-5.98</v>
      </c>
      <c r="J67" t="n">
        <v>-1.61</v>
      </c>
      <c r="K67" t="n">
        <v>-16.01</v>
      </c>
      <c r="L67" t="n">
        <v>-14.38</v>
      </c>
      <c r="M67" t="n">
        <v>2.15</v>
      </c>
      <c r="N67" t="n">
        <v>0.03</v>
      </c>
      <c r="O67" t="n">
        <v>-0.19</v>
      </c>
      <c r="P67" t="n">
        <v>-0.04</v>
      </c>
      <c r="Q67" t="n">
        <v>0.76</v>
      </c>
      <c r="R67" t="n">
        <v>-49.14</v>
      </c>
      <c r="S67" t="n">
        <v>-5.11</v>
      </c>
      <c r="T67" t="n">
        <v>-11.4</v>
      </c>
      <c r="U67" t="n">
        <v>0.1</v>
      </c>
      <c r="V67" t="n">
        <v>0.9</v>
      </c>
      <c r="W67" t="n">
        <v>0.85</v>
      </c>
      <c r="X67" t="n">
        <v>1.39</v>
      </c>
      <c r="Z67" t="n">
        <v>4992048.09</v>
      </c>
      <c r="AA67" t="n">
        <v>3.2</v>
      </c>
      <c r="AB67" t="n">
        <v>-1.57</v>
      </c>
      <c r="AC67" t="n">
        <v>0.04</v>
      </c>
      <c r="AD67" t="n">
        <v>790733108.88</v>
      </c>
    </row>
    <row r="68">
      <c r="A68" t="inlineStr">
        <is>
          <t>BIDI11</t>
        </is>
      </c>
      <c r="B68" t="n">
        <v>10.4</v>
      </c>
      <c r="D68" t="n">
        <v>-238.07</v>
      </c>
      <c r="E68" t="n">
        <v>1.08</v>
      </c>
      <c r="F68" t="n">
        <v>0.23</v>
      </c>
      <c r="G68" t="n">
        <v>50.04</v>
      </c>
      <c r="H68" t="n">
        <v>-13.62</v>
      </c>
      <c r="I68" t="n">
        <v>-5.22</v>
      </c>
      <c r="J68" t="n">
        <v>-91.20999999999999</v>
      </c>
      <c r="K68" t="n">
        <v>-91.20999999999999</v>
      </c>
      <c r="N68" t="n">
        <v>12.42</v>
      </c>
      <c r="P68" t="n">
        <v>-0.24</v>
      </c>
      <c r="R68" t="n">
        <v>-0.45</v>
      </c>
      <c r="S68" t="n">
        <v>-0.1</v>
      </c>
      <c r="U68" t="n">
        <v>0.22</v>
      </c>
      <c r="V68" t="n">
        <v>0.78</v>
      </c>
      <c r="W68" t="n">
        <v>0.02</v>
      </c>
      <c r="X68" t="n">
        <v>5.8</v>
      </c>
      <c r="AA68" t="n">
        <v>9.67</v>
      </c>
      <c r="AB68" t="n">
        <v>-0.04</v>
      </c>
      <c r="AC68" t="n">
        <v>0.13</v>
      </c>
      <c r="AD68" t="n">
        <v>8991139764.530001</v>
      </c>
    </row>
    <row r="69">
      <c r="A69" t="inlineStr">
        <is>
          <t>BIDI3</t>
        </is>
      </c>
      <c r="B69" t="n">
        <v>3.4</v>
      </c>
      <c r="D69" t="n">
        <v>-233.49</v>
      </c>
      <c r="E69" t="n">
        <v>1.06</v>
      </c>
      <c r="F69" t="n">
        <v>0.23</v>
      </c>
      <c r="G69" t="n">
        <v>50.04</v>
      </c>
      <c r="H69" t="n">
        <v>-13.62</v>
      </c>
      <c r="I69" t="n">
        <v>-5.22</v>
      </c>
      <c r="J69" t="n">
        <v>-89.45999999999999</v>
      </c>
      <c r="K69" t="n">
        <v>-91.20999999999999</v>
      </c>
      <c r="N69" t="n">
        <v>12.19</v>
      </c>
      <c r="P69" t="n">
        <v>-0.24</v>
      </c>
      <c r="R69" t="n">
        <v>-0.45</v>
      </c>
      <c r="S69" t="n">
        <v>-0.1</v>
      </c>
      <c r="U69" t="n">
        <v>0.22</v>
      </c>
      <c r="V69" t="n">
        <v>0.78</v>
      </c>
      <c r="W69" t="n">
        <v>0.02</v>
      </c>
      <c r="X69" t="n">
        <v>5.8</v>
      </c>
      <c r="AA69" t="n">
        <v>3.22</v>
      </c>
      <c r="AB69" t="n">
        <v>-0.01</v>
      </c>
      <c r="AC69" t="n">
        <v>0.12</v>
      </c>
      <c r="AD69" t="n">
        <v>8991139764.530001</v>
      </c>
    </row>
    <row r="70">
      <c r="A70" t="inlineStr">
        <is>
          <t>BIDI4</t>
        </is>
      </c>
      <c r="B70" t="n">
        <v>3.41</v>
      </c>
      <c r="D70" t="n">
        <v>-234.18</v>
      </c>
      <c r="E70" t="n">
        <v>1.06</v>
      </c>
      <c r="F70" t="n">
        <v>0.23</v>
      </c>
      <c r="G70" t="n">
        <v>50.04</v>
      </c>
      <c r="H70" t="n">
        <v>-13.62</v>
      </c>
      <c r="I70" t="n">
        <v>-5.22</v>
      </c>
      <c r="J70" t="n">
        <v>-89.72</v>
      </c>
      <c r="K70" t="n">
        <v>-91.20999999999999</v>
      </c>
      <c r="N70" t="n">
        <v>12.22</v>
      </c>
      <c r="P70" t="n">
        <v>-0.24</v>
      </c>
      <c r="R70" t="n">
        <v>-0.45</v>
      </c>
      <c r="S70" t="n">
        <v>-0.1</v>
      </c>
      <c r="U70" t="n">
        <v>0.22</v>
      </c>
      <c r="V70" t="n">
        <v>0.78</v>
      </c>
      <c r="W70" t="n">
        <v>0.02</v>
      </c>
      <c r="X70" t="n">
        <v>5.8</v>
      </c>
      <c r="AA70" t="n">
        <v>3.22</v>
      </c>
      <c r="AB70" t="n">
        <v>-0.01</v>
      </c>
      <c r="AC70" t="n">
        <v>0.12</v>
      </c>
      <c r="AD70" t="n">
        <v>8991139764.530001</v>
      </c>
    </row>
    <row r="71">
      <c r="A71" t="inlineStr">
        <is>
          <t>BIOM3</t>
        </is>
      </c>
      <c r="B71" t="n">
        <v>5.75</v>
      </c>
      <c r="D71" t="n">
        <v>32.71</v>
      </c>
      <c r="E71" t="n">
        <v>2.43</v>
      </c>
      <c r="F71" t="n">
        <v>1.37</v>
      </c>
      <c r="G71" t="n">
        <v>36.48</v>
      </c>
      <c r="H71" t="n">
        <v>7.59</v>
      </c>
      <c r="I71" t="n">
        <v>7.47</v>
      </c>
      <c r="J71" t="n">
        <v>32.19</v>
      </c>
      <c r="K71" t="n">
        <v>34.72</v>
      </c>
      <c r="L71" t="n">
        <v>2.42</v>
      </c>
      <c r="M71" t="n">
        <v>0.18</v>
      </c>
      <c r="N71" t="n">
        <v>2.44</v>
      </c>
      <c r="O71" t="n">
        <v>5.63</v>
      </c>
      <c r="P71" t="n">
        <v>-3.12</v>
      </c>
      <c r="Q71" t="n">
        <v>1.77</v>
      </c>
      <c r="R71" t="n">
        <v>7.44</v>
      </c>
      <c r="S71" t="n">
        <v>4.2</v>
      </c>
      <c r="T71" t="n">
        <v>5.48</v>
      </c>
      <c r="U71" t="n">
        <v>0.5600000000000001</v>
      </c>
      <c r="V71" t="n">
        <v>0.44</v>
      </c>
      <c r="W71" t="n">
        <v>0.5600000000000001</v>
      </c>
      <c r="X71" t="n">
        <v>35.63</v>
      </c>
      <c r="Z71" t="n">
        <v>292840.32</v>
      </c>
      <c r="AA71" t="n">
        <v>2.36</v>
      </c>
      <c r="AB71" t="n">
        <v>0.18</v>
      </c>
      <c r="AC71" t="n">
        <v>-0.25</v>
      </c>
      <c r="AD71" t="n">
        <v>789638832.6799999</v>
      </c>
    </row>
    <row r="72">
      <c r="A72" t="inlineStr">
        <is>
          <t>BLAU3</t>
        </is>
      </c>
      <c r="B72" t="n">
        <v>8.85</v>
      </c>
      <c r="C72" t="n">
        <v>10.45</v>
      </c>
      <c r="D72" t="n">
        <v>8.460000000000001</v>
      </c>
      <c r="E72" t="n">
        <v>0.9</v>
      </c>
      <c r="F72" t="n">
        <v>0.58</v>
      </c>
      <c r="G72" t="n">
        <v>40.44</v>
      </c>
      <c r="H72" t="n">
        <v>18.65</v>
      </c>
      <c r="I72" t="n">
        <v>13.82</v>
      </c>
      <c r="J72" t="n">
        <v>6.26</v>
      </c>
      <c r="K72" t="n">
        <v>6.34</v>
      </c>
      <c r="L72" t="n">
        <v>0.06</v>
      </c>
      <c r="M72" t="n">
        <v>0.01</v>
      </c>
      <c r="N72" t="n">
        <v>1.17</v>
      </c>
      <c r="O72" t="n">
        <v>1.81</v>
      </c>
      <c r="P72" t="n">
        <v>-1.18</v>
      </c>
      <c r="Q72" t="n">
        <v>2.66</v>
      </c>
      <c r="R72" t="n">
        <v>10.63</v>
      </c>
      <c r="S72" t="n">
        <v>6.82</v>
      </c>
      <c r="T72" t="n">
        <v>6.67</v>
      </c>
      <c r="U72" t="n">
        <v>0.64</v>
      </c>
      <c r="V72" t="n">
        <v>0.36</v>
      </c>
      <c r="W72" t="n">
        <v>0.49</v>
      </c>
      <c r="X72" t="n">
        <v>7.57</v>
      </c>
      <c r="Y72" t="n">
        <v>-0.84</v>
      </c>
      <c r="Z72" t="n">
        <v>1970896.77</v>
      </c>
      <c r="AA72" t="n">
        <v>9.84</v>
      </c>
      <c r="AB72" t="n">
        <v>1.05</v>
      </c>
      <c r="AC72" t="n">
        <v>-0.93</v>
      </c>
      <c r="AD72" t="n">
        <v>2068591513.27</v>
      </c>
    </row>
    <row r="73">
      <c r="A73" t="inlineStr">
        <is>
          <t>BLUT3</t>
        </is>
      </c>
      <c r="B73" t="n">
        <v>5.14</v>
      </c>
      <c r="D73" t="n">
        <v>-5.63</v>
      </c>
      <c r="E73" t="n">
        <v>0.46</v>
      </c>
      <c r="F73" t="n">
        <v>0.14</v>
      </c>
      <c r="J73" t="n">
        <v>-6.17</v>
      </c>
      <c r="K73" t="n">
        <v>-4.91</v>
      </c>
      <c r="L73" t="n">
        <v>-1.59</v>
      </c>
      <c r="M73" t="n">
        <v>0.12</v>
      </c>
      <c r="O73" t="n">
        <v>-0.76</v>
      </c>
      <c r="P73" t="n">
        <v>-0.14</v>
      </c>
      <c r="Q73" t="n">
        <v>0</v>
      </c>
      <c r="R73" t="n">
        <v>-8.24</v>
      </c>
      <c r="S73" t="n">
        <v>-2.45</v>
      </c>
      <c r="T73" t="n">
        <v>-6.72</v>
      </c>
      <c r="U73" t="n">
        <v>0.3</v>
      </c>
      <c r="V73" t="n">
        <v>0.7</v>
      </c>
      <c r="W73" t="n">
        <v>0</v>
      </c>
      <c r="AA73" t="n">
        <v>11.09</v>
      </c>
      <c r="AB73" t="n">
        <v>-0.91</v>
      </c>
      <c r="AC73" t="n">
        <v>0.2</v>
      </c>
      <c r="AD73" t="n">
        <v>14115600.06</v>
      </c>
    </row>
    <row r="74">
      <c r="A74" t="inlineStr">
        <is>
          <t>BLUT4</t>
        </is>
      </c>
      <c r="B74" t="n">
        <v>1.52</v>
      </c>
      <c r="D74" t="n">
        <v>-1.66</v>
      </c>
      <c r="E74" t="n">
        <v>0.14</v>
      </c>
      <c r="F74" t="n">
        <v>0.04</v>
      </c>
      <c r="J74" t="n">
        <v>-1.82</v>
      </c>
      <c r="K74" t="n">
        <v>-4.91</v>
      </c>
      <c r="L74" t="n">
        <v>-1.59</v>
      </c>
      <c r="M74" t="n">
        <v>0.12</v>
      </c>
      <c r="O74" t="n">
        <v>-0.22</v>
      </c>
      <c r="P74" t="n">
        <v>-0.04</v>
      </c>
      <c r="Q74" t="n">
        <v>0</v>
      </c>
      <c r="R74" t="n">
        <v>-8.24</v>
      </c>
      <c r="S74" t="n">
        <v>-2.45</v>
      </c>
      <c r="T74" t="n">
        <v>-6.72</v>
      </c>
      <c r="U74" t="n">
        <v>0.3</v>
      </c>
      <c r="V74" t="n">
        <v>0.7</v>
      </c>
      <c r="W74" t="n">
        <v>0</v>
      </c>
      <c r="AA74" t="n">
        <v>11.09</v>
      </c>
      <c r="AB74" t="n">
        <v>-0.91</v>
      </c>
      <c r="AC74" t="n">
        <v>0.06</v>
      </c>
      <c r="AD74" t="n">
        <v>14115600.06</v>
      </c>
    </row>
    <row r="75">
      <c r="A75" t="inlineStr">
        <is>
          <t>BMEB3</t>
        </is>
      </c>
      <c r="B75" t="n">
        <v>49.7</v>
      </c>
      <c r="C75" t="n">
        <v>3.43</v>
      </c>
      <c r="D75" t="n">
        <v>7.65</v>
      </c>
      <c r="E75" t="n">
        <v>2.06</v>
      </c>
      <c r="F75" t="n">
        <v>0.16</v>
      </c>
      <c r="G75" t="n">
        <v>47.54</v>
      </c>
      <c r="H75" t="n">
        <v>2.97</v>
      </c>
      <c r="I75" t="n">
        <v>8.949999999999999</v>
      </c>
      <c r="J75" t="n">
        <v>23.08</v>
      </c>
      <c r="K75" t="n">
        <v>24.08</v>
      </c>
      <c r="N75" t="n">
        <v>0.68</v>
      </c>
      <c r="O75" t="n">
        <v>0.83</v>
      </c>
      <c r="P75" t="n">
        <v>-0.21</v>
      </c>
      <c r="R75" t="n">
        <v>26.89</v>
      </c>
      <c r="S75" t="n">
        <v>2.15</v>
      </c>
      <c r="U75" t="n">
        <v>0.08</v>
      </c>
      <c r="V75" t="n">
        <v>0.92</v>
      </c>
      <c r="W75" t="n">
        <v>0.24</v>
      </c>
      <c r="X75" t="n">
        <v>29.99</v>
      </c>
      <c r="Y75" t="n">
        <v>34.51</v>
      </c>
      <c r="Z75" t="n">
        <v>198252.23</v>
      </c>
      <c r="AA75" t="n">
        <v>24.16</v>
      </c>
      <c r="AB75" t="n">
        <v>6.5</v>
      </c>
      <c r="AC75" t="n">
        <v>0.11</v>
      </c>
      <c r="AD75" t="n">
        <v>6415360873.72</v>
      </c>
    </row>
    <row r="76">
      <c r="A76" t="inlineStr">
        <is>
          <t>BMEB4</t>
        </is>
      </c>
      <c r="B76" t="n">
        <v>55.72</v>
      </c>
      <c r="C76" t="n">
        <v>3.36</v>
      </c>
      <c r="D76" t="n">
        <v>8.58</v>
      </c>
      <c r="E76" t="n">
        <v>2.31</v>
      </c>
      <c r="F76" t="n">
        <v>0.18</v>
      </c>
      <c r="G76" t="n">
        <v>47.54</v>
      </c>
      <c r="H76" t="n">
        <v>2.97</v>
      </c>
      <c r="I76" t="n">
        <v>8.949999999999999</v>
      </c>
      <c r="J76" t="n">
        <v>25.87</v>
      </c>
      <c r="K76" t="n">
        <v>24.08</v>
      </c>
      <c r="N76" t="n">
        <v>0.77</v>
      </c>
      <c r="O76" t="n">
        <v>0.93</v>
      </c>
      <c r="P76" t="n">
        <v>-0.23</v>
      </c>
      <c r="R76" t="n">
        <v>26.89</v>
      </c>
      <c r="S76" t="n">
        <v>2.15</v>
      </c>
      <c r="U76" t="n">
        <v>0.08</v>
      </c>
      <c r="V76" t="n">
        <v>0.92</v>
      </c>
      <c r="W76" t="n">
        <v>0.24</v>
      </c>
      <c r="X76" t="n">
        <v>29.99</v>
      </c>
      <c r="Y76" t="n">
        <v>34.51</v>
      </c>
      <c r="Z76" t="n">
        <v>1923741.68</v>
      </c>
      <c r="AA76" t="n">
        <v>24.16</v>
      </c>
      <c r="AB76" t="n">
        <v>6.5</v>
      </c>
      <c r="AC76" t="n">
        <v>0.13</v>
      </c>
      <c r="AD76" t="n">
        <v>6415360873.72</v>
      </c>
    </row>
    <row r="77">
      <c r="A77" t="inlineStr">
        <is>
          <t>BMGB4</t>
        </is>
      </c>
      <c r="B77" t="n">
        <v>5.18</v>
      </c>
      <c r="C77" t="n">
        <v>8.630000000000001</v>
      </c>
      <c r="D77" t="n">
        <v>5.67</v>
      </c>
      <c r="E77" t="n">
        <v>0.67</v>
      </c>
      <c r="F77" t="n">
        <v>0.07000000000000001</v>
      </c>
      <c r="G77" t="n">
        <v>33.14</v>
      </c>
      <c r="H77" t="n">
        <v>3.52</v>
      </c>
      <c r="I77" t="n">
        <v>6.79</v>
      </c>
      <c r="J77" t="n">
        <v>10.92</v>
      </c>
      <c r="K77" t="n">
        <v>10.94</v>
      </c>
      <c r="N77" t="n">
        <v>0.38</v>
      </c>
      <c r="O77" t="n">
        <v>-0.14</v>
      </c>
      <c r="P77" t="n">
        <v>-0.07000000000000001</v>
      </c>
      <c r="Q77" t="n">
        <v>0.01</v>
      </c>
      <c r="R77" t="n">
        <v>11.89</v>
      </c>
      <c r="S77" t="n">
        <v>1.18</v>
      </c>
      <c r="U77" t="n">
        <v>0.1</v>
      </c>
      <c r="V77" t="n">
        <v>0.9</v>
      </c>
      <c r="W77" t="n">
        <v>0.17</v>
      </c>
      <c r="X77" t="n">
        <v>16.75</v>
      </c>
      <c r="Y77" t="n">
        <v>13.57</v>
      </c>
      <c r="Z77" t="n">
        <v>5647692.68</v>
      </c>
      <c r="AA77" t="n">
        <v>7.68</v>
      </c>
      <c r="AB77" t="n">
        <v>0.91</v>
      </c>
      <c r="AC77" t="n">
        <v>0.05</v>
      </c>
      <c r="AD77" t="n">
        <v>3364592382.24</v>
      </c>
    </row>
    <row r="78">
      <c r="A78" t="inlineStr">
        <is>
          <t>BMIN3</t>
        </is>
      </c>
      <c r="B78" t="n">
        <v>21.49</v>
      </c>
      <c r="C78" t="n">
        <v>2.38</v>
      </c>
      <c r="D78" t="n">
        <v>9.140000000000001</v>
      </c>
      <c r="E78" t="n">
        <v>0.71</v>
      </c>
      <c r="F78" t="n">
        <v>0.16</v>
      </c>
      <c r="G78" t="n">
        <v>-0.28</v>
      </c>
      <c r="H78" t="n">
        <v>17.5</v>
      </c>
      <c r="I78" t="n">
        <v>15.93</v>
      </c>
      <c r="J78" t="n">
        <v>8.32</v>
      </c>
      <c r="K78" t="n">
        <v>8.17</v>
      </c>
      <c r="N78" t="n">
        <v>1.46</v>
      </c>
      <c r="O78" t="n">
        <v>98.01000000000001</v>
      </c>
      <c r="P78" t="n">
        <v>-0.16</v>
      </c>
      <c r="R78" t="n">
        <v>7.82</v>
      </c>
      <c r="S78" t="n">
        <v>1.79</v>
      </c>
      <c r="U78" t="n">
        <v>0.23</v>
      </c>
      <c r="V78" t="n">
        <v>0.77</v>
      </c>
      <c r="W78" t="n">
        <v>0.11</v>
      </c>
      <c r="X78" t="n">
        <v>44.93</v>
      </c>
      <c r="Y78" t="n">
        <v>35.83</v>
      </c>
      <c r="Z78" t="n">
        <v>0</v>
      </c>
      <c r="AA78" t="n">
        <v>30.06</v>
      </c>
      <c r="AB78" t="n">
        <v>2.35</v>
      </c>
      <c r="AC78" t="n">
        <v>0.25</v>
      </c>
      <c r="AD78" t="n">
        <v>101847176.2</v>
      </c>
    </row>
    <row r="79">
      <c r="A79" t="inlineStr">
        <is>
          <t>BMIN4</t>
        </is>
      </c>
      <c r="B79" t="n">
        <v>18.89</v>
      </c>
      <c r="C79" t="n">
        <v>7.41</v>
      </c>
      <c r="D79" t="n">
        <v>8.029999999999999</v>
      </c>
      <c r="E79" t="n">
        <v>0.63</v>
      </c>
      <c r="F79" t="n">
        <v>0.14</v>
      </c>
      <c r="G79" t="n">
        <v>-0.28</v>
      </c>
      <c r="H79" t="n">
        <v>17.5</v>
      </c>
      <c r="I79" t="n">
        <v>15.93</v>
      </c>
      <c r="J79" t="n">
        <v>7.31</v>
      </c>
      <c r="K79" t="n">
        <v>8.17</v>
      </c>
      <c r="N79" t="n">
        <v>1.28</v>
      </c>
      <c r="O79" t="n">
        <v>86.15000000000001</v>
      </c>
      <c r="P79" t="n">
        <v>-0.14</v>
      </c>
      <c r="R79" t="n">
        <v>7.82</v>
      </c>
      <c r="S79" t="n">
        <v>1.79</v>
      </c>
      <c r="U79" t="n">
        <v>0.23</v>
      </c>
      <c r="V79" t="n">
        <v>0.77</v>
      </c>
      <c r="W79" t="n">
        <v>0.11</v>
      </c>
      <c r="X79" t="n">
        <v>44.93</v>
      </c>
      <c r="Y79" t="n">
        <v>35.83</v>
      </c>
      <c r="Z79" t="n">
        <v>1300.71</v>
      </c>
      <c r="AA79" t="n">
        <v>30.06</v>
      </c>
      <c r="AB79" t="n">
        <v>2.35</v>
      </c>
      <c r="AC79" t="n">
        <v>0.22</v>
      </c>
      <c r="AD79" t="n">
        <v>101847176.2</v>
      </c>
    </row>
    <row r="80">
      <c r="A80" t="inlineStr">
        <is>
          <t>BMKS3</t>
        </is>
      </c>
      <c r="B80" t="n">
        <v>377.03</v>
      </c>
      <c r="C80" t="n">
        <v>34.5</v>
      </c>
      <c r="D80" t="n">
        <v>2.88</v>
      </c>
      <c r="E80" t="n">
        <v>0.83</v>
      </c>
      <c r="F80" t="n">
        <v>0.68</v>
      </c>
      <c r="G80" t="n">
        <v>28.02</v>
      </c>
      <c r="H80" t="n">
        <v>-188.07</v>
      </c>
      <c r="I80" t="n">
        <v>445.49</v>
      </c>
      <c r="J80" t="n">
        <v>-6.82</v>
      </c>
      <c r="K80" t="n">
        <v>-0.36</v>
      </c>
      <c r="L80" t="n">
        <v>6.46</v>
      </c>
      <c r="M80" t="n">
        <v>-0.79</v>
      </c>
      <c r="N80" t="n">
        <v>12.82</v>
      </c>
      <c r="O80" t="n">
        <v>1.05</v>
      </c>
      <c r="P80" t="n">
        <v>-2.45</v>
      </c>
      <c r="Q80" t="n">
        <v>9.609999999999999</v>
      </c>
      <c r="R80" t="n">
        <v>28.82</v>
      </c>
      <c r="S80" t="n">
        <v>23.68</v>
      </c>
      <c r="T80" t="n">
        <v>-29.61</v>
      </c>
      <c r="U80" t="n">
        <v>0.82</v>
      </c>
      <c r="V80" t="n">
        <v>0.18</v>
      </c>
      <c r="W80" t="n">
        <v>0.05</v>
      </c>
      <c r="X80" t="n">
        <v>-7.83</v>
      </c>
      <c r="Y80" t="n">
        <v>76.45</v>
      </c>
      <c r="Z80" t="n">
        <v>9691.27</v>
      </c>
      <c r="AA80" t="n">
        <v>454.44</v>
      </c>
      <c r="AB80" t="n">
        <v>130.97</v>
      </c>
      <c r="AC80" t="n">
        <v>0.01</v>
      </c>
      <c r="AD80" t="n">
        <v>171454392.5</v>
      </c>
    </row>
    <row r="81">
      <c r="A81" t="inlineStr">
        <is>
          <t>BMOB3</t>
        </is>
      </c>
      <c r="B81" t="n">
        <v>22.73</v>
      </c>
      <c r="C81" t="n">
        <v>9.390000000000001</v>
      </c>
      <c r="D81" t="n">
        <v>12.18</v>
      </c>
      <c r="E81" t="n">
        <v>2</v>
      </c>
      <c r="F81" t="n">
        <v>0.96</v>
      </c>
      <c r="G81" t="n">
        <v>26.29</v>
      </c>
      <c r="H81" t="n">
        <v>8.83</v>
      </c>
      <c r="I81" t="n">
        <v>8.91</v>
      </c>
      <c r="J81" t="n">
        <v>12.3</v>
      </c>
      <c r="K81" t="n">
        <v>10.38</v>
      </c>
      <c r="L81" t="n">
        <v>-1.95</v>
      </c>
      <c r="M81" t="n">
        <v>-0.32</v>
      </c>
      <c r="N81" t="n">
        <v>1.09</v>
      </c>
      <c r="O81" t="n">
        <v>3.08</v>
      </c>
      <c r="P81" t="n">
        <v>-3.34</v>
      </c>
      <c r="Q81" t="n">
        <v>1.78</v>
      </c>
      <c r="R81" t="n">
        <v>16.39</v>
      </c>
      <c r="S81" t="n">
        <v>7.88</v>
      </c>
      <c r="T81" t="n">
        <v>12.15</v>
      </c>
      <c r="U81" t="n">
        <v>0.48</v>
      </c>
      <c r="V81" t="n">
        <v>0.51</v>
      </c>
      <c r="W81" t="n">
        <v>0.88</v>
      </c>
      <c r="X81" t="n">
        <v>58.14</v>
      </c>
      <c r="Y81" t="n">
        <v>34.91</v>
      </c>
      <c r="Z81" t="n">
        <v>5964922.73</v>
      </c>
      <c r="AA81" t="n">
        <v>11.38</v>
      </c>
      <c r="AB81" t="n">
        <v>1.87</v>
      </c>
      <c r="AC81" t="n">
        <v>0.51</v>
      </c>
      <c r="AD81" t="n">
        <v>1950159169.76</v>
      </c>
    </row>
    <row r="82">
      <c r="A82" t="inlineStr">
        <is>
          <t>BNBR3</t>
        </is>
      </c>
      <c r="B82" t="n">
        <v>118.5</v>
      </c>
      <c r="C82" t="n">
        <v>5.93</v>
      </c>
      <c r="D82" t="n">
        <v>3.62</v>
      </c>
      <c r="E82" t="n">
        <v>0.7</v>
      </c>
      <c r="F82" t="n">
        <v>0.15</v>
      </c>
      <c r="G82" t="n">
        <v>50.15</v>
      </c>
      <c r="H82" t="n">
        <v>48.49</v>
      </c>
      <c r="I82" t="n">
        <v>30.82</v>
      </c>
      <c r="J82" t="n">
        <v>2.3</v>
      </c>
      <c r="K82" t="n">
        <v>2.3</v>
      </c>
      <c r="N82" t="n">
        <v>1.12</v>
      </c>
      <c r="O82" t="n">
        <v>2.27</v>
      </c>
      <c r="P82" t="n">
        <v>-0.17</v>
      </c>
      <c r="R82" t="n">
        <v>19.46</v>
      </c>
      <c r="S82" t="n">
        <v>4.27</v>
      </c>
      <c r="U82" t="n">
        <v>0.22</v>
      </c>
      <c r="V82" t="n">
        <v>0.78</v>
      </c>
      <c r="W82" t="n">
        <v>0.14</v>
      </c>
      <c r="X82" t="n">
        <v>20.69</v>
      </c>
      <c r="Y82" t="n">
        <v>25.95</v>
      </c>
      <c r="Z82" t="n">
        <v>18273.48</v>
      </c>
      <c r="AA82" t="n">
        <v>168.19</v>
      </c>
      <c r="AB82" t="n">
        <v>32.73</v>
      </c>
      <c r="AC82" t="n">
        <v>0.08</v>
      </c>
      <c r="AD82" t="n">
        <v>11695920256.5</v>
      </c>
    </row>
    <row r="83">
      <c r="A83" t="inlineStr">
        <is>
          <t>BOAS3</t>
        </is>
      </c>
      <c r="B83" t="n">
        <v>7.95</v>
      </c>
      <c r="D83" t="n">
        <v>15.22</v>
      </c>
      <c r="E83" t="n">
        <v>1.83</v>
      </c>
      <c r="F83" t="n">
        <v>1.7</v>
      </c>
      <c r="G83" t="n">
        <v>56.53</v>
      </c>
      <c r="H83" t="n">
        <v>19.25</v>
      </c>
      <c r="I83" t="n">
        <v>32.39</v>
      </c>
      <c r="J83" t="n">
        <v>25.6</v>
      </c>
      <c r="K83" t="n">
        <v>18.69</v>
      </c>
      <c r="L83" t="n">
        <v>-6.92</v>
      </c>
      <c r="M83" t="n">
        <v>-0.5</v>
      </c>
      <c r="N83" t="n">
        <v>4.93</v>
      </c>
      <c r="O83" t="n">
        <v>3.34</v>
      </c>
      <c r="P83" t="n">
        <v>-3.8</v>
      </c>
      <c r="Q83" t="n">
        <v>12.37</v>
      </c>
      <c r="R83" t="n">
        <v>12.04</v>
      </c>
      <c r="S83" t="n">
        <v>11.16</v>
      </c>
      <c r="T83" t="n">
        <v>0.99</v>
      </c>
      <c r="U83" t="n">
        <v>0.93</v>
      </c>
      <c r="V83" t="n">
        <v>0.07000000000000001</v>
      </c>
      <c r="W83" t="n">
        <v>0.34</v>
      </c>
      <c r="X83" t="n">
        <v>8.81</v>
      </c>
      <c r="Y83" t="n">
        <v>74.34</v>
      </c>
      <c r="AA83" t="n">
        <v>4.34</v>
      </c>
      <c r="AB83" t="n">
        <v>0.52</v>
      </c>
      <c r="AC83" t="n">
        <v>5.59</v>
      </c>
      <c r="AD83" t="n">
        <v>4212250617.75</v>
      </c>
    </row>
    <row r="84">
      <c r="A84" t="inlineStr">
        <is>
          <t>BOBR3</t>
        </is>
      </c>
      <c r="B84" t="n">
        <v>1</v>
      </c>
      <c r="D84" t="n">
        <v>3.83</v>
      </c>
      <c r="E84" t="n">
        <v>-0.17</v>
      </c>
      <c r="F84" t="n">
        <v>0.29</v>
      </c>
      <c r="G84" t="n">
        <v>40.32</v>
      </c>
      <c r="H84" t="n">
        <v>11.06</v>
      </c>
      <c r="I84" t="n">
        <v>3.93</v>
      </c>
      <c r="J84" t="n">
        <v>1.36</v>
      </c>
      <c r="K84" t="n">
        <v>2.19</v>
      </c>
      <c r="L84" t="n">
        <v>0.68</v>
      </c>
      <c r="N84" t="n">
        <v>0.15</v>
      </c>
      <c r="O84" t="n">
        <v>-1.73</v>
      </c>
      <c r="P84" t="n">
        <v>-0.54</v>
      </c>
      <c r="Q84" t="n">
        <v>0.74</v>
      </c>
      <c r="R84" t="n">
        <v>-4.42</v>
      </c>
      <c r="S84" t="n">
        <v>7.48</v>
      </c>
      <c r="T84" t="n">
        <v>-11.64</v>
      </c>
      <c r="U84" t="n">
        <v>-1.69</v>
      </c>
      <c r="V84" t="n">
        <v>2.69</v>
      </c>
      <c r="W84" t="n">
        <v>1.9</v>
      </c>
      <c r="X84" t="n">
        <v>8.44</v>
      </c>
      <c r="Y84" t="n">
        <v>11.22</v>
      </c>
      <c r="AA84" t="n">
        <v>-5.91</v>
      </c>
      <c r="AB84" t="n">
        <v>0.26</v>
      </c>
      <c r="AC84" t="n">
        <v>-0.04</v>
      </c>
      <c r="AD84" t="n">
        <v>288775505.26</v>
      </c>
    </row>
    <row r="85">
      <c r="A85" t="inlineStr">
        <is>
          <t>BOBR4</t>
        </is>
      </c>
      <c r="B85" t="n">
        <v>1.23</v>
      </c>
      <c r="D85" t="n">
        <v>4.71</v>
      </c>
      <c r="E85" t="n">
        <v>-0.21</v>
      </c>
      <c r="F85" t="n">
        <v>0.35</v>
      </c>
      <c r="G85" t="n">
        <v>40.32</v>
      </c>
      <c r="H85" t="n">
        <v>11.06</v>
      </c>
      <c r="I85" t="n">
        <v>3.93</v>
      </c>
      <c r="J85" t="n">
        <v>1.68</v>
      </c>
      <c r="K85" t="n">
        <v>2.19</v>
      </c>
      <c r="L85" t="n">
        <v>0.68</v>
      </c>
      <c r="N85" t="n">
        <v>0.19</v>
      </c>
      <c r="O85" t="n">
        <v>-2.13</v>
      </c>
      <c r="P85" t="n">
        <v>-0.67</v>
      </c>
      <c r="Q85" t="n">
        <v>0.74</v>
      </c>
      <c r="R85" t="n">
        <v>-4.42</v>
      </c>
      <c r="S85" t="n">
        <v>7.48</v>
      </c>
      <c r="T85" t="n">
        <v>-11.64</v>
      </c>
      <c r="U85" t="n">
        <v>-1.69</v>
      </c>
      <c r="V85" t="n">
        <v>2.69</v>
      </c>
      <c r="W85" t="n">
        <v>1.9</v>
      </c>
      <c r="X85" t="n">
        <v>8.44</v>
      </c>
      <c r="Y85" t="n">
        <v>11.22</v>
      </c>
      <c r="Z85" t="n">
        <v>3370.05</v>
      </c>
      <c r="AA85" t="n">
        <v>-5.91</v>
      </c>
      <c r="AB85" t="n">
        <v>0.26</v>
      </c>
      <c r="AC85" t="n">
        <v>-0.05</v>
      </c>
      <c r="AD85" t="n">
        <v>288775505.26</v>
      </c>
    </row>
    <row r="86">
      <c r="A86" t="inlineStr">
        <is>
          <t>BPAC11</t>
        </is>
      </c>
      <c r="B86" t="n">
        <v>55.03</v>
      </c>
      <c r="C86" t="n">
        <v>2.27</v>
      </c>
      <c r="D86" t="n">
        <v>12.18</v>
      </c>
      <c r="E86" t="n">
        <v>2.74</v>
      </c>
      <c r="F86" t="n">
        <v>0.25</v>
      </c>
      <c r="G86" t="n">
        <v>21.43</v>
      </c>
      <c r="H86" t="n">
        <v>29.09</v>
      </c>
      <c r="I86" t="n">
        <v>26.78</v>
      </c>
      <c r="J86" t="n">
        <v>11.21</v>
      </c>
      <c r="K86" t="n">
        <v>11.2</v>
      </c>
      <c r="N86" t="n">
        <v>3.26</v>
      </c>
      <c r="O86" t="n">
        <v>-0.34</v>
      </c>
      <c r="P86" t="n">
        <v>-0.25</v>
      </c>
      <c r="Q86" t="n">
        <v>0.01</v>
      </c>
      <c r="R86" t="n">
        <v>22.52</v>
      </c>
      <c r="S86" t="n">
        <v>2.07</v>
      </c>
      <c r="U86" t="n">
        <v>0.09</v>
      </c>
      <c r="V86" t="n">
        <v>0.9</v>
      </c>
      <c r="W86" t="n">
        <v>0.08</v>
      </c>
      <c r="X86" t="n">
        <v>16.36</v>
      </c>
      <c r="Y86" t="n">
        <v>39.92</v>
      </c>
      <c r="Z86" t="n">
        <v>434992406.82</v>
      </c>
      <c r="AA86" t="n">
        <v>20.08</v>
      </c>
      <c r="AB86" t="n">
        <v>4.52</v>
      </c>
      <c r="AC86" t="n">
        <v>0.22</v>
      </c>
      <c r="AD86" t="n">
        <v>213912263331.78</v>
      </c>
    </row>
    <row r="87">
      <c r="A87" t="inlineStr">
        <is>
          <t>BPAC3</t>
        </is>
      </c>
      <c r="B87" t="n">
        <v>21.72</v>
      </c>
      <c r="C87" t="n">
        <v>1.91</v>
      </c>
      <c r="D87" t="n">
        <v>14.41</v>
      </c>
      <c r="E87" t="n">
        <v>3.25</v>
      </c>
      <c r="F87" t="n">
        <v>0.3</v>
      </c>
      <c r="G87" t="n">
        <v>21.43</v>
      </c>
      <c r="H87" t="n">
        <v>29.09</v>
      </c>
      <c r="I87" t="n">
        <v>26.78</v>
      </c>
      <c r="J87" t="n">
        <v>13.27</v>
      </c>
      <c r="K87" t="n">
        <v>11.2</v>
      </c>
      <c r="N87" t="n">
        <v>3.86</v>
      </c>
      <c r="O87" t="n">
        <v>-0.4</v>
      </c>
      <c r="P87" t="n">
        <v>-0.3</v>
      </c>
      <c r="Q87" t="n">
        <v>0.01</v>
      </c>
      <c r="R87" t="n">
        <v>22.52</v>
      </c>
      <c r="S87" t="n">
        <v>2.07</v>
      </c>
      <c r="U87" t="n">
        <v>0.09</v>
      </c>
      <c r="V87" t="n">
        <v>0.9</v>
      </c>
      <c r="W87" t="n">
        <v>0.08</v>
      </c>
      <c r="X87" t="n">
        <v>16.36</v>
      </c>
      <c r="Y87" t="n">
        <v>39.92</v>
      </c>
      <c r="Z87" t="n">
        <v>429722.27</v>
      </c>
      <c r="AA87" t="n">
        <v>6.69</v>
      </c>
      <c r="AB87" t="n">
        <v>1.51</v>
      </c>
      <c r="AC87" t="n">
        <v>0.26</v>
      </c>
      <c r="AD87" t="n">
        <v>213912263331.78</v>
      </c>
    </row>
    <row r="88">
      <c r="A88" t="inlineStr">
        <is>
          <t>BPAC5</t>
        </is>
      </c>
      <c r="B88" t="n">
        <v>17.65</v>
      </c>
      <c r="C88" t="n">
        <v>2.36</v>
      </c>
      <c r="D88" t="n">
        <v>11.71</v>
      </c>
      <c r="E88" t="n">
        <v>2.64</v>
      </c>
      <c r="F88" t="n">
        <v>0.24</v>
      </c>
      <c r="G88" t="n">
        <v>21.43</v>
      </c>
      <c r="H88" t="n">
        <v>29.09</v>
      </c>
      <c r="I88" t="n">
        <v>26.78</v>
      </c>
      <c r="J88" t="n">
        <v>10.78</v>
      </c>
      <c r="K88" t="n">
        <v>11.2</v>
      </c>
      <c r="N88" t="n">
        <v>3.14</v>
      </c>
      <c r="O88" t="n">
        <v>-0.32</v>
      </c>
      <c r="P88" t="n">
        <v>-0.24</v>
      </c>
      <c r="Q88" t="n">
        <v>0.01</v>
      </c>
      <c r="R88" t="n">
        <v>22.52</v>
      </c>
      <c r="S88" t="n">
        <v>2.07</v>
      </c>
      <c r="U88" t="n">
        <v>0.09</v>
      </c>
      <c r="V88" t="n">
        <v>0.9</v>
      </c>
      <c r="W88" t="n">
        <v>0.08</v>
      </c>
      <c r="X88" t="n">
        <v>16.36</v>
      </c>
      <c r="Y88" t="n">
        <v>39.92</v>
      </c>
      <c r="Z88" t="n">
        <v>291331.36</v>
      </c>
      <c r="AA88" t="n">
        <v>6.69</v>
      </c>
      <c r="AB88" t="n">
        <v>1.51</v>
      </c>
      <c r="AC88" t="n">
        <v>0.21</v>
      </c>
      <c r="AD88" t="n">
        <v>213912263331.78</v>
      </c>
    </row>
    <row r="89">
      <c r="A89" t="inlineStr">
        <is>
          <t>BPAN4</t>
        </is>
      </c>
      <c r="B89" t="n">
        <v>12.71</v>
      </c>
      <c r="D89" t="n">
        <v>41.58</v>
      </c>
      <c r="E89" t="n">
        <v>2.12</v>
      </c>
      <c r="F89" t="n">
        <v>0.23</v>
      </c>
      <c r="G89" t="n">
        <v>34.9</v>
      </c>
      <c r="H89" t="n">
        <v>0.19</v>
      </c>
      <c r="I89" t="n">
        <v>2.58</v>
      </c>
      <c r="J89" t="n">
        <v>565.76</v>
      </c>
      <c r="K89" t="n">
        <v>565.76</v>
      </c>
      <c r="N89" t="n">
        <v>1.07</v>
      </c>
      <c r="O89" t="n">
        <v>-523.71</v>
      </c>
      <c r="P89" t="n">
        <v>-0.23</v>
      </c>
      <c r="Q89" t="n">
        <v>0.05</v>
      </c>
      <c r="R89" t="n">
        <v>5.1</v>
      </c>
      <c r="S89" t="n">
        <v>0.5600000000000001</v>
      </c>
      <c r="U89" t="n">
        <v>0.11</v>
      </c>
      <c r="V89" t="n">
        <v>0.89</v>
      </c>
      <c r="W89" t="n">
        <v>0.22</v>
      </c>
      <c r="X89" t="n">
        <v>10.77</v>
      </c>
      <c r="Y89" t="n">
        <v>-9</v>
      </c>
      <c r="Z89" t="n">
        <v>114514167</v>
      </c>
      <c r="AA89" t="n">
        <v>5.99</v>
      </c>
      <c r="AB89" t="n">
        <v>0.31</v>
      </c>
      <c r="AC89" t="n">
        <v>-1.09</v>
      </c>
      <c r="AD89" t="n">
        <v>16129880843.9</v>
      </c>
    </row>
    <row r="90">
      <c r="A90" t="inlineStr">
        <is>
          <t>BPAR3</t>
        </is>
      </c>
      <c r="B90" t="n">
        <v>180</v>
      </c>
      <c r="C90" t="n">
        <v>4.45</v>
      </c>
      <c r="D90" t="n">
        <v>9.16</v>
      </c>
      <c r="E90" t="n">
        <v>0.77</v>
      </c>
      <c r="F90" t="n">
        <v>0.09</v>
      </c>
      <c r="G90" t="n">
        <v>46.04</v>
      </c>
      <c r="H90" t="n">
        <v>10.7</v>
      </c>
      <c r="I90" t="n">
        <v>4.81</v>
      </c>
      <c r="J90" t="n">
        <v>4.11</v>
      </c>
      <c r="K90" t="n">
        <v>4.11</v>
      </c>
      <c r="N90" t="n">
        <v>0.44</v>
      </c>
      <c r="O90" t="n">
        <v>7.61</v>
      </c>
      <c r="P90" t="n">
        <v>-0.09</v>
      </c>
      <c r="R90" t="n">
        <v>8.41</v>
      </c>
      <c r="S90" t="n">
        <v>0.96</v>
      </c>
      <c r="U90" t="n">
        <v>0.11</v>
      </c>
      <c r="V90" t="n">
        <v>0.89</v>
      </c>
      <c r="W90" t="n">
        <v>0.2</v>
      </c>
      <c r="X90" t="n">
        <v>19.38</v>
      </c>
      <c r="Y90" t="n">
        <v>-4.95</v>
      </c>
      <c r="AA90" t="n">
        <v>233.59</v>
      </c>
      <c r="AB90" t="n">
        <v>19.66</v>
      </c>
      <c r="AC90" t="n">
        <v>-0.2</v>
      </c>
      <c r="AD90" t="n">
        <v>1713896820</v>
      </c>
    </row>
    <row r="91">
      <c r="A91" t="inlineStr">
        <is>
          <t>BPAT33</t>
        </is>
      </c>
      <c r="B91" t="n">
        <v>44.05</v>
      </c>
      <c r="D91" t="n">
        <v>6.98</v>
      </c>
      <c r="E91" t="n">
        <v>0.66</v>
      </c>
      <c r="F91" t="n">
        <v>0.09</v>
      </c>
      <c r="G91" t="n">
        <v>51.56</v>
      </c>
      <c r="H91" t="n">
        <v>21.77</v>
      </c>
      <c r="I91" t="n">
        <v>5.61</v>
      </c>
      <c r="J91" t="n">
        <v>1.8</v>
      </c>
      <c r="K91" t="n">
        <v>1.8</v>
      </c>
      <c r="N91" t="n">
        <v>0.39</v>
      </c>
      <c r="P91" t="n">
        <v>-0.12</v>
      </c>
      <c r="R91" t="n">
        <v>9.460000000000001</v>
      </c>
      <c r="S91" t="n">
        <v>1.35</v>
      </c>
      <c r="U91" t="n">
        <v>0.14</v>
      </c>
      <c r="V91" t="n">
        <v>0.86</v>
      </c>
      <c r="W91" t="n">
        <v>0.24</v>
      </c>
      <c r="X91" t="n">
        <v>14.99</v>
      </c>
      <c r="Y91" t="n">
        <v>-18.89</v>
      </c>
      <c r="AA91" t="n">
        <v>66.70999999999999</v>
      </c>
      <c r="AB91" t="n">
        <v>6.31</v>
      </c>
      <c r="AC91" t="n">
        <v>-0.11</v>
      </c>
      <c r="AD91" t="n">
        <v>1533769021</v>
      </c>
    </row>
    <row r="92">
      <c r="A92" t="inlineStr">
        <is>
          <t>BPHA3</t>
        </is>
      </c>
      <c r="B92" t="n">
        <v>0.62</v>
      </c>
      <c r="D92" t="n">
        <v>0.06</v>
      </c>
      <c r="E92" t="n">
        <v>-0.24</v>
      </c>
      <c r="F92" t="n">
        <v>0.99</v>
      </c>
      <c r="G92" t="n">
        <v>98.02</v>
      </c>
      <c r="H92" t="n">
        <v>1029.99</v>
      </c>
      <c r="I92" t="n">
        <v>13896.67</v>
      </c>
      <c r="J92" t="n">
        <v>0.8</v>
      </c>
      <c r="K92" t="n">
        <v>1.66</v>
      </c>
      <c r="L92" t="n">
        <v>0.85</v>
      </c>
      <c r="N92" t="n">
        <v>8.279999999999999</v>
      </c>
      <c r="O92" t="n">
        <v>-0.38</v>
      </c>
      <c r="P92" t="n">
        <v>-1.18</v>
      </c>
      <c r="Q92" t="n">
        <v>0.06</v>
      </c>
      <c r="R92" t="n">
        <v>-402.5</v>
      </c>
      <c r="S92" t="n">
        <v>1669.02</v>
      </c>
      <c r="T92" t="n">
        <v>-36.75</v>
      </c>
      <c r="U92" t="n">
        <v>-4.15</v>
      </c>
      <c r="V92" t="n">
        <v>5.15</v>
      </c>
      <c r="W92" t="n">
        <v>0.12</v>
      </c>
      <c r="X92" t="n">
        <v>-68.84999999999999</v>
      </c>
      <c r="AA92" t="n">
        <v>-2.58</v>
      </c>
      <c r="AB92" t="n">
        <v>10.4</v>
      </c>
      <c r="AC92" t="n">
        <v>0</v>
      </c>
      <c r="AD92" t="n">
        <v>70110298.73999999</v>
      </c>
    </row>
    <row r="93">
      <c r="A93" t="inlineStr">
        <is>
          <t>BRAP3</t>
        </is>
      </c>
      <c r="B93" t="n">
        <v>18.49</v>
      </c>
      <c r="C93" t="n">
        <v>11.59</v>
      </c>
      <c r="D93" t="n">
        <v>9.289999999999999</v>
      </c>
      <c r="E93" t="n">
        <v>0.93</v>
      </c>
      <c r="F93" t="n">
        <v>0.92</v>
      </c>
      <c r="J93" t="n">
        <v>10.25</v>
      </c>
      <c r="K93" t="n">
        <v>11.03</v>
      </c>
      <c r="L93" t="n">
        <v>-0.36</v>
      </c>
      <c r="M93" t="n">
        <v>-0.03</v>
      </c>
      <c r="O93" t="n">
        <v>34.02</v>
      </c>
      <c r="P93" t="n">
        <v>-0.95</v>
      </c>
      <c r="Q93" t="n">
        <v>5.99</v>
      </c>
      <c r="R93" t="n">
        <v>10</v>
      </c>
      <c r="S93" t="n">
        <v>9.94</v>
      </c>
      <c r="T93" t="n">
        <v>9.06</v>
      </c>
      <c r="U93" t="n">
        <v>0.99</v>
      </c>
      <c r="V93" t="n">
        <v>0.01</v>
      </c>
      <c r="W93" t="n">
        <v>0</v>
      </c>
      <c r="Y93" t="n">
        <v>-11.82</v>
      </c>
      <c r="Z93" t="n">
        <v>602502.09</v>
      </c>
      <c r="AA93" t="n">
        <v>19.9</v>
      </c>
      <c r="AB93" t="n">
        <v>1.99</v>
      </c>
      <c r="AC93" t="n">
        <v>-0.28</v>
      </c>
      <c r="AD93" t="n">
        <v>8071525000.02</v>
      </c>
    </row>
    <row r="94">
      <c r="A94" t="inlineStr">
        <is>
          <t>BRAP4</t>
        </is>
      </c>
      <c r="B94" t="n">
        <v>21.69</v>
      </c>
      <c r="C94" t="n">
        <v>10.87</v>
      </c>
      <c r="D94" t="n">
        <v>10.9</v>
      </c>
      <c r="E94" t="n">
        <v>1.09</v>
      </c>
      <c r="F94" t="n">
        <v>1.08</v>
      </c>
      <c r="J94" t="n">
        <v>12.03</v>
      </c>
      <c r="K94" t="n">
        <v>11.03</v>
      </c>
      <c r="L94" t="n">
        <v>-0.36</v>
      </c>
      <c r="M94" t="n">
        <v>-0.03</v>
      </c>
      <c r="O94" t="n">
        <v>39.9</v>
      </c>
      <c r="P94" t="n">
        <v>-1.12</v>
      </c>
      <c r="Q94" t="n">
        <v>5.99</v>
      </c>
      <c r="R94" t="n">
        <v>10</v>
      </c>
      <c r="S94" t="n">
        <v>9.94</v>
      </c>
      <c r="T94" t="n">
        <v>9.06</v>
      </c>
      <c r="U94" t="n">
        <v>0.99</v>
      </c>
      <c r="V94" t="n">
        <v>0.01</v>
      </c>
      <c r="W94" t="n">
        <v>0</v>
      </c>
      <c r="Y94" t="n">
        <v>-11.82</v>
      </c>
      <c r="Z94" t="n">
        <v>37240298.18</v>
      </c>
      <c r="AA94" t="n">
        <v>19.9</v>
      </c>
      <c r="AB94" t="n">
        <v>1.99</v>
      </c>
      <c r="AC94" t="n">
        <v>-0.33</v>
      </c>
      <c r="AD94" t="n">
        <v>8071525000.02</v>
      </c>
    </row>
    <row r="95">
      <c r="A95" t="inlineStr">
        <is>
          <t>BRAV3</t>
        </is>
      </c>
      <c r="B95" t="n">
        <v>20.78</v>
      </c>
      <c r="C95" t="n">
        <v>0.6</v>
      </c>
      <c r="D95" t="n">
        <v>41.52</v>
      </c>
      <c r="E95" t="n">
        <v>0.85</v>
      </c>
      <c r="F95" t="n">
        <v>0.23</v>
      </c>
      <c r="G95" t="n">
        <v>27.81</v>
      </c>
      <c r="H95" t="n">
        <v>21.05</v>
      </c>
      <c r="I95" t="n">
        <v>1.96</v>
      </c>
      <c r="J95" t="n">
        <v>3.86</v>
      </c>
      <c r="K95" t="n">
        <v>8.119999999999999</v>
      </c>
      <c r="L95" t="n">
        <v>4.25</v>
      </c>
      <c r="M95" t="n">
        <v>0.93</v>
      </c>
      <c r="N95" t="n">
        <v>0.8100000000000001</v>
      </c>
      <c r="O95" t="n">
        <v>10.76</v>
      </c>
      <c r="P95" t="n">
        <v>-0.28</v>
      </c>
      <c r="Q95" t="n">
        <v>1.12</v>
      </c>
      <c r="R95" t="n">
        <v>2.04</v>
      </c>
      <c r="S95" t="n">
        <v>0.55</v>
      </c>
      <c r="T95" t="n">
        <v>3.26</v>
      </c>
      <c r="U95" t="n">
        <v>0.27</v>
      </c>
      <c r="V95" t="n">
        <v>0.73</v>
      </c>
      <c r="W95" t="n">
        <v>0.28</v>
      </c>
      <c r="X95" t="n">
        <v>124.4</v>
      </c>
      <c r="Z95" t="n">
        <v>129183799.14</v>
      </c>
      <c r="AA95" t="n">
        <v>24.56</v>
      </c>
      <c r="AB95" t="n">
        <v>0.5</v>
      </c>
      <c r="AC95" t="n">
        <v>0.83</v>
      </c>
      <c r="AD95" t="n">
        <v>9690664610.48</v>
      </c>
    </row>
    <row r="96">
      <c r="A96" t="inlineStr">
        <is>
          <t>BRBI11</t>
        </is>
      </c>
      <c r="B96" t="n">
        <v>14.1</v>
      </c>
      <c r="C96" t="n">
        <v>11.06</v>
      </c>
      <c r="D96" t="n">
        <v>8.73</v>
      </c>
      <c r="E96" t="n">
        <v>1.87</v>
      </c>
      <c r="F96" t="n">
        <v>0.08</v>
      </c>
      <c r="G96" t="n">
        <v>100</v>
      </c>
      <c r="H96" t="n">
        <v>2.94</v>
      </c>
      <c r="I96" t="n">
        <v>52.02</v>
      </c>
      <c r="J96" t="n">
        <v>154.26</v>
      </c>
      <c r="K96" t="n">
        <v>27.69</v>
      </c>
      <c r="L96" t="n">
        <v>-126.79</v>
      </c>
      <c r="M96" t="n">
        <v>-1.53</v>
      </c>
      <c r="N96" t="n">
        <v>4.54</v>
      </c>
      <c r="O96" t="n">
        <v>2.55</v>
      </c>
      <c r="P96" t="n">
        <v>-6.93</v>
      </c>
      <c r="Q96" t="n">
        <v>1.03</v>
      </c>
      <c r="R96" t="n">
        <v>21.38</v>
      </c>
      <c r="S96" t="n">
        <v>0.93</v>
      </c>
      <c r="T96" t="n">
        <v>-0.23</v>
      </c>
      <c r="U96" t="n">
        <v>0.04</v>
      </c>
      <c r="V96" t="n">
        <v>0.96</v>
      </c>
      <c r="W96" t="n">
        <v>0.02</v>
      </c>
      <c r="X96" t="n">
        <v>-23.54</v>
      </c>
      <c r="Y96" t="n">
        <v>13.84</v>
      </c>
      <c r="Z96" t="n">
        <v>2995893</v>
      </c>
      <c r="AA96" t="n">
        <v>7.56</v>
      </c>
      <c r="AB96" t="n">
        <v>1.62</v>
      </c>
      <c r="AC96" t="n">
        <v>-0.93</v>
      </c>
      <c r="AD96" t="n">
        <v>1482539340.48</v>
      </c>
    </row>
    <row r="97">
      <c r="A97" t="inlineStr">
        <is>
          <t>BRBI3</t>
        </is>
      </c>
      <c r="B97" t="n">
        <v>0</v>
      </c>
      <c r="D97" t="n">
        <v>0</v>
      </c>
      <c r="E97" t="n">
        <v>0</v>
      </c>
      <c r="F97" t="n">
        <v>0</v>
      </c>
      <c r="G97" t="n">
        <v>100</v>
      </c>
      <c r="H97" t="n">
        <v>2.94</v>
      </c>
      <c r="I97" t="n">
        <v>52.02</v>
      </c>
      <c r="J97" t="n">
        <v>0</v>
      </c>
      <c r="K97" t="n">
        <v>27.69</v>
      </c>
      <c r="L97" t="n">
        <v>-126.79</v>
      </c>
      <c r="M97" t="n">
        <v>-1.53</v>
      </c>
      <c r="N97" t="n">
        <v>0</v>
      </c>
      <c r="O97" t="n">
        <v>0</v>
      </c>
      <c r="P97" t="n">
        <v>0</v>
      </c>
      <c r="Q97" t="n">
        <v>1.03</v>
      </c>
      <c r="R97" t="n">
        <v>21.38</v>
      </c>
      <c r="S97" t="n">
        <v>0.93</v>
      </c>
      <c r="T97" t="n">
        <v>-0.23</v>
      </c>
      <c r="U97" t="n">
        <v>0.04</v>
      </c>
      <c r="V97" t="n">
        <v>0.96</v>
      </c>
      <c r="W97" t="n">
        <v>0.02</v>
      </c>
      <c r="X97" t="n">
        <v>-23.54</v>
      </c>
      <c r="Y97" t="n">
        <v>13.84</v>
      </c>
      <c r="AA97" t="n">
        <v>2.52</v>
      </c>
      <c r="AB97" t="n">
        <v>0.54</v>
      </c>
      <c r="AC97" t="n">
        <v>0</v>
      </c>
      <c r="AD97" t="n">
        <v>1482539340.48</v>
      </c>
    </row>
    <row r="98">
      <c r="A98" t="inlineStr">
        <is>
          <t>BRBI4</t>
        </is>
      </c>
      <c r="B98" t="n">
        <v>0</v>
      </c>
      <c r="D98" t="n">
        <v>0</v>
      </c>
      <c r="E98" t="n">
        <v>0</v>
      </c>
      <c r="F98" t="n">
        <v>0</v>
      </c>
      <c r="G98" t="n">
        <v>100</v>
      </c>
      <c r="H98" t="n">
        <v>2.94</v>
      </c>
      <c r="I98" t="n">
        <v>52.02</v>
      </c>
      <c r="J98" t="n">
        <v>0</v>
      </c>
      <c r="K98" t="n">
        <v>27.69</v>
      </c>
      <c r="L98" t="n">
        <v>-126.79</v>
      </c>
      <c r="M98" t="n">
        <v>-1.53</v>
      </c>
      <c r="N98" t="n">
        <v>0</v>
      </c>
      <c r="O98" t="n">
        <v>0</v>
      </c>
      <c r="P98" t="n">
        <v>0</v>
      </c>
      <c r="Q98" t="n">
        <v>1.03</v>
      </c>
      <c r="R98" t="n">
        <v>21.38</v>
      </c>
      <c r="S98" t="n">
        <v>0.93</v>
      </c>
      <c r="T98" t="n">
        <v>-0.23</v>
      </c>
      <c r="U98" t="n">
        <v>0.04</v>
      </c>
      <c r="V98" t="n">
        <v>0.96</v>
      </c>
      <c r="W98" t="n">
        <v>0.02</v>
      </c>
      <c r="X98" t="n">
        <v>-23.54</v>
      </c>
      <c r="Y98" t="n">
        <v>13.84</v>
      </c>
      <c r="AA98" t="n">
        <v>2.52</v>
      </c>
      <c r="AB98" t="n">
        <v>0.54</v>
      </c>
      <c r="AC98" t="n">
        <v>0</v>
      </c>
      <c r="AD98" t="n">
        <v>1482539340.48</v>
      </c>
    </row>
    <row r="99">
      <c r="A99" t="inlineStr">
        <is>
          <t>BRFS3</t>
        </is>
      </c>
      <c r="B99" t="n">
        <v>17.95</v>
      </c>
      <c r="C99" t="n">
        <v>11.62</v>
      </c>
      <c r="D99" t="n">
        <v>10.21</v>
      </c>
      <c r="E99" t="n">
        <v>2.01</v>
      </c>
      <c r="F99" t="n">
        <v>0.43</v>
      </c>
      <c r="G99" t="n">
        <v>24.77</v>
      </c>
      <c r="H99" t="n">
        <v>9.539999999999999</v>
      </c>
      <c r="I99" t="n">
        <v>4.32</v>
      </c>
      <c r="J99" t="n">
        <v>4.62</v>
      </c>
      <c r="K99" t="n">
        <v>6.96</v>
      </c>
      <c r="L99" t="n">
        <v>2.35</v>
      </c>
      <c r="M99" t="n">
        <v>1.02</v>
      </c>
      <c r="N99" t="n">
        <v>0.44</v>
      </c>
      <c r="O99" t="n">
        <v>3.24</v>
      </c>
      <c r="P99" t="n">
        <v>-0.84</v>
      </c>
      <c r="Q99" t="n">
        <v>1.38</v>
      </c>
      <c r="R99" t="n">
        <v>19.69</v>
      </c>
      <c r="S99" t="n">
        <v>4.23</v>
      </c>
      <c r="T99" t="n">
        <v>10.48</v>
      </c>
      <c r="U99" t="n">
        <v>0.21</v>
      </c>
      <c r="V99" t="n">
        <v>0.77</v>
      </c>
      <c r="W99" t="n">
        <v>0.98</v>
      </c>
      <c r="X99" t="n">
        <v>10.51</v>
      </c>
      <c r="Y99" t="n">
        <v>15.13</v>
      </c>
      <c r="Z99" t="n">
        <v>377952894</v>
      </c>
      <c r="AA99" t="n">
        <v>8.93</v>
      </c>
      <c r="AB99" t="n">
        <v>1.76</v>
      </c>
      <c r="AC99" t="n">
        <v>-0.38</v>
      </c>
      <c r="AD99" t="n">
        <v>28579854639.05</v>
      </c>
    </row>
    <row r="100">
      <c r="A100" t="inlineStr">
        <is>
          <t>BRGE11</t>
        </is>
      </c>
      <c r="B100" t="n">
        <v>13.18</v>
      </c>
      <c r="D100" t="n">
        <v>33.11</v>
      </c>
      <c r="E100" t="n">
        <v>0.52</v>
      </c>
      <c r="F100" t="n">
        <v>0.32</v>
      </c>
      <c r="G100" t="n">
        <v>-4115.33</v>
      </c>
      <c r="H100" t="n">
        <v>-798.17</v>
      </c>
      <c r="I100" t="n">
        <v>824.67</v>
      </c>
      <c r="J100" t="n">
        <v>-34.21</v>
      </c>
      <c r="K100" t="n">
        <v>21.81</v>
      </c>
      <c r="L100" t="n">
        <v>56.17</v>
      </c>
      <c r="M100" t="n">
        <v>-0.85</v>
      </c>
      <c r="N100" t="n">
        <v>273.04</v>
      </c>
      <c r="O100" t="n">
        <v>0.85</v>
      </c>
      <c r="P100" t="n">
        <v>-0.75</v>
      </c>
      <c r="Q100" t="n">
        <v>3.06</v>
      </c>
      <c r="R100" t="n">
        <v>1.56</v>
      </c>
      <c r="S100" t="n">
        <v>0.98</v>
      </c>
      <c r="T100" t="n">
        <v>-2.91</v>
      </c>
      <c r="U100" t="n">
        <v>0.63</v>
      </c>
      <c r="V100" t="n">
        <v>0.37</v>
      </c>
      <c r="W100" t="n">
        <v>0</v>
      </c>
      <c r="X100" t="n">
        <v>-32.83</v>
      </c>
      <c r="Y100" t="n">
        <v>-11.18</v>
      </c>
      <c r="AA100" t="n">
        <v>25.56</v>
      </c>
      <c r="AB100" t="n">
        <v>0.4</v>
      </c>
      <c r="AC100" t="n">
        <v>-0.51</v>
      </c>
      <c r="AD100" t="n">
        <v>974940393.52</v>
      </c>
    </row>
    <row r="101">
      <c r="A101" t="inlineStr">
        <is>
          <t>BRGE12</t>
        </is>
      </c>
      <c r="B101" t="n">
        <v>13.47</v>
      </c>
      <c r="D101" t="n">
        <v>33.84</v>
      </c>
      <c r="E101" t="n">
        <v>0.53</v>
      </c>
      <c r="F101" t="n">
        <v>0.33</v>
      </c>
      <c r="G101" t="n">
        <v>-4115.33</v>
      </c>
      <c r="H101" t="n">
        <v>-798.17</v>
      </c>
      <c r="I101" t="n">
        <v>824.67</v>
      </c>
      <c r="J101" t="n">
        <v>-34.96</v>
      </c>
      <c r="K101" t="n">
        <v>21.81</v>
      </c>
      <c r="L101" t="n">
        <v>56.17</v>
      </c>
      <c r="M101" t="n">
        <v>-0.85</v>
      </c>
      <c r="N101" t="n">
        <v>279.05</v>
      </c>
      <c r="O101" t="n">
        <v>0.87</v>
      </c>
      <c r="P101" t="n">
        <v>-0.77</v>
      </c>
      <c r="Q101" t="n">
        <v>3.06</v>
      </c>
      <c r="R101" t="n">
        <v>1.56</v>
      </c>
      <c r="S101" t="n">
        <v>0.98</v>
      </c>
      <c r="T101" t="n">
        <v>-2.91</v>
      </c>
      <c r="U101" t="n">
        <v>0.63</v>
      </c>
      <c r="V101" t="n">
        <v>0.37</v>
      </c>
      <c r="W101" t="n">
        <v>0</v>
      </c>
      <c r="X101" t="n">
        <v>-32.83</v>
      </c>
      <c r="Y101" t="n">
        <v>-11.18</v>
      </c>
      <c r="AA101" t="n">
        <v>25.56</v>
      </c>
      <c r="AB101" t="n">
        <v>0.4</v>
      </c>
      <c r="AC101" t="n">
        <v>-0.52</v>
      </c>
      <c r="AD101" t="n">
        <v>974940393.52</v>
      </c>
    </row>
    <row r="102">
      <c r="A102" t="inlineStr">
        <is>
          <t>BRGE3</t>
        </is>
      </c>
      <c r="B102" t="n">
        <v>13.5</v>
      </c>
      <c r="D102" t="n">
        <v>33.91</v>
      </c>
      <c r="E102" t="n">
        <v>0.53</v>
      </c>
      <c r="F102" t="n">
        <v>0.33</v>
      </c>
      <c r="G102" t="n">
        <v>-4115.33</v>
      </c>
      <c r="H102" t="n">
        <v>-798.17</v>
      </c>
      <c r="I102" t="n">
        <v>824.67</v>
      </c>
      <c r="J102" t="n">
        <v>-35.04</v>
      </c>
      <c r="K102" t="n">
        <v>21.81</v>
      </c>
      <c r="L102" t="n">
        <v>56.17</v>
      </c>
      <c r="M102" t="n">
        <v>-0.85</v>
      </c>
      <c r="N102" t="n">
        <v>279.67</v>
      </c>
      <c r="O102" t="n">
        <v>0.87</v>
      </c>
      <c r="P102" t="n">
        <v>-0.77</v>
      </c>
      <c r="Q102" t="n">
        <v>3.06</v>
      </c>
      <c r="R102" t="n">
        <v>1.56</v>
      </c>
      <c r="S102" t="n">
        <v>0.98</v>
      </c>
      <c r="T102" t="n">
        <v>-2.91</v>
      </c>
      <c r="U102" t="n">
        <v>0.63</v>
      </c>
      <c r="V102" t="n">
        <v>0.37</v>
      </c>
      <c r="W102" t="n">
        <v>0</v>
      </c>
      <c r="X102" t="n">
        <v>-32.83</v>
      </c>
      <c r="Y102" t="n">
        <v>-11.18</v>
      </c>
      <c r="AA102" t="n">
        <v>25.56</v>
      </c>
      <c r="AB102" t="n">
        <v>0.4</v>
      </c>
      <c r="AC102" t="n">
        <v>-0.52</v>
      </c>
      <c r="AD102" t="n">
        <v>974940393.52</v>
      </c>
    </row>
    <row r="103">
      <c r="A103" t="inlineStr">
        <is>
          <t>BRGE5</t>
        </is>
      </c>
      <c r="B103" t="n">
        <v>13.18</v>
      </c>
      <c r="D103" t="n">
        <v>33.11</v>
      </c>
      <c r="E103" t="n">
        <v>0.52</v>
      </c>
      <c r="F103" t="n">
        <v>0.32</v>
      </c>
      <c r="G103" t="n">
        <v>-4115.33</v>
      </c>
      <c r="H103" t="n">
        <v>-798.17</v>
      </c>
      <c r="I103" t="n">
        <v>824.67</v>
      </c>
      <c r="J103" t="n">
        <v>-34.21</v>
      </c>
      <c r="K103" t="n">
        <v>21.81</v>
      </c>
      <c r="L103" t="n">
        <v>56.17</v>
      </c>
      <c r="M103" t="n">
        <v>-0.85</v>
      </c>
      <c r="N103" t="n">
        <v>273.04</v>
      </c>
      <c r="O103" t="n">
        <v>0.85</v>
      </c>
      <c r="P103" t="n">
        <v>-0.75</v>
      </c>
      <c r="Q103" t="n">
        <v>3.06</v>
      </c>
      <c r="R103" t="n">
        <v>1.56</v>
      </c>
      <c r="S103" t="n">
        <v>0.98</v>
      </c>
      <c r="T103" t="n">
        <v>-2.91</v>
      </c>
      <c r="U103" t="n">
        <v>0.63</v>
      </c>
      <c r="V103" t="n">
        <v>0.37</v>
      </c>
      <c r="W103" t="n">
        <v>0</v>
      </c>
      <c r="X103" t="n">
        <v>-32.83</v>
      </c>
      <c r="Y103" t="n">
        <v>-11.18</v>
      </c>
      <c r="AA103" t="n">
        <v>25.56</v>
      </c>
      <c r="AB103" t="n">
        <v>0.4</v>
      </c>
      <c r="AC103" t="n">
        <v>-0.51</v>
      </c>
      <c r="AD103" t="n">
        <v>974940393.52</v>
      </c>
    </row>
    <row r="104">
      <c r="A104" t="inlineStr">
        <is>
          <t>BRGE6</t>
        </is>
      </c>
      <c r="B104" t="n">
        <v>12.92</v>
      </c>
      <c r="D104" t="n">
        <v>32.46</v>
      </c>
      <c r="E104" t="n">
        <v>0.51</v>
      </c>
      <c r="F104" t="n">
        <v>0.32</v>
      </c>
      <c r="G104" t="n">
        <v>-4115.33</v>
      </c>
      <c r="H104" t="n">
        <v>-798.17</v>
      </c>
      <c r="I104" t="n">
        <v>824.67</v>
      </c>
      <c r="J104" t="n">
        <v>-33.53</v>
      </c>
      <c r="K104" t="n">
        <v>21.81</v>
      </c>
      <c r="L104" t="n">
        <v>56.17</v>
      </c>
      <c r="M104" t="n">
        <v>-0.85</v>
      </c>
      <c r="N104" t="n">
        <v>267.65</v>
      </c>
      <c r="O104" t="n">
        <v>0.83</v>
      </c>
      <c r="P104" t="n">
        <v>-0.74</v>
      </c>
      <c r="Q104" t="n">
        <v>3.06</v>
      </c>
      <c r="R104" t="n">
        <v>1.56</v>
      </c>
      <c r="S104" t="n">
        <v>0.98</v>
      </c>
      <c r="T104" t="n">
        <v>-2.91</v>
      </c>
      <c r="U104" t="n">
        <v>0.63</v>
      </c>
      <c r="V104" t="n">
        <v>0.37</v>
      </c>
      <c r="W104" t="n">
        <v>0</v>
      </c>
      <c r="X104" t="n">
        <v>-32.83</v>
      </c>
      <c r="Y104" t="n">
        <v>-11.18</v>
      </c>
      <c r="AA104" t="n">
        <v>25.56</v>
      </c>
      <c r="AB104" t="n">
        <v>0.4</v>
      </c>
      <c r="AC104" t="n">
        <v>-0.5</v>
      </c>
      <c r="AD104" t="n">
        <v>974940393.52</v>
      </c>
    </row>
    <row r="105">
      <c r="A105" t="inlineStr">
        <is>
          <t>BRGE7</t>
        </is>
      </c>
      <c r="B105" t="n">
        <v>13.07</v>
      </c>
      <c r="D105" t="n">
        <v>32.83</v>
      </c>
      <c r="E105" t="n">
        <v>0.51</v>
      </c>
      <c r="F105" t="n">
        <v>0.32</v>
      </c>
      <c r="G105" t="n">
        <v>-4115.33</v>
      </c>
      <c r="H105" t="n">
        <v>-798.17</v>
      </c>
      <c r="I105" t="n">
        <v>824.67</v>
      </c>
      <c r="J105" t="n">
        <v>-33.92</v>
      </c>
      <c r="K105" t="n">
        <v>21.81</v>
      </c>
      <c r="L105" t="n">
        <v>56.17</v>
      </c>
      <c r="M105" t="n">
        <v>-0.85</v>
      </c>
      <c r="N105" t="n">
        <v>270.76</v>
      </c>
      <c r="O105" t="n">
        <v>0.84</v>
      </c>
      <c r="P105" t="n">
        <v>-0.74</v>
      </c>
      <c r="Q105" t="n">
        <v>3.06</v>
      </c>
      <c r="R105" t="n">
        <v>1.56</v>
      </c>
      <c r="S105" t="n">
        <v>0.98</v>
      </c>
      <c r="T105" t="n">
        <v>-2.91</v>
      </c>
      <c r="U105" t="n">
        <v>0.63</v>
      </c>
      <c r="V105" t="n">
        <v>0.37</v>
      </c>
      <c r="W105" t="n">
        <v>0</v>
      </c>
      <c r="X105" t="n">
        <v>-32.83</v>
      </c>
      <c r="Y105" t="n">
        <v>-11.18</v>
      </c>
      <c r="AA105" t="n">
        <v>25.56</v>
      </c>
      <c r="AB105" t="n">
        <v>0.4</v>
      </c>
      <c r="AC105" t="n">
        <v>-0.5</v>
      </c>
      <c r="AD105" t="n">
        <v>974940393.52</v>
      </c>
    </row>
    <row r="106">
      <c r="A106" t="inlineStr">
        <is>
          <t>BRGE8</t>
        </is>
      </c>
      <c r="B106" t="n">
        <v>13.17</v>
      </c>
      <c r="D106" t="n">
        <v>33.08</v>
      </c>
      <c r="E106" t="n">
        <v>0.52</v>
      </c>
      <c r="F106" t="n">
        <v>0.32</v>
      </c>
      <c r="G106" t="n">
        <v>-4115.33</v>
      </c>
      <c r="H106" t="n">
        <v>-798.17</v>
      </c>
      <c r="I106" t="n">
        <v>824.67</v>
      </c>
      <c r="J106" t="n">
        <v>-34.18</v>
      </c>
      <c r="K106" t="n">
        <v>21.81</v>
      </c>
      <c r="L106" t="n">
        <v>56.17</v>
      </c>
      <c r="M106" t="n">
        <v>-0.85</v>
      </c>
      <c r="N106" t="n">
        <v>272.83</v>
      </c>
      <c r="O106" t="n">
        <v>0.85</v>
      </c>
      <c r="P106" t="n">
        <v>-0.75</v>
      </c>
      <c r="Q106" t="n">
        <v>3.06</v>
      </c>
      <c r="R106" t="n">
        <v>1.56</v>
      </c>
      <c r="S106" t="n">
        <v>0.98</v>
      </c>
      <c r="T106" t="n">
        <v>-2.91</v>
      </c>
      <c r="U106" t="n">
        <v>0.63</v>
      </c>
      <c r="V106" t="n">
        <v>0.37</v>
      </c>
      <c r="W106" t="n">
        <v>0</v>
      </c>
      <c r="X106" t="n">
        <v>-32.83</v>
      </c>
      <c r="Y106" t="n">
        <v>-11.18</v>
      </c>
      <c r="AA106" t="n">
        <v>25.56</v>
      </c>
      <c r="AB106" t="n">
        <v>0.4</v>
      </c>
      <c r="AC106" t="n">
        <v>-0.51</v>
      </c>
      <c r="AD106" t="n">
        <v>974940393.52</v>
      </c>
    </row>
    <row r="107">
      <c r="A107" t="inlineStr">
        <is>
          <t>BRIV3</t>
        </is>
      </c>
      <c r="B107" t="n">
        <v>12.86</v>
      </c>
      <c r="D107" t="n">
        <v>388.74</v>
      </c>
      <c r="E107" t="n">
        <v>0.67</v>
      </c>
      <c r="F107" t="n">
        <v>0.04</v>
      </c>
      <c r="G107" t="n">
        <v>12.7</v>
      </c>
      <c r="H107" t="n">
        <v>-0.9399999999999999</v>
      </c>
      <c r="I107" t="n">
        <v>0.09</v>
      </c>
      <c r="J107" t="n">
        <v>-37.4</v>
      </c>
      <c r="K107" t="n">
        <v>-37.03</v>
      </c>
      <c r="N107" t="n">
        <v>0.35</v>
      </c>
      <c r="O107" t="n">
        <v>2.19</v>
      </c>
      <c r="P107" t="n">
        <v>-0.04</v>
      </c>
      <c r="Q107" t="n">
        <v>4</v>
      </c>
      <c r="R107" t="n">
        <v>0.17</v>
      </c>
      <c r="S107" t="n">
        <v>0.01</v>
      </c>
      <c r="U107" t="n">
        <v>0.06</v>
      </c>
      <c r="V107" t="n">
        <v>0.9399999999999999</v>
      </c>
      <c r="W107" t="n">
        <v>0.12</v>
      </c>
      <c r="X107" t="n">
        <v>29.48</v>
      </c>
      <c r="Y107" t="n">
        <v>-43.98</v>
      </c>
      <c r="AA107" t="n">
        <v>19.32</v>
      </c>
      <c r="AB107" t="n">
        <v>0.03</v>
      </c>
      <c r="AC107" t="n">
        <v>-3.98</v>
      </c>
      <c r="AD107" t="n">
        <v>1128165604.64</v>
      </c>
    </row>
    <row r="108">
      <c r="A108" t="inlineStr">
        <is>
          <t>BRIV4</t>
        </is>
      </c>
      <c r="B108" t="n">
        <v>12.54</v>
      </c>
      <c r="D108" t="n">
        <v>379.07</v>
      </c>
      <c r="E108" t="n">
        <v>0.65</v>
      </c>
      <c r="F108" t="n">
        <v>0.04</v>
      </c>
      <c r="G108" t="n">
        <v>12.7</v>
      </c>
      <c r="H108" t="n">
        <v>-0.9399999999999999</v>
      </c>
      <c r="I108" t="n">
        <v>0.09</v>
      </c>
      <c r="J108" t="n">
        <v>-36.47</v>
      </c>
      <c r="K108" t="n">
        <v>-37.03</v>
      </c>
      <c r="N108" t="n">
        <v>0.34</v>
      </c>
      <c r="O108" t="n">
        <v>2.14</v>
      </c>
      <c r="P108" t="n">
        <v>-0.04</v>
      </c>
      <c r="Q108" t="n">
        <v>4</v>
      </c>
      <c r="R108" t="n">
        <v>0.17</v>
      </c>
      <c r="S108" t="n">
        <v>0.01</v>
      </c>
      <c r="U108" t="n">
        <v>0.06</v>
      </c>
      <c r="V108" t="n">
        <v>0.9399999999999999</v>
      </c>
      <c r="W108" t="n">
        <v>0.12</v>
      </c>
      <c r="X108" t="n">
        <v>29.48</v>
      </c>
      <c r="Y108" t="n">
        <v>-43.98</v>
      </c>
      <c r="AA108" t="n">
        <v>19.32</v>
      </c>
      <c r="AB108" t="n">
        <v>0.03</v>
      </c>
      <c r="AC108" t="n">
        <v>-3.89</v>
      </c>
      <c r="AD108" t="n">
        <v>1128165604.64</v>
      </c>
    </row>
    <row r="109">
      <c r="A109" t="inlineStr">
        <is>
          <t>BRKM3</t>
        </is>
      </c>
      <c r="B109" t="n">
        <v>5.03</v>
      </c>
      <c r="D109" t="n">
        <v>-0.44</v>
      </c>
      <c r="E109" t="n">
        <v>-0.25</v>
      </c>
      <c r="F109" t="n">
        <v>0.05</v>
      </c>
      <c r="G109" t="n">
        <v>2.02</v>
      </c>
      <c r="H109" t="n">
        <v>-3.44</v>
      </c>
      <c r="I109" t="n">
        <v>-13.68</v>
      </c>
      <c r="J109" t="n">
        <v>-1.75</v>
      </c>
      <c r="K109" t="n">
        <v>-20.64</v>
      </c>
      <c r="L109" t="n">
        <v>-18.74</v>
      </c>
      <c r="N109" t="n">
        <v>0.06</v>
      </c>
      <c r="O109" t="n">
        <v>-0.37</v>
      </c>
      <c r="P109" t="n">
        <v>-0.08</v>
      </c>
      <c r="Q109" t="n">
        <v>0.71</v>
      </c>
      <c r="R109" t="n">
        <v>-58.03</v>
      </c>
      <c r="S109" t="n">
        <v>-12.04</v>
      </c>
      <c r="T109" t="n">
        <v>-56.79</v>
      </c>
      <c r="U109" t="n">
        <v>-0.21</v>
      </c>
      <c r="V109" t="n">
        <v>1.21</v>
      </c>
      <c r="W109" t="n">
        <v>0.88</v>
      </c>
      <c r="X109" t="n">
        <v>3.85</v>
      </c>
      <c r="Z109" t="n">
        <v>192492.36</v>
      </c>
      <c r="AA109" t="n">
        <v>-19.74</v>
      </c>
      <c r="AB109" t="n">
        <v>-11.46</v>
      </c>
      <c r="AC109" t="n">
        <v>0.28</v>
      </c>
      <c r="AD109" t="n">
        <v>4354704800.04</v>
      </c>
    </row>
    <row r="110">
      <c r="A110" t="inlineStr">
        <is>
          <t>BRKM5</t>
        </is>
      </c>
      <c r="B110" t="n">
        <v>6.14</v>
      </c>
      <c r="D110" t="n">
        <v>-0.53</v>
      </c>
      <c r="E110" t="n">
        <v>-0.31</v>
      </c>
      <c r="F110" t="n">
        <v>0.06</v>
      </c>
      <c r="G110" t="n">
        <v>2.02</v>
      </c>
      <c r="H110" t="n">
        <v>-3.44</v>
      </c>
      <c r="I110" t="n">
        <v>-13.68</v>
      </c>
      <c r="J110" t="n">
        <v>-2.12</v>
      </c>
      <c r="K110" t="n">
        <v>-20.64</v>
      </c>
      <c r="L110" t="n">
        <v>-18.74</v>
      </c>
      <c r="N110" t="n">
        <v>0.07000000000000001</v>
      </c>
      <c r="O110" t="n">
        <v>-0.45</v>
      </c>
      <c r="P110" t="n">
        <v>-0.1</v>
      </c>
      <c r="Q110" t="n">
        <v>0.71</v>
      </c>
      <c r="R110" t="n">
        <v>-58.03</v>
      </c>
      <c r="S110" t="n">
        <v>-12.04</v>
      </c>
      <c r="T110" t="n">
        <v>-56.79</v>
      </c>
      <c r="U110" t="n">
        <v>-0.21</v>
      </c>
      <c r="V110" t="n">
        <v>1.21</v>
      </c>
      <c r="W110" t="n">
        <v>0.88</v>
      </c>
      <c r="X110" t="n">
        <v>3.85</v>
      </c>
      <c r="Z110" t="n">
        <v>43075560.68</v>
      </c>
      <c r="AA110" t="n">
        <v>-19.74</v>
      </c>
      <c r="AB110" t="n">
        <v>-11.46</v>
      </c>
      <c r="AC110" t="n">
        <v>0.34</v>
      </c>
      <c r="AD110" t="n">
        <v>4354704800.04</v>
      </c>
    </row>
    <row r="111">
      <c r="A111" t="inlineStr">
        <is>
          <t>BRKM6</t>
        </is>
      </c>
      <c r="B111" t="n">
        <v>6.3</v>
      </c>
      <c r="D111" t="n">
        <v>-0.55</v>
      </c>
      <c r="E111" t="n">
        <v>-0.32</v>
      </c>
      <c r="F111" t="n">
        <v>0.07000000000000001</v>
      </c>
      <c r="G111" t="n">
        <v>2.02</v>
      </c>
      <c r="H111" t="n">
        <v>-3.44</v>
      </c>
      <c r="I111" t="n">
        <v>-13.68</v>
      </c>
      <c r="J111" t="n">
        <v>-2.19</v>
      </c>
      <c r="K111" t="n">
        <v>-20.64</v>
      </c>
      <c r="L111" t="n">
        <v>-18.74</v>
      </c>
      <c r="N111" t="n">
        <v>0.08</v>
      </c>
      <c r="O111" t="n">
        <v>-0.47</v>
      </c>
      <c r="P111" t="n">
        <v>-0.1</v>
      </c>
      <c r="Q111" t="n">
        <v>0.71</v>
      </c>
      <c r="R111" t="n">
        <v>-58.03</v>
      </c>
      <c r="S111" t="n">
        <v>-12.04</v>
      </c>
      <c r="T111" t="n">
        <v>-56.79</v>
      </c>
      <c r="U111" t="n">
        <v>-0.21</v>
      </c>
      <c r="V111" t="n">
        <v>1.21</v>
      </c>
      <c r="W111" t="n">
        <v>0.88</v>
      </c>
      <c r="X111" t="n">
        <v>3.85</v>
      </c>
      <c r="Z111" t="n">
        <v>393.75</v>
      </c>
      <c r="AA111" t="n">
        <v>-19.74</v>
      </c>
      <c r="AB111" t="n">
        <v>-11.46</v>
      </c>
      <c r="AC111" t="n">
        <v>0.35</v>
      </c>
      <c r="AD111" t="n">
        <v>4354704800.04</v>
      </c>
    </row>
    <row r="112">
      <c r="A112" t="inlineStr">
        <is>
          <t>BRML3</t>
        </is>
      </c>
      <c r="B112" t="n">
        <v>8.26</v>
      </c>
      <c r="D112" t="n">
        <v>8.109999999999999</v>
      </c>
      <c r="E112" t="n">
        <v>0.55</v>
      </c>
      <c r="F112" t="n">
        <v>0.33</v>
      </c>
      <c r="G112" t="n">
        <v>89.41</v>
      </c>
      <c r="H112" t="n">
        <v>94.72</v>
      </c>
      <c r="I112" t="n">
        <v>50.62</v>
      </c>
      <c r="J112" t="n">
        <v>4.33</v>
      </c>
      <c r="K112" t="n">
        <v>5.65</v>
      </c>
      <c r="L112" t="n">
        <v>1.32</v>
      </c>
      <c r="M112" t="n">
        <v>0.17</v>
      </c>
      <c r="N112" t="n">
        <v>4.11</v>
      </c>
      <c r="O112" t="n">
        <v>5.08</v>
      </c>
      <c r="P112" t="n">
        <v>-0.36</v>
      </c>
      <c r="Q112" t="n">
        <v>5.35</v>
      </c>
      <c r="R112" t="n">
        <v>6.81</v>
      </c>
      <c r="S112" t="n">
        <v>4.09</v>
      </c>
      <c r="T112" t="n">
        <v>7.54</v>
      </c>
      <c r="U112" t="n">
        <v>0.6</v>
      </c>
      <c r="V112" t="n">
        <v>0.39</v>
      </c>
      <c r="W112" t="n">
        <v>0.08</v>
      </c>
      <c r="X112" t="n">
        <v>12.43</v>
      </c>
      <c r="AA112" t="n">
        <v>14.96</v>
      </c>
      <c r="AB112" t="n">
        <v>1.02</v>
      </c>
      <c r="AC112" t="n">
        <v>0.27</v>
      </c>
      <c r="AD112" t="n">
        <v>6770891280.44</v>
      </c>
    </row>
    <row r="113">
      <c r="A113" t="inlineStr">
        <is>
          <t>BRPR3</t>
        </is>
      </c>
      <c r="B113" t="n">
        <v>131.17</v>
      </c>
      <c r="D113" t="n">
        <v>-0.5600000000000001</v>
      </c>
      <c r="E113" t="n">
        <v>0.05</v>
      </c>
      <c r="F113" t="n">
        <v>0.04</v>
      </c>
      <c r="G113" t="n">
        <v>100</v>
      </c>
      <c r="H113" t="n">
        <v>-336.36</v>
      </c>
      <c r="I113" t="n">
        <v>-123.98</v>
      </c>
      <c r="J113" t="n">
        <v>-0.21</v>
      </c>
      <c r="K113" t="n">
        <v>0.06</v>
      </c>
      <c r="L113" t="n">
        <v>0.27</v>
      </c>
      <c r="M113" t="n">
        <v>-0.07000000000000001</v>
      </c>
      <c r="N113" t="n">
        <v>0.7</v>
      </c>
      <c r="O113" t="n">
        <v>1.73</v>
      </c>
      <c r="P113" t="n">
        <v>-0.05</v>
      </c>
      <c r="Q113" t="n">
        <v>1.12</v>
      </c>
      <c r="R113" t="n">
        <v>-9.550000000000001</v>
      </c>
      <c r="S113" t="n">
        <v>-6.86</v>
      </c>
      <c r="T113" t="n">
        <v>-31.25</v>
      </c>
      <c r="U113" t="n">
        <v>0.72</v>
      </c>
      <c r="V113" t="n">
        <v>0.28</v>
      </c>
      <c r="W113" t="n">
        <v>0.06</v>
      </c>
      <c r="X113" t="n">
        <v>-7.12</v>
      </c>
      <c r="AA113" t="n">
        <v>2447.95</v>
      </c>
      <c r="AB113" t="n">
        <v>-233.75</v>
      </c>
      <c r="AC113" t="n">
        <v>0.01</v>
      </c>
      <c r="AD113" t="n">
        <v>60919545.44</v>
      </c>
    </row>
    <row r="114">
      <c r="A114" t="inlineStr">
        <is>
          <t>BRQB3</t>
        </is>
      </c>
      <c r="B114" t="n">
        <v>0</v>
      </c>
      <c r="D114" t="n">
        <v>0</v>
      </c>
      <c r="E114" t="n">
        <v>0</v>
      </c>
      <c r="F114" t="n">
        <v>0</v>
      </c>
      <c r="G114" t="n">
        <v>36.72</v>
      </c>
      <c r="H114" t="n">
        <v>12.86</v>
      </c>
      <c r="I114" t="n">
        <v>11.15</v>
      </c>
      <c r="J114" t="n">
        <v>0</v>
      </c>
      <c r="K114" t="n">
        <v>-0.68</v>
      </c>
      <c r="L114" t="n">
        <v>-0.68</v>
      </c>
      <c r="M114" t="n">
        <v>-0.5</v>
      </c>
      <c r="N114" t="n">
        <v>0</v>
      </c>
      <c r="O114" t="n">
        <v>0</v>
      </c>
      <c r="P114" t="n">
        <v>0</v>
      </c>
      <c r="Q114" t="n">
        <v>1.45</v>
      </c>
      <c r="R114" t="n">
        <v>64.3</v>
      </c>
      <c r="S114" t="n">
        <v>16.56</v>
      </c>
      <c r="T114" t="n">
        <v>22.4</v>
      </c>
      <c r="U114" t="n">
        <v>0.26</v>
      </c>
      <c r="V114" t="n">
        <v>0.74</v>
      </c>
      <c r="W114" t="n">
        <v>1.49</v>
      </c>
      <c r="X114" t="n">
        <v>2.94</v>
      </c>
      <c r="Y114" t="n">
        <v>10.19</v>
      </c>
      <c r="AA114" t="n">
        <v>0.77</v>
      </c>
      <c r="AB114" t="n">
        <v>0.5</v>
      </c>
      <c r="AC114" t="n">
        <v>0</v>
      </c>
      <c r="AD114" t="n">
        <v>0</v>
      </c>
    </row>
    <row r="115">
      <c r="A115" t="inlineStr">
        <is>
          <t>BRSR3</t>
        </is>
      </c>
      <c r="B115" t="n">
        <v>17.73</v>
      </c>
      <c r="C115" t="n">
        <v>8.949999999999999</v>
      </c>
      <c r="D115" t="n">
        <v>4.12</v>
      </c>
      <c r="E115" t="n">
        <v>0.62</v>
      </c>
      <c r="F115" t="n">
        <v>0.04</v>
      </c>
      <c r="G115" t="n">
        <v>29.07</v>
      </c>
      <c r="H115" t="n">
        <v>9.220000000000001</v>
      </c>
      <c r="I115" t="n">
        <v>7.76</v>
      </c>
      <c r="J115" t="n">
        <v>3.47</v>
      </c>
      <c r="K115" t="n">
        <v>3.09</v>
      </c>
      <c r="N115" t="n">
        <v>0.32</v>
      </c>
      <c r="O115" t="n">
        <v>1.92</v>
      </c>
      <c r="P115" t="n">
        <v>-0.05</v>
      </c>
      <c r="Q115" t="n">
        <v>3974.74</v>
      </c>
      <c r="R115" t="n">
        <v>15.11</v>
      </c>
      <c r="S115" t="n">
        <v>1.07</v>
      </c>
      <c r="U115" t="n">
        <v>0.07000000000000001</v>
      </c>
      <c r="V115" t="n">
        <v>0.93</v>
      </c>
      <c r="W115" t="n">
        <v>0.14</v>
      </c>
      <c r="X115" t="n">
        <v>24.08</v>
      </c>
      <c r="Y115" t="n">
        <v>23.23</v>
      </c>
      <c r="Z115" t="n">
        <v>70422.95</v>
      </c>
      <c r="AA115" t="n">
        <v>28.5</v>
      </c>
      <c r="AB115" t="n">
        <v>4.31</v>
      </c>
      <c r="AC115" t="n">
        <v>0.03</v>
      </c>
      <c r="AD115" t="n">
        <v>6476260860.41</v>
      </c>
    </row>
    <row r="116">
      <c r="A116" t="inlineStr">
        <is>
          <t>BRSR5</t>
        </is>
      </c>
      <c r="B116" t="n">
        <v>15.93</v>
      </c>
      <c r="C116" t="n">
        <v>10.19</v>
      </c>
      <c r="D116" t="n">
        <v>3.7</v>
      </c>
      <c r="E116" t="n">
        <v>0.5600000000000001</v>
      </c>
      <c r="F116" t="n">
        <v>0.04</v>
      </c>
      <c r="G116" t="n">
        <v>29.07</v>
      </c>
      <c r="H116" t="n">
        <v>9.220000000000001</v>
      </c>
      <c r="I116" t="n">
        <v>7.76</v>
      </c>
      <c r="J116" t="n">
        <v>3.11</v>
      </c>
      <c r="K116" t="n">
        <v>3.09</v>
      </c>
      <c r="N116" t="n">
        <v>0.29</v>
      </c>
      <c r="O116" t="n">
        <v>1.73</v>
      </c>
      <c r="P116" t="n">
        <v>-0.04</v>
      </c>
      <c r="Q116" t="n">
        <v>3974.74</v>
      </c>
      <c r="R116" t="n">
        <v>15.11</v>
      </c>
      <c r="S116" t="n">
        <v>1.07</v>
      </c>
      <c r="U116" t="n">
        <v>0.07000000000000001</v>
      </c>
      <c r="V116" t="n">
        <v>0.93</v>
      </c>
      <c r="W116" t="n">
        <v>0.14</v>
      </c>
      <c r="X116" t="n">
        <v>24.08</v>
      </c>
      <c r="Y116" t="n">
        <v>23.23</v>
      </c>
      <c r="Z116" t="n">
        <v>659</v>
      </c>
      <c r="AA116" t="n">
        <v>28.5</v>
      </c>
      <c r="AB116" t="n">
        <v>4.31</v>
      </c>
      <c r="AC116" t="n">
        <v>0.03</v>
      </c>
      <c r="AD116" t="n">
        <v>6476260860.41</v>
      </c>
    </row>
    <row r="117">
      <c r="A117" t="inlineStr">
        <is>
          <t>BRSR6</t>
        </is>
      </c>
      <c r="B117" t="n">
        <v>13.93</v>
      </c>
      <c r="C117" t="n">
        <v>11.39</v>
      </c>
      <c r="D117" t="n">
        <v>3.23</v>
      </c>
      <c r="E117" t="n">
        <v>0.49</v>
      </c>
      <c r="F117" t="n">
        <v>0.03</v>
      </c>
      <c r="G117" t="n">
        <v>29.07</v>
      </c>
      <c r="H117" t="n">
        <v>9.220000000000001</v>
      </c>
      <c r="I117" t="n">
        <v>7.76</v>
      </c>
      <c r="J117" t="n">
        <v>2.72</v>
      </c>
      <c r="K117" t="n">
        <v>3.09</v>
      </c>
      <c r="N117" t="n">
        <v>0.25</v>
      </c>
      <c r="O117" t="n">
        <v>1.51</v>
      </c>
      <c r="P117" t="n">
        <v>-0.04</v>
      </c>
      <c r="Q117" t="n">
        <v>3974.74</v>
      </c>
      <c r="R117" t="n">
        <v>15.11</v>
      </c>
      <c r="S117" t="n">
        <v>1.07</v>
      </c>
      <c r="U117" t="n">
        <v>0.07000000000000001</v>
      </c>
      <c r="V117" t="n">
        <v>0.93</v>
      </c>
      <c r="W117" t="n">
        <v>0.14</v>
      </c>
      <c r="X117" t="n">
        <v>24.08</v>
      </c>
      <c r="Y117" t="n">
        <v>23.23</v>
      </c>
      <c r="Z117" t="n">
        <v>13490304.27</v>
      </c>
      <c r="AA117" t="n">
        <v>28.5</v>
      </c>
      <c r="AB117" t="n">
        <v>4.31</v>
      </c>
      <c r="AC117" t="n">
        <v>0.02</v>
      </c>
      <c r="AD117" t="n">
        <v>6476260860.41</v>
      </c>
    </row>
    <row r="118">
      <c r="A118" t="inlineStr">
        <is>
          <t>BRST3</t>
        </is>
      </c>
      <c r="B118" t="n">
        <v>2.73</v>
      </c>
      <c r="C118" t="n">
        <v>1.51</v>
      </c>
      <c r="D118" t="n">
        <v>10.31</v>
      </c>
      <c r="E118" t="n">
        <v>0.77</v>
      </c>
      <c r="F118" t="n">
        <v>0.29</v>
      </c>
      <c r="G118" t="n">
        <v>42.4</v>
      </c>
      <c r="H118" t="n">
        <v>14.96</v>
      </c>
      <c r="I118" t="n">
        <v>8.460000000000001</v>
      </c>
      <c r="J118" t="n">
        <v>5.83</v>
      </c>
      <c r="K118" t="n">
        <v>10.87</v>
      </c>
      <c r="L118" t="n">
        <v>5.03</v>
      </c>
      <c r="M118" t="n">
        <v>0.66</v>
      </c>
      <c r="N118" t="n">
        <v>0.87</v>
      </c>
      <c r="O118" t="n">
        <v>2.95</v>
      </c>
      <c r="P118" t="n">
        <v>-0.41</v>
      </c>
      <c r="Q118" t="n">
        <v>1.54</v>
      </c>
      <c r="R118" t="n">
        <v>7.44</v>
      </c>
      <c r="S118" t="n">
        <v>2.86</v>
      </c>
      <c r="T118" t="n">
        <v>5.71</v>
      </c>
      <c r="U118" t="n">
        <v>0.38</v>
      </c>
      <c r="V118" t="n">
        <v>0.62</v>
      </c>
      <c r="W118" t="n">
        <v>0.34</v>
      </c>
      <c r="X118" t="n">
        <v>41.71</v>
      </c>
      <c r="Y118" t="n">
        <v>35.66</v>
      </c>
      <c r="Z118" t="n">
        <v>595072.59</v>
      </c>
      <c r="AA118" t="n">
        <v>3.56</v>
      </c>
      <c r="AB118" t="n">
        <v>0.26</v>
      </c>
      <c r="AC118" t="n">
        <v>-0.87</v>
      </c>
      <c r="AD118" t="n">
        <v>1195760576.01</v>
      </c>
    </row>
    <row r="119">
      <c r="A119" t="inlineStr">
        <is>
          <t>BSEV3</t>
        </is>
      </c>
      <c r="B119" t="n">
        <v>9</v>
      </c>
      <c r="D119" t="n">
        <v>10.22</v>
      </c>
      <c r="E119" t="n">
        <v>-10.84</v>
      </c>
      <c r="F119" t="n">
        <v>0.78</v>
      </c>
      <c r="G119" t="n">
        <v>26.77</v>
      </c>
      <c r="H119" t="n">
        <v>17.92</v>
      </c>
      <c r="I119" t="n">
        <v>5.55</v>
      </c>
      <c r="J119" t="n">
        <v>3.17</v>
      </c>
      <c r="K119" t="n">
        <v>5.46</v>
      </c>
      <c r="L119" t="n">
        <v>2.3</v>
      </c>
      <c r="N119" t="n">
        <v>0.57</v>
      </c>
      <c r="O119" t="n">
        <v>-1.59</v>
      </c>
      <c r="P119" t="n">
        <v>-1.13</v>
      </c>
      <c r="Q119" t="n">
        <v>0.39</v>
      </c>
      <c r="R119" t="n">
        <v>-106.05</v>
      </c>
      <c r="S119" t="n">
        <v>7.59</v>
      </c>
      <c r="T119" t="n">
        <v>30.9</v>
      </c>
      <c r="U119" t="n">
        <v>-0.07000000000000001</v>
      </c>
      <c r="V119" t="n">
        <v>1.07</v>
      </c>
      <c r="W119" t="n">
        <v>1.37</v>
      </c>
      <c r="X119" t="n">
        <v>10.88</v>
      </c>
      <c r="AA119" t="n">
        <v>-0.83</v>
      </c>
      <c r="AB119" t="n">
        <v>0.88</v>
      </c>
      <c r="AC119" t="n">
        <v>-0.06</v>
      </c>
      <c r="AD119" t="n">
        <v>9183864834</v>
      </c>
    </row>
    <row r="120">
      <c r="A120" t="inlineStr">
        <is>
          <t>BSLI3</t>
        </is>
      </c>
      <c r="B120" t="n">
        <v>2.96</v>
      </c>
      <c r="C120" t="n">
        <v>9.84</v>
      </c>
      <c r="D120" t="n">
        <v>1.78</v>
      </c>
      <c r="E120" t="n">
        <v>0.36</v>
      </c>
      <c r="F120" t="n">
        <v>0.02</v>
      </c>
      <c r="G120" t="n">
        <v>35.96</v>
      </c>
      <c r="H120" t="n">
        <v>11.12</v>
      </c>
      <c r="I120" t="n">
        <v>7.43</v>
      </c>
      <c r="J120" t="n">
        <v>1.19</v>
      </c>
      <c r="K120" t="n">
        <v>1.19</v>
      </c>
      <c r="N120" t="n">
        <v>0.13</v>
      </c>
      <c r="O120" t="n">
        <v>-0.73</v>
      </c>
      <c r="P120" t="n">
        <v>-0.02</v>
      </c>
      <c r="Q120" t="n">
        <v>0.11</v>
      </c>
      <c r="R120" t="n">
        <v>20.28</v>
      </c>
      <c r="S120" t="n">
        <v>1.08</v>
      </c>
      <c r="U120" t="n">
        <v>0.05</v>
      </c>
      <c r="V120" t="n">
        <v>0.95</v>
      </c>
      <c r="W120" t="n">
        <v>0.15</v>
      </c>
      <c r="X120" t="n">
        <v>23.49</v>
      </c>
      <c r="Y120" t="n">
        <v>15.97</v>
      </c>
      <c r="Z120" t="n">
        <v>55359.77</v>
      </c>
      <c r="AA120" t="n">
        <v>8.199999999999999</v>
      </c>
      <c r="AB120" t="n">
        <v>1.66</v>
      </c>
      <c r="AC120" t="n">
        <v>0</v>
      </c>
      <c r="AD120" t="n">
        <v>1444077815.93</v>
      </c>
    </row>
    <row r="121">
      <c r="A121" t="inlineStr">
        <is>
          <t>BSLI4</t>
        </is>
      </c>
      <c r="B121" t="n">
        <v>3</v>
      </c>
      <c r="C121" t="n">
        <v>10.68</v>
      </c>
      <c r="D121" t="n">
        <v>1.81</v>
      </c>
      <c r="E121" t="n">
        <v>0.37</v>
      </c>
      <c r="F121" t="n">
        <v>0.02</v>
      </c>
      <c r="G121" t="n">
        <v>35.96</v>
      </c>
      <c r="H121" t="n">
        <v>11.12</v>
      </c>
      <c r="I121" t="n">
        <v>7.43</v>
      </c>
      <c r="J121" t="n">
        <v>1.21</v>
      </c>
      <c r="K121" t="n">
        <v>1.19</v>
      </c>
      <c r="N121" t="n">
        <v>0.13</v>
      </c>
      <c r="O121" t="n">
        <v>-0.74</v>
      </c>
      <c r="P121" t="n">
        <v>-0.02</v>
      </c>
      <c r="Q121" t="n">
        <v>0.11</v>
      </c>
      <c r="R121" t="n">
        <v>20.28</v>
      </c>
      <c r="S121" t="n">
        <v>1.08</v>
      </c>
      <c r="U121" t="n">
        <v>0.05</v>
      </c>
      <c r="V121" t="n">
        <v>0.95</v>
      </c>
      <c r="W121" t="n">
        <v>0.15</v>
      </c>
      <c r="X121" t="n">
        <v>23.49</v>
      </c>
      <c r="Y121" t="n">
        <v>15.97</v>
      </c>
      <c r="Z121" t="n">
        <v>49495.41</v>
      </c>
      <c r="AA121" t="n">
        <v>8.199999999999999</v>
      </c>
      <c r="AB121" t="n">
        <v>1.66</v>
      </c>
      <c r="AC121" t="n">
        <v>0</v>
      </c>
      <c r="AD121" t="n">
        <v>1444077815.93</v>
      </c>
    </row>
    <row r="122">
      <c r="A122" t="inlineStr">
        <is>
          <t>BTTL4</t>
        </is>
      </c>
      <c r="B122" t="n">
        <v>11091.73</v>
      </c>
      <c r="D122" t="n">
        <v>362262.44</v>
      </c>
      <c r="E122" t="n">
        <v>3915.19</v>
      </c>
      <c r="F122" t="n">
        <v>2939.92</v>
      </c>
      <c r="G122" t="n">
        <v>98.76000000000001</v>
      </c>
      <c r="H122" t="n">
        <v>-11.57</v>
      </c>
      <c r="I122" t="n">
        <v>18.73</v>
      </c>
      <c r="J122" t="n">
        <v>-586581.52</v>
      </c>
      <c r="K122" t="n">
        <v>-41.29</v>
      </c>
      <c r="L122" t="n">
        <v>29.57</v>
      </c>
      <c r="M122" t="n">
        <v>-0.2</v>
      </c>
      <c r="N122" t="n">
        <v>67858.96000000001</v>
      </c>
      <c r="O122" t="n">
        <v>18948.09</v>
      </c>
      <c r="P122" t="n">
        <v>-3580.45</v>
      </c>
      <c r="Q122" t="n">
        <v>7.54</v>
      </c>
      <c r="R122" t="n">
        <v>1.08</v>
      </c>
      <c r="S122" t="n">
        <v>0.8100000000000001</v>
      </c>
      <c r="T122" t="n">
        <v>-2.71</v>
      </c>
      <c r="U122" t="n">
        <v>0.75</v>
      </c>
      <c r="V122" t="n">
        <v>0.25</v>
      </c>
      <c r="W122" t="n">
        <v>0.04</v>
      </c>
      <c r="X122" t="n">
        <v>-64.98</v>
      </c>
      <c r="Y122" t="n">
        <v>-50.87</v>
      </c>
      <c r="AA122" t="n">
        <v>2.83</v>
      </c>
      <c r="AB122" t="n">
        <v>0.03</v>
      </c>
      <c r="AC122" t="n">
        <v>-3934.56</v>
      </c>
      <c r="AD122" t="n">
        <v>19913161.12</v>
      </c>
    </row>
    <row r="123">
      <c r="A123" t="inlineStr">
        <is>
          <t>CALI3</t>
        </is>
      </c>
      <c r="B123" t="n">
        <v>25</v>
      </c>
      <c r="C123" t="n">
        <v>3.62</v>
      </c>
      <c r="D123" t="n">
        <v>4.27</v>
      </c>
      <c r="E123" t="n">
        <v>0.87</v>
      </c>
      <c r="F123" t="n">
        <v>0.17</v>
      </c>
      <c r="G123" t="n">
        <v>28.23</v>
      </c>
      <c r="H123" t="n">
        <v>16.39</v>
      </c>
      <c r="I123" t="n">
        <v>9.51</v>
      </c>
      <c r="J123" t="n">
        <v>2.48</v>
      </c>
      <c r="K123" t="n">
        <v>4.61</v>
      </c>
      <c r="L123" t="n">
        <v>2.13</v>
      </c>
      <c r="M123" t="n">
        <v>0.75</v>
      </c>
      <c r="N123" t="n">
        <v>0.41</v>
      </c>
      <c r="O123" t="n">
        <v>0.28</v>
      </c>
      <c r="P123" t="n">
        <v>-0.68</v>
      </c>
      <c r="Q123" t="n">
        <v>4.51</v>
      </c>
      <c r="R123" t="n">
        <v>20.34</v>
      </c>
      <c r="S123" t="n">
        <v>3.87</v>
      </c>
      <c r="T123" t="n">
        <v>8.51</v>
      </c>
      <c r="U123" t="n">
        <v>0.19</v>
      </c>
      <c r="V123" t="n">
        <v>0.63</v>
      </c>
      <c r="W123" t="n">
        <v>0.41</v>
      </c>
      <c r="X123" t="n">
        <v>64.84</v>
      </c>
      <c r="Y123" t="n">
        <v>83.95999999999999</v>
      </c>
      <c r="Z123" t="n">
        <v>2567.5</v>
      </c>
      <c r="AA123" t="n">
        <v>28.79</v>
      </c>
      <c r="AB123" t="n">
        <v>5.86</v>
      </c>
      <c r="AC123" t="n">
        <v>0.03</v>
      </c>
      <c r="AD123" t="n">
        <v>174720000</v>
      </c>
    </row>
    <row r="124">
      <c r="A124" t="inlineStr">
        <is>
          <t>CALI4</t>
        </is>
      </c>
      <c r="B124" t="n">
        <v>50</v>
      </c>
      <c r="D124" t="n">
        <v>8.539999999999999</v>
      </c>
      <c r="E124" t="n">
        <v>1.74</v>
      </c>
      <c r="F124" t="n">
        <v>0.33</v>
      </c>
      <c r="G124" t="n">
        <v>28.23</v>
      </c>
      <c r="H124" t="n">
        <v>16.39</v>
      </c>
      <c r="I124" t="n">
        <v>9.51</v>
      </c>
      <c r="J124" t="n">
        <v>4.95</v>
      </c>
      <c r="K124" t="n">
        <v>4.61</v>
      </c>
      <c r="L124" t="n">
        <v>2.13</v>
      </c>
      <c r="M124" t="n">
        <v>0.75</v>
      </c>
      <c r="N124" t="n">
        <v>0.8100000000000001</v>
      </c>
      <c r="O124" t="n">
        <v>0.5600000000000001</v>
      </c>
      <c r="P124" t="n">
        <v>-1.36</v>
      </c>
      <c r="Q124" t="n">
        <v>4.51</v>
      </c>
      <c r="R124" t="n">
        <v>20.34</v>
      </c>
      <c r="S124" t="n">
        <v>3.87</v>
      </c>
      <c r="T124" t="n">
        <v>8.51</v>
      </c>
      <c r="U124" t="n">
        <v>0.19</v>
      </c>
      <c r="V124" t="n">
        <v>0.63</v>
      </c>
      <c r="W124" t="n">
        <v>0.41</v>
      </c>
      <c r="X124" t="n">
        <v>64.84</v>
      </c>
      <c r="Y124" t="n">
        <v>83.95999999999999</v>
      </c>
      <c r="AA124" t="n">
        <v>28.79</v>
      </c>
      <c r="AB124" t="n">
        <v>5.86</v>
      </c>
      <c r="AC124" t="n">
        <v>0.06</v>
      </c>
      <c r="AD124" t="n">
        <v>174720000</v>
      </c>
    </row>
    <row r="125">
      <c r="A125" t="inlineStr">
        <is>
          <t>CAMB3</t>
        </is>
      </c>
      <c r="B125" t="n">
        <v>9.02</v>
      </c>
      <c r="C125" t="n">
        <v>13.56</v>
      </c>
      <c r="D125" t="n">
        <v>5.53</v>
      </c>
      <c r="E125" t="n">
        <v>1.19</v>
      </c>
      <c r="F125" t="n">
        <v>0.98</v>
      </c>
      <c r="G125" t="n">
        <v>49.37</v>
      </c>
      <c r="H125" t="n">
        <v>17.14</v>
      </c>
      <c r="I125" t="n">
        <v>17.94</v>
      </c>
      <c r="J125" t="n">
        <v>5.79</v>
      </c>
      <c r="K125" t="n">
        <v>5.06</v>
      </c>
      <c r="L125" t="n">
        <v>-0.86</v>
      </c>
      <c r="M125" t="n">
        <v>-0.18</v>
      </c>
      <c r="N125" t="n">
        <v>0.99</v>
      </c>
      <c r="O125" t="n">
        <v>2.61</v>
      </c>
      <c r="P125" t="n">
        <v>-2.02</v>
      </c>
      <c r="Q125" t="n">
        <v>3.67</v>
      </c>
      <c r="R125" t="n">
        <v>21.59</v>
      </c>
      <c r="S125" t="n">
        <v>17.67</v>
      </c>
      <c r="T125" t="n">
        <v>18.88</v>
      </c>
      <c r="U125" t="n">
        <v>0.82</v>
      </c>
      <c r="V125" t="n">
        <v>0.18</v>
      </c>
      <c r="W125" t="n">
        <v>0.99</v>
      </c>
      <c r="X125" t="n">
        <v>19.61</v>
      </c>
      <c r="Y125" t="n">
        <v>25.66</v>
      </c>
      <c r="Z125" t="n">
        <v>106358.05</v>
      </c>
      <c r="AA125" t="n">
        <v>7.56</v>
      </c>
      <c r="AB125" t="n">
        <v>1.63</v>
      </c>
      <c r="AC125" t="n">
        <v>-0.7</v>
      </c>
      <c r="AD125" t="n">
        <v>389776237.6</v>
      </c>
    </row>
    <row r="126">
      <c r="A126" t="inlineStr">
        <is>
          <t>CAMB4</t>
        </is>
      </c>
      <c r="B126" t="n">
        <v>6.25</v>
      </c>
      <c r="D126" t="n">
        <v>3.83</v>
      </c>
      <c r="E126" t="n">
        <v>0.83</v>
      </c>
      <c r="F126" t="n">
        <v>0.68</v>
      </c>
      <c r="G126" t="n">
        <v>49.37</v>
      </c>
      <c r="H126" t="n">
        <v>17.14</v>
      </c>
      <c r="I126" t="n">
        <v>17.94</v>
      </c>
      <c r="J126" t="n">
        <v>4.01</v>
      </c>
      <c r="K126" t="n">
        <v>5.06</v>
      </c>
      <c r="L126" t="n">
        <v>-0.86</v>
      </c>
      <c r="M126" t="n">
        <v>-0.18</v>
      </c>
      <c r="N126" t="n">
        <v>0.6899999999999999</v>
      </c>
      <c r="O126" t="n">
        <v>1.81</v>
      </c>
      <c r="P126" t="n">
        <v>-1.4</v>
      </c>
      <c r="Q126" t="n">
        <v>3.67</v>
      </c>
      <c r="R126" t="n">
        <v>21.59</v>
      </c>
      <c r="S126" t="n">
        <v>17.67</v>
      </c>
      <c r="T126" t="n">
        <v>18.88</v>
      </c>
      <c r="U126" t="n">
        <v>0.82</v>
      </c>
      <c r="V126" t="n">
        <v>0.18</v>
      </c>
      <c r="W126" t="n">
        <v>0.99</v>
      </c>
      <c r="X126" t="n">
        <v>19.61</v>
      </c>
      <c r="Y126" t="n">
        <v>25.66</v>
      </c>
      <c r="AA126" t="n">
        <v>7.56</v>
      </c>
      <c r="AB126" t="n">
        <v>1.63</v>
      </c>
      <c r="AC126" t="n">
        <v>-0.48</v>
      </c>
      <c r="AD126" t="n">
        <v>389776237.6</v>
      </c>
    </row>
    <row r="127">
      <c r="A127" t="inlineStr">
        <is>
          <t>CAML3</t>
        </is>
      </c>
      <c r="B127" t="n">
        <v>4.59</v>
      </c>
      <c r="C127" t="n">
        <v>6.39</v>
      </c>
      <c r="D127" t="n">
        <v>8.25</v>
      </c>
      <c r="E127" t="n">
        <v>0.53</v>
      </c>
      <c r="F127" t="n">
        <v>0.15</v>
      </c>
      <c r="G127" t="n">
        <v>23.09</v>
      </c>
      <c r="H127" t="n">
        <v>5.61</v>
      </c>
      <c r="I127" t="n">
        <v>1.69</v>
      </c>
      <c r="J127" t="n">
        <v>2.48</v>
      </c>
      <c r="K127" t="n">
        <v>7.49</v>
      </c>
      <c r="L127" t="n">
        <v>5.02</v>
      </c>
      <c r="M127" t="n">
        <v>1.08</v>
      </c>
      <c r="N127" t="n">
        <v>0.14</v>
      </c>
      <c r="O127" t="n">
        <v>0.6</v>
      </c>
      <c r="P127" t="n">
        <v>-0.31</v>
      </c>
      <c r="Q127" t="n">
        <v>1.95</v>
      </c>
      <c r="R127" t="n">
        <v>6.46</v>
      </c>
      <c r="S127" t="n">
        <v>1.81</v>
      </c>
      <c r="T127" t="n">
        <v>4.8</v>
      </c>
      <c r="U127" t="n">
        <v>0.28</v>
      </c>
      <c r="V127" t="n">
        <v>0.72</v>
      </c>
      <c r="W127" t="n">
        <v>1.07</v>
      </c>
      <c r="X127" t="n">
        <v>8.279999999999999</v>
      </c>
      <c r="Y127" t="n">
        <v>-15.89</v>
      </c>
      <c r="Z127" t="n">
        <v>6348842.18</v>
      </c>
      <c r="AA127" t="n">
        <v>8.619999999999999</v>
      </c>
      <c r="AB127" t="n">
        <v>0.5600000000000001</v>
      </c>
      <c r="AC127" t="n">
        <v>-0.29</v>
      </c>
      <c r="AD127" t="n">
        <v>1603000000</v>
      </c>
    </row>
    <row r="128">
      <c r="A128" t="inlineStr">
        <is>
          <t>CASH3</t>
        </is>
      </c>
      <c r="B128" t="n">
        <v>4.27</v>
      </c>
      <c r="D128" t="n">
        <v>-6.82</v>
      </c>
      <c r="E128" t="n">
        <v>1.07</v>
      </c>
      <c r="F128" t="n">
        <v>0.88</v>
      </c>
      <c r="G128" t="n">
        <v>-8.9</v>
      </c>
      <c r="H128" t="n">
        <v>-8.9</v>
      </c>
      <c r="I128" t="n">
        <v>-14.83</v>
      </c>
      <c r="J128" t="n">
        <v>-11.37</v>
      </c>
      <c r="K128" t="n">
        <v>-9.220000000000001</v>
      </c>
      <c r="L128" t="n">
        <v>2.15</v>
      </c>
      <c r="M128" t="n">
        <v>-0.2</v>
      </c>
      <c r="N128" t="n">
        <v>1.01</v>
      </c>
      <c r="O128" t="n">
        <v>3.9</v>
      </c>
      <c r="P128" t="n">
        <v>-1.37</v>
      </c>
      <c r="Q128" t="n">
        <v>2.68</v>
      </c>
      <c r="R128" t="n">
        <v>-15.69</v>
      </c>
      <c r="S128" t="n">
        <v>-12.89</v>
      </c>
      <c r="T128" t="n">
        <v>-23.72</v>
      </c>
      <c r="U128" t="n">
        <v>0.82</v>
      </c>
      <c r="V128" t="n">
        <v>0.17</v>
      </c>
      <c r="W128" t="n">
        <v>0.87</v>
      </c>
      <c r="X128" t="n">
        <v>29.7</v>
      </c>
      <c r="Z128" t="n">
        <v>9136733.27</v>
      </c>
      <c r="AA128" t="n">
        <v>3.99</v>
      </c>
      <c r="AB128" t="n">
        <v>-0.63</v>
      </c>
      <c r="AC128" t="n">
        <v>-0.02</v>
      </c>
      <c r="AD128" t="n">
        <v>483795816.56</v>
      </c>
    </row>
    <row r="129">
      <c r="A129" t="inlineStr">
        <is>
          <t>CASN3</t>
        </is>
      </c>
      <c r="B129" t="n">
        <v>8.77</v>
      </c>
      <c r="C129" t="n">
        <v>0.49</v>
      </c>
      <c r="D129" t="n">
        <v>27.35</v>
      </c>
      <c r="E129" t="n">
        <v>3.84</v>
      </c>
      <c r="F129" t="n">
        <v>1.7</v>
      </c>
      <c r="G129" t="n">
        <v>50.63</v>
      </c>
      <c r="H129" t="n">
        <v>29.44</v>
      </c>
      <c r="I129" t="n">
        <v>17.74</v>
      </c>
      <c r="J129" t="n">
        <v>16.49</v>
      </c>
      <c r="K129" t="n">
        <v>17.62</v>
      </c>
      <c r="L129" t="n">
        <v>3.69</v>
      </c>
      <c r="M129" t="n">
        <v>0.86</v>
      </c>
      <c r="N129" t="n">
        <v>4.85</v>
      </c>
      <c r="O129" t="n">
        <v>226.63</v>
      </c>
      <c r="P129" t="n">
        <v>-2.03</v>
      </c>
      <c r="Q129" t="n">
        <v>1.05</v>
      </c>
      <c r="R129" t="n">
        <v>14.04</v>
      </c>
      <c r="S129" t="n">
        <v>6.2</v>
      </c>
      <c r="T129" t="n">
        <v>9.02</v>
      </c>
      <c r="U129" t="n">
        <v>0.44</v>
      </c>
      <c r="V129" t="n">
        <v>0.5600000000000001</v>
      </c>
      <c r="W129" t="n">
        <v>0.35</v>
      </c>
      <c r="X129" t="n">
        <v>13.65</v>
      </c>
      <c r="Y129" t="n">
        <v>27.77</v>
      </c>
      <c r="AA129" t="n">
        <v>2.28</v>
      </c>
      <c r="AB129" t="n">
        <v>0.32</v>
      </c>
      <c r="AC129" t="n">
        <v>1.78</v>
      </c>
      <c r="AD129" t="n">
        <v>8853637450.790001</v>
      </c>
    </row>
    <row r="130">
      <c r="A130" t="inlineStr">
        <is>
          <t>CASN4</t>
        </is>
      </c>
      <c r="B130" t="n">
        <v>6.07</v>
      </c>
      <c r="C130" t="n">
        <v>0.78</v>
      </c>
      <c r="D130" t="n">
        <v>18.93</v>
      </c>
      <c r="E130" t="n">
        <v>2.66</v>
      </c>
      <c r="F130" t="n">
        <v>1.17</v>
      </c>
      <c r="G130" t="n">
        <v>50.63</v>
      </c>
      <c r="H130" t="n">
        <v>29.44</v>
      </c>
      <c r="I130" t="n">
        <v>17.74</v>
      </c>
      <c r="J130" t="n">
        <v>11.41</v>
      </c>
      <c r="K130" t="n">
        <v>17.62</v>
      </c>
      <c r="L130" t="n">
        <v>3.69</v>
      </c>
      <c r="M130" t="n">
        <v>0.86</v>
      </c>
      <c r="N130" t="n">
        <v>3.36</v>
      </c>
      <c r="O130" t="n">
        <v>156.86</v>
      </c>
      <c r="P130" t="n">
        <v>-1.4</v>
      </c>
      <c r="Q130" t="n">
        <v>1.05</v>
      </c>
      <c r="R130" t="n">
        <v>14.04</v>
      </c>
      <c r="S130" t="n">
        <v>6.2</v>
      </c>
      <c r="T130" t="n">
        <v>9.02</v>
      </c>
      <c r="U130" t="n">
        <v>0.44</v>
      </c>
      <c r="V130" t="n">
        <v>0.5600000000000001</v>
      </c>
      <c r="W130" t="n">
        <v>0.35</v>
      </c>
      <c r="X130" t="n">
        <v>13.65</v>
      </c>
      <c r="Y130" t="n">
        <v>27.77</v>
      </c>
      <c r="AA130" t="n">
        <v>2.28</v>
      </c>
      <c r="AB130" t="n">
        <v>0.32</v>
      </c>
      <c r="AC130" t="n">
        <v>1.23</v>
      </c>
      <c r="AD130" t="n">
        <v>8853637450.790001</v>
      </c>
    </row>
    <row r="131">
      <c r="A131" t="inlineStr">
        <is>
          <t>CATA3</t>
        </is>
      </c>
      <c r="B131" t="n">
        <v>103.61</v>
      </c>
      <c r="C131" t="n">
        <v>6.63</v>
      </c>
      <c r="D131" t="n">
        <v>1.27</v>
      </c>
      <c r="E131" t="n">
        <v>0.07000000000000001</v>
      </c>
      <c r="F131" t="n">
        <v>0.04</v>
      </c>
      <c r="G131" t="n">
        <v>24.36</v>
      </c>
      <c r="H131" t="n">
        <v>4.09</v>
      </c>
      <c r="I131" t="n">
        <v>4.24</v>
      </c>
      <c r="J131" t="n">
        <v>1.32</v>
      </c>
      <c r="K131" t="n">
        <v>9.16</v>
      </c>
      <c r="L131" t="n">
        <v>7.85</v>
      </c>
      <c r="M131" t="n">
        <v>0.44</v>
      </c>
      <c r="N131" t="n">
        <v>0.05</v>
      </c>
      <c r="O131" t="n">
        <v>0.13</v>
      </c>
      <c r="P131" t="n">
        <v>-0.09</v>
      </c>
      <c r="Q131" t="n">
        <v>1.8</v>
      </c>
      <c r="R131" t="n">
        <v>5.79</v>
      </c>
      <c r="S131" t="n">
        <v>2.75</v>
      </c>
      <c r="T131" t="n">
        <v>1.4</v>
      </c>
      <c r="U131" t="n">
        <v>0.48</v>
      </c>
      <c r="V131" t="n">
        <v>0.52</v>
      </c>
      <c r="W131" t="n">
        <v>0.65</v>
      </c>
      <c r="X131" t="n">
        <v>16.54</v>
      </c>
      <c r="AA131" t="n">
        <v>1405.93</v>
      </c>
      <c r="AB131" t="n">
        <v>81.36</v>
      </c>
      <c r="AC131" t="n">
        <v>-0.03</v>
      </c>
      <c r="AD131" t="n">
        <v>14940354.78</v>
      </c>
    </row>
    <row r="132">
      <c r="A132" t="inlineStr">
        <is>
          <t>CATA4</t>
        </is>
      </c>
      <c r="B132" t="n">
        <v>0</v>
      </c>
      <c r="D132" t="n">
        <v>0</v>
      </c>
      <c r="E132" t="n">
        <v>0</v>
      </c>
      <c r="F132" t="n">
        <v>0</v>
      </c>
      <c r="G132" t="n">
        <v>24.36</v>
      </c>
      <c r="H132" t="n">
        <v>4.09</v>
      </c>
      <c r="I132" t="n">
        <v>4.24</v>
      </c>
      <c r="J132" t="n">
        <v>0</v>
      </c>
      <c r="K132" t="n">
        <v>9.16</v>
      </c>
      <c r="L132" t="n">
        <v>7.85</v>
      </c>
      <c r="M132" t="n">
        <v>0.44</v>
      </c>
      <c r="N132" t="n">
        <v>0</v>
      </c>
      <c r="O132" t="n">
        <v>0</v>
      </c>
      <c r="P132" t="n">
        <v>0</v>
      </c>
      <c r="Q132" t="n">
        <v>1.8</v>
      </c>
      <c r="R132" t="n">
        <v>5.79</v>
      </c>
      <c r="S132" t="n">
        <v>2.75</v>
      </c>
      <c r="T132" t="n">
        <v>1.4</v>
      </c>
      <c r="U132" t="n">
        <v>0.48</v>
      </c>
      <c r="V132" t="n">
        <v>0.52</v>
      </c>
      <c r="W132" t="n">
        <v>0.65</v>
      </c>
      <c r="X132" t="n">
        <v>16.54</v>
      </c>
      <c r="AA132" t="n">
        <v>1405.93</v>
      </c>
      <c r="AB132" t="n">
        <v>81.36</v>
      </c>
      <c r="AC132" t="n">
        <v>0</v>
      </c>
      <c r="AD132" t="n">
        <v>14940354.78</v>
      </c>
    </row>
    <row r="133">
      <c r="A133" t="inlineStr">
        <is>
          <t>CBAV3</t>
        </is>
      </c>
      <c r="B133" t="n">
        <v>10.93</v>
      </c>
      <c r="C133" t="n">
        <v>0.4</v>
      </c>
      <c r="D133" t="n">
        <v>58.09</v>
      </c>
      <c r="E133" t="n">
        <v>1.54</v>
      </c>
      <c r="F133" t="n">
        <v>0.5</v>
      </c>
      <c r="G133" t="n">
        <v>8.35</v>
      </c>
      <c r="H133" t="n">
        <v>4.96</v>
      </c>
      <c r="I133" t="n">
        <v>1.4</v>
      </c>
      <c r="J133" t="n">
        <v>16.39</v>
      </c>
      <c r="K133" t="n">
        <v>23.61</v>
      </c>
      <c r="L133" t="n">
        <v>7.22</v>
      </c>
      <c r="M133" t="n">
        <v>0.68</v>
      </c>
      <c r="N133" t="n">
        <v>0.8100000000000001</v>
      </c>
      <c r="O133" t="n">
        <v>2.84</v>
      </c>
      <c r="P133" t="n">
        <v>-0.76</v>
      </c>
      <c r="Q133" t="n">
        <v>2.11</v>
      </c>
      <c r="R133" t="n">
        <v>2.65</v>
      </c>
      <c r="S133" t="n">
        <v>0.87</v>
      </c>
      <c r="T133" t="n">
        <v>2.32</v>
      </c>
      <c r="U133" t="n">
        <v>0.33</v>
      </c>
      <c r="V133" t="n">
        <v>0.66</v>
      </c>
      <c r="W133" t="n">
        <v>0.62</v>
      </c>
      <c r="X133" t="n">
        <v>10.19</v>
      </c>
      <c r="Z133" t="n">
        <v>19165839.36</v>
      </c>
      <c r="AA133" t="n">
        <v>7.11</v>
      </c>
      <c r="AB133" t="n">
        <v>0.19</v>
      </c>
      <c r="AC133" t="n">
        <v>-1.8</v>
      </c>
      <c r="AD133" t="n">
        <v>7116224578.21</v>
      </c>
    </row>
    <row r="134">
      <c r="A134" t="inlineStr">
        <is>
          <t>CBEE3</t>
        </is>
      </c>
      <c r="B134" t="n">
        <v>10.01</v>
      </c>
      <c r="D134" t="n">
        <v>89.31999999999999</v>
      </c>
      <c r="E134" t="n">
        <v>0.46</v>
      </c>
      <c r="F134" t="n">
        <v>0.2</v>
      </c>
      <c r="G134" t="n">
        <v>17.53</v>
      </c>
      <c r="H134" t="n">
        <v>8.99</v>
      </c>
      <c r="I134" t="n">
        <v>0.5</v>
      </c>
      <c r="J134" t="n">
        <v>4.99</v>
      </c>
      <c r="K134" t="n">
        <v>10.24</v>
      </c>
      <c r="L134" t="n">
        <v>5.25</v>
      </c>
      <c r="M134" t="n">
        <v>0.48</v>
      </c>
      <c r="N134" t="n">
        <v>0.45</v>
      </c>
      <c r="O134" t="n">
        <v>-1.96</v>
      </c>
      <c r="P134" t="n">
        <v>-0.26</v>
      </c>
      <c r="Q134" t="n">
        <v>0.68</v>
      </c>
      <c r="R134" t="n">
        <v>0.51</v>
      </c>
      <c r="S134" t="n">
        <v>0.23</v>
      </c>
      <c r="T134" t="n">
        <v>5.72</v>
      </c>
      <c r="U134" t="n">
        <v>0.45</v>
      </c>
      <c r="V134" t="n">
        <v>0.55</v>
      </c>
      <c r="W134" t="n">
        <v>0.45</v>
      </c>
      <c r="X134" t="n">
        <v>9.42</v>
      </c>
      <c r="Y134" t="n">
        <v>0.75</v>
      </c>
      <c r="Z134" t="n">
        <v>4054.7</v>
      </c>
      <c r="AA134" t="n">
        <v>22</v>
      </c>
      <c r="AB134" t="n">
        <v>0.11</v>
      </c>
      <c r="AC134" t="n">
        <v>-0.96</v>
      </c>
      <c r="AD134" t="n">
        <v>4536771669.43</v>
      </c>
    </row>
    <row r="135">
      <c r="A135" t="inlineStr">
        <is>
          <t>CCXC3</t>
        </is>
      </c>
      <c r="B135" t="n">
        <v>1.16</v>
      </c>
      <c r="D135" t="n">
        <v>-0.25</v>
      </c>
      <c r="E135" t="n">
        <v>-0.03</v>
      </c>
      <c r="F135" t="n">
        <v>2.34</v>
      </c>
      <c r="J135" t="n">
        <v>-3.26</v>
      </c>
      <c r="K135" t="n">
        <v>-3.21</v>
      </c>
      <c r="L135" t="n">
        <v>0.05</v>
      </c>
      <c r="O135" t="n">
        <v>-0.03</v>
      </c>
      <c r="Q135" t="n">
        <v>0.01</v>
      </c>
      <c r="R135" t="n">
        <v>-10.66</v>
      </c>
      <c r="S135" t="n">
        <v>-946.4400000000001</v>
      </c>
      <c r="T135" t="n">
        <v>0.8100000000000001</v>
      </c>
      <c r="U135" t="n">
        <v>-88.75</v>
      </c>
      <c r="V135" t="n">
        <v>89.75</v>
      </c>
      <c r="W135" t="n">
        <v>0</v>
      </c>
      <c r="AA135" t="n">
        <v>-43.93</v>
      </c>
      <c r="AB135" t="n">
        <v>-4.68</v>
      </c>
      <c r="AC135" t="n">
        <v>0</v>
      </c>
      <c r="AD135" t="n">
        <v>1973425.64</v>
      </c>
    </row>
    <row r="136">
      <c r="A136" t="inlineStr">
        <is>
          <t>CEAB3</t>
        </is>
      </c>
      <c r="B136" t="n">
        <v>9.19</v>
      </c>
      <c r="C136" t="n">
        <v>5.68</v>
      </c>
      <c r="D136" t="n">
        <v>4.84</v>
      </c>
      <c r="E136" t="n">
        <v>0.76</v>
      </c>
      <c r="F136" t="n">
        <v>0.33</v>
      </c>
      <c r="G136" t="n">
        <v>55.84</v>
      </c>
      <c r="H136" t="n">
        <v>12.79</v>
      </c>
      <c r="I136" t="n">
        <v>7.32</v>
      </c>
      <c r="J136" t="n">
        <v>2.77</v>
      </c>
      <c r="K136" t="n">
        <v>2.89</v>
      </c>
      <c r="L136" t="n">
        <v>0.13</v>
      </c>
      <c r="M136" t="n">
        <v>0.04</v>
      </c>
      <c r="N136" t="n">
        <v>0.35</v>
      </c>
      <c r="O136" t="n">
        <v>1.76</v>
      </c>
      <c r="P136" t="n">
        <v>-0.61</v>
      </c>
      <c r="Q136" t="n">
        <v>1.67</v>
      </c>
      <c r="R136" t="n">
        <v>15.79</v>
      </c>
      <c r="S136" t="n">
        <v>6.78</v>
      </c>
      <c r="T136" t="n">
        <v>16.9</v>
      </c>
      <c r="U136" t="n">
        <v>0.43</v>
      </c>
      <c r="V136" t="n">
        <v>0.57</v>
      </c>
      <c r="W136" t="n">
        <v>0.93</v>
      </c>
      <c r="X136" t="n">
        <v>14.34</v>
      </c>
      <c r="Z136" t="n">
        <v>57220815.23</v>
      </c>
      <c r="AA136" t="n">
        <v>12.01</v>
      </c>
      <c r="AB136" t="n">
        <v>1.9</v>
      </c>
      <c r="AC136" t="n">
        <v>0.09</v>
      </c>
      <c r="AD136" t="n">
        <v>2820442372.2</v>
      </c>
    </row>
    <row r="137">
      <c r="A137" t="inlineStr">
        <is>
          <t>CEBR3</t>
        </is>
      </c>
      <c r="B137" t="n">
        <v>23.61</v>
      </c>
      <c r="C137" t="n">
        <v>20.93</v>
      </c>
      <c r="D137" t="n">
        <v>10.2</v>
      </c>
      <c r="E137" t="n">
        <v>1.8</v>
      </c>
      <c r="F137" t="n">
        <v>1.24</v>
      </c>
      <c r="G137" t="n">
        <v>43.6</v>
      </c>
      <c r="H137" t="n">
        <v>43.01</v>
      </c>
      <c r="I137" t="n">
        <v>34.89</v>
      </c>
      <c r="J137" t="n">
        <v>8.27</v>
      </c>
      <c r="K137" t="n">
        <v>6.39</v>
      </c>
      <c r="L137" t="n">
        <v>-1.85</v>
      </c>
      <c r="M137" t="n">
        <v>-0.4</v>
      </c>
      <c r="N137" t="n">
        <v>3.56</v>
      </c>
      <c r="O137" t="n">
        <v>3.18</v>
      </c>
      <c r="P137" t="n">
        <v>-2.35</v>
      </c>
      <c r="Q137" t="n">
        <v>5.89</v>
      </c>
      <c r="R137" t="n">
        <v>17.65</v>
      </c>
      <c r="S137" t="n">
        <v>12.21</v>
      </c>
      <c r="T137" t="n">
        <v>11.92</v>
      </c>
      <c r="U137" t="n">
        <v>0.6899999999999999</v>
      </c>
      <c r="V137" t="n">
        <v>0.14</v>
      </c>
      <c r="W137" t="n">
        <v>0.35</v>
      </c>
      <c r="X137" t="n">
        <v>14.87</v>
      </c>
      <c r="Y137" t="n">
        <v>-17.34</v>
      </c>
      <c r="Z137" t="n">
        <v>229294.64</v>
      </c>
      <c r="AA137" t="n">
        <v>13.12</v>
      </c>
      <c r="AB137" t="n">
        <v>2.32</v>
      </c>
      <c r="AC137" t="n">
        <v>-1.37</v>
      </c>
      <c r="AD137" t="n">
        <v>1696410648.6</v>
      </c>
    </row>
    <row r="138">
      <c r="A138" t="inlineStr">
        <is>
          <t>CEBR5</t>
        </is>
      </c>
      <c r="B138" t="n">
        <v>23.18</v>
      </c>
      <c r="C138" t="n">
        <v>21.32</v>
      </c>
      <c r="D138" t="n">
        <v>10.01</v>
      </c>
      <c r="E138" t="n">
        <v>1.77</v>
      </c>
      <c r="F138" t="n">
        <v>1.22</v>
      </c>
      <c r="G138" t="n">
        <v>43.6</v>
      </c>
      <c r="H138" t="n">
        <v>43.01</v>
      </c>
      <c r="I138" t="n">
        <v>34.89</v>
      </c>
      <c r="J138" t="n">
        <v>8.119999999999999</v>
      </c>
      <c r="K138" t="n">
        <v>6.39</v>
      </c>
      <c r="L138" t="n">
        <v>-1.85</v>
      </c>
      <c r="M138" t="n">
        <v>-0.4</v>
      </c>
      <c r="N138" t="n">
        <v>3.49</v>
      </c>
      <c r="O138" t="n">
        <v>3.13</v>
      </c>
      <c r="P138" t="n">
        <v>-2.31</v>
      </c>
      <c r="Q138" t="n">
        <v>5.89</v>
      </c>
      <c r="R138" t="n">
        <v>17.65</v>
      </c>
      <c r="S138" t="n">
        <v>12.21</v>
      </c>
      <c r="T138" t="n">
        <v>11.92</v>
      </c>
      <c r="U138" t="n">
        <v>0.6899999999999999</v>
      </c>
      <c r="V138" t="n">
        <v>0.14</v>
      </c>
      <c r="W138" t="n">
        <v>0.35</v>
      </c>
      <c r="X138" t="n">
        <v>14.87</v>
      </c>
      <c r="Y138" t="n">
        <v>-17.34</v>
      </c>
      <c r="Z138" t="n">
        <v>289079.68</v>
      </c>
      <c r="AA138" t="n">
        <v>13.12</v>
      </c>
      <c r="AB138" t="n">
        <v>2.32</v>
      </c>
      <c r="AC138" t="n">
        <v>-1.34</v>
      </c>
      <c r="AD138" t="n">
        <v>1696410648.6</v>
      </c>
    </row>
    <row r="139">
      <c r="A139" t="inlineStr">
        <is>
          <t>CEBR6</t>
        </is>
      </c>
      <c r="B139" t="n">
        <v>28.33</v>
      </c>
      <c r="C139" t="n">
        <v>18.83</v>
      </c>
      <c r="D139" t="n">
        <v>12.23</v>
      </c>
      <c r="E139" t="n">
        <v>2.16</v>
      </c>
      <c r="F139" t="n">
        <v>1.49</v>
      </c>
      <c r="G139" t="n">
        <v>43.6</v>
      </c>
      <c r="H139" t="n">
        <v>43.01</v>
      </c>
      <c r="I139" t="n">
        <v>34.89</v>
      </c>
      <c r="J139" t="n">
        <v>9.92</v>
      </c>
      <c r="K139" t="n">
        <v>6.39</v>
      </c>
      <c r="L139" t="n">
        <v>-1.85</v>
      </c>
      <c r="M139" t="n">
        <v>-0.4</v>
      </c>
      <c r="N139" t="n">
        <v>4.27</v>
      </c>
      <c r="O139" t="n">
        <v>3.82</v>
      </c>
      <c r="P139" t="n">
        <v>-2.82</v>
      </c>
      <c r="Q139" t="n">
        <v>5.89</v>
      </c>
      <c r="R139" t="n">
        <v>17.65</v>
      </c>
      <c r="S139" t="n">
        <v>12.21</v>
      </c>
      <c r="T139" t="n">
        <v>11.92</v>
      </c>
      <c r="U139" t="n">
        <v>0.6899999999999999</v>
      </c>
      <c r="V139" t="n">
        <v>0.14</v>
      </c>
      <c r="W139" t="n">
        <v>0.35</v>
      </c>
      <c r="X139" t="n">
        <v>14.87</v>
      </c>
      <c r="Y139" t="n">
        <v>-17.34</v>
      </c>
      <c r="Z139" t="n">
        <v>81239.67999999999</v>
      </c>
      <c r="AA139" t="n">
        <v>13.12</v>
      </c>
      <c r="AB139" t="n">
        <v>2.32</v>
      </c>
      <c r="AC139" t="n">
        <v>-1.64</v>
      </c>
      <c r="AD139" t="n">
        <v>1696410648.6</v>
      </c>
    </row>
    <row r="140">
      <c r="A140" t="inlineStr">
        <is>
          <t>CEDO3</t>
        </is>
      </c>
      <c r="B140" t="n">
        <v>9</v>
      </c>
      <c r="D140" t="n">
        <v>-1.62</v>
      </c>
      <c r="E140" t="n">
        <v>0.35</v>
      </c>
      <c r="F140" t="n">
        <v>0.1</v>
      </c>
      <c r="G140" t="n">
        <v>21.93</v>
      </c>
      <c r="H140" t="n">
        <v>1.79</v>
      </c>
      <c r="I140" t="n">
        <v>-7.04</v>
      </c>
      <c r="J140" t="n">
        <v>6.36</v>
      </c>
      <c r="K140" t="n">
        <v>32.15</v>
      </c>
      <c r="L140" t="n">
        <v>26.34</v>
      </c>
      <c r="M140" t="n">
        <v>1.44</v>
      </c>
      <c r="N140" t="n">
        <v>0.11</v>
      </c>
      <c r="O140" t="n">
        <v>-5.33</v>
      </c>
      <c r="P140" t="n">
        <v>-0.16</v>
      </c>
      <c r="Q140" t="n">
        <v>0.96</v>
      </c>
      <c r="R140" t="n">
        <v>-21.39</v>
      </c>
      <c r="S140" t="n">
        <v>-5.97</v>
      </c>
      <c r="T140" t="n">
        <v>-1.48</v>
      </c>
      <c r="U140" t="n">
        <v>0.28</v>
      </c>
      <c r="V140" t="n">
        <v>0.72</v>
      </c>
      <c r="W140" t="n">
        <v>0.85</v>
      </c>
      <c r="X140" t="n">
        <v>6.02</v>
      </c>
      <c r="Z140" t="n">
        <v>0</v>
      </c>
      <c r="AA140" t="n">
        <v>25.95</v>
      </c>
      <c r="AB140" t="n">
        <v>-5.55</v>
      </c>
      <c r="AC140" t="n">
        <v>0.01</v>
      </c>
      <c r="AD140" t="n">
        <v>82229858.23999999</v>
      </c>
    </row>
    <row r="141">
      <c r="A141" t="inlineStr">
        <is>
          <t>CEDO4</t>
        </is>
      </c>
      <c r="B141" t="n">
        <v>7.19</v>
      </c>
      <c r="D141" t="n">
        <v>-1.3</v>
      </c>
      <c r="E141" t="n">
        <v>0.28</v>
      </c>
      <c r="F141" t="n">
        <v>0.08</v>
      </c>
      <c r="G141" t="n">
        <v>21.93</v>
      </c>
      <c r="H141" t="n">
        <v>1.79</v>
      </c>
      <c r="I141" t="n">
        <v>-7.04</v>
      </c>
      <c r="J141" t="n">
        <v>5.08</v>
      </c>
      <c r="K141" t="n">
        <v>32.15</v>
      </c>
      <c r="L141" t="n">
        <v>26.34</v>
      </c>
      <c r="M141" t="n">
        <v>1.44</v>
      </c>
      <c r="N141" t="n">
        <v>0.09</v>
      </c>
      <c r="O141" t="n">
        <v>-4.26</v>
      </c>
      <c r="P141" t="n">
        <v>-0.13</v>
      </c>
      <c r="Q141" t="n">
        <v>0.96</v>
      </c>
      <c r="R141" t="n">
        <v>-21.39</v>
      </c>
      <c r="S141" t="n">
        <v>-5.97</v>
      </c>
      <c r="T141" t="n">
        <v>-1.48</v>
      </c>
      <c r="U141" t="n">
        <v>0.28</v>
      </c>
      <c r="V141" t="n">
        <v>0.72</v>
      </c>
      <c r="W141" t="n">
        <v>0.85</v>
      </c>
      <c r="X141" t="n">
        <v>6.02</v>
      </c>
      <c r="Z141" t="n">
        <v>3936.95</v>
      </c>
      <c r="AA141" t="n">
        <v>25.95</v>
      </c>
      <c r="AB141" t="n">
        <v>-5.55</v>
      </c>
      <c r="AC141" t="n">
        <v>0.01</v>
      </c>
      <c r="AD141" t="n">
        <v>82229858.23999999</v>
      </c>
    </row>
    <row r="142">
      <c r="A142" t="inlineStr">
        <is>
          <t>CEEB3</t>
        </is>
      </c>
      <c r="B142" t="n">
        <v>46.8</v>
      </c>
      <c r="C142" t="n">
        <v>12.47</v>
      </c>
      <c r="D142" t="n">
        <v>8.220000000000001</v>
      </c>
      <c r="E142" t="n">
        <v>1.48</v>
      </c>
      <c r="F142" t="n">
        <v>0.32</v>
      </c>
      <c r="G142" t="n">
        <v>28.41</v>
      </c>
      <c r="H142" t="n">
        <v>22.16</v>
      </c>
      <c r="I142" t="n">
        <v>7.7</v>
      </c>
      <c r="J142" t="n">
        <v>2.86</v>
      </c>
      <c r="K142" t="n">
        <v>7.76</v>
      </c>
      <c r="L142" t="n">
        <v>4.54</v>
      </c>
      <c r="M142" t="n">
        <v>2.35</v>
      </c>
      <c r="N142" t="n">
        <v>0.63</v>
      </c>
      <c r="O142" t="n">
        <v>9.83</v>
      </c>
      <c r="P142" t="n">
        <v>-0.4</v>
      </c>
      <c r="Q142" t="n">
        <v>1.2</v>
      </c>
      <c r="R142" t="n">
        <v>17.94</v>
      </c>
      <c r="S142" t="n">
        <v>3.93</v>
      </c>
      <c r="T142" t="n">
        <v>13.33</v>
      </c>
      <c r="U142" t="n">
        <v>0.22</v>
      </c>
      <c r="V142" t="n">
        <v>0.78</v>
      </c>
      <c r="W142" t="n">
        <v>0.51</v>
      </c>
      <c r="X142" t="n">
        <v>10.25</v>
      </c>
      <c r="Y142" t="n">
        <v>4.12</v>
      </c>
      <c r="Z142" t="n">
        <v>32033.81</v>
      </c>
      <c r="AA142" t="n">
        <v>31.73</v>
      </c>
      <c r="AB142" t="n">
        <v>5.69</v>
      </c>
      <c r="AC142" t="n">
        <v>-0.27</v>
      </c>
      <c r="AD142" t="n">
        <v>13794263746.24</v>
      </c>
    </row>
    <row r="143">
      <c r="A143" t="inlineStr">
        <is>
          <t>CEEB5</t>
        </is>
      </c>
      <c r="B143" t="n">
        <v>42.6</v>
      </c>
      <c r="C143" t="n">
        <v>13.7</v>
      </c>
      <c r="D143" t="n">
        <v>7.48</v>
      </c>
      <c r="E143" t="n">
        <v>1.34</v>
      </c>
      <c r="F143" t="n">
        <v>0.29</v>
      </c>
      <c r="G143" t="n">
        <v>28.41</v>
      </c>
      <c r="H143" t="n">
        <v>22.16</v>
      </c>
      <c r="I143" t="n">
        <v>7.7</v>
      </c>
      <c r="J143" t="n">
        <v>2.6</v>
      </c>
      <c r="K143" t="n">
        <v>7.76</v>
      </c>
      <c r="L143" t="n">
        <v>4.54</v>
      </c>
      <c r="M143" t="n">
        <v>2.35</v>
      </c>
      <c r="N143" t="n">
        <v>0.58</v>
      </c>
      <c r="O143" t="n">
        <v>8.949999999999999</v>
      </c>
      <c r="P143" t="n">
        <v>-0.37</v>
      </c>
      <c r="Q143" t="n">
        <v>1.2</v>
      </c>
      <c r="R143" t="n">
        <v>17.94</v>
      </c>
      <c r="S143" t="n">
        <v>3.93</v>
      </c>
      <c r="T143" t="n">
        <v>13.33</v>
      </c>
      <c r="U143" t="n">
        <v>0.22</v>
      </c>
      <c r="V143" t="n">
        <v>0.78</v>
      </c>
      <c r="W143" t="n">
        <v>0.51</v>
      </c>
      <c r="X143" t="n">
        <v>10.25</v>
      </c>
      <c r="Y143" t="n">
        <v>4.12</v>
      </c>
      <c r="Z143" t="n">
        <v>1065</v>
      </c>
      <c r="AA143" t="n">
        <v>31.73</v>
      </c>
      <c r="AB143" t="n">
        <v>5.69</v>
      </c>
      <c r="AC143" t="n">
        <v>-0.25</v>
      </c>
      <c r="AD143" t="n">
        <v>13794263746.24</v>
      </c>
    </row>
    <row r="144">
      <c r="A144" t="inlineStr">
        <is>
          <t>CEEB6</t>
        </is>
      </c>
      <c r="B144" t="n">
        <v>60.68</v>
      </c>
      <c r="C144" t="n">
        <v>10.58</v>
      </c>
      <c r="D144" t="n">
        <v>10.66</v>
      </c>
      <c r="E144" t="n">
        <v>1.91</v>
      </c>
      <c r="F144" t="n">
        <v>0.42</v>
      </c>
      <c r="G144" t="n">
        <v>28.41</v>
      </c>
      <c r="H144" t="n">
        <v>22.16</v>
      </c>
      <c r="I144" t="n">
        <v>7.7</v>
      </c>
      <c r="J144" t="n">
        <v>3.7</v>
      </c>
      <c r="K144" t="n">
        <v>7.76</v>
      </c>
      <c r="L144" t="n">
        <v>4.54</v>
      </c>
      <c r="M144" t="n">
        <v>2.35</v>
      </c>
      <c r="N144" t="n">
        <v>0.82</v>
      </c>
      <c r="O144" t="n">
        <v>12.74</v>
      </c>
      <c r="P144" t="n">
        <v>-0.52</v>
      </c>
      <c r="Q144" t="n">
        <v>1.2</v>
      </c>
      <c r="R144" t="n">
        <v>17.94</v>
      </c>
      <c r="S144" t="n">
        <v>3.93</v>
      </c>
      <c r="T144" t="n">
        <v>13.33</v>
      </c>
      <c r="U144" t="n">
        <v>0.22</v>
      </c>
      <c r="V144" t="n">
        <v>0.78</v>
      </c>
      <c r="W144" t="n">
        <v>0.51</v>
      </c>
      <c r="X144" t="n">
        <v>10.25</v>
      </c>
      <c r="Y144" t="n">
        <v>4.12</v>
      </c>
      <c r="AA144" t="n">
        <v>31.73</v>
      </c>
      <c r="AB144" t="n">
        <v>5.69</v>
      </c>
      <c r="AC144" t="n">
        <v>-0.36</v>
      </c>
      <c r="AD144" t="n">
        <v>13794263746.24</v>
      </c>
    </row>
    <row r="145">
      <c r="A145" t="inlineStr">
        <is>
          <t>CEED3</t>
        </is>
      </c>
      <c r="B145" t="n">
        <v>7.3</v>
      </c>
      <c r="D145" t="n">
        <v>-0.67</v>
      </c>
      <c r="E145" t="n">
        <v>-0.12</v>
      </c>
      <c r="F145" t="n">
        <v>0.05</v>
      </c>
      <c r="G145" t="n">
        <v>16.84</v>
      </c>
      <c r="H145" t="n">
        <v>5.82</v>
      </c>
      <c r="I145" t="n">
        <v>-11.53</v>
      </c>
      <c r="J145" t="n">
        <v>1.33</v>
      </c>
      <c r="K145" t="n">
        <v>20.15</v>
      </c>
      <c r="L145" t="n">
        <v>18.81</v>
      </c>
      <c r="N145" t="n">
        <v>0.08</v>
      </c>
      <c r="O145" t="n">
        <v>1.55</v>
      </c>
      <c r="P145" t="n">
        <v>-0.07000000000000001</v>
      </c>
      <c r="Q145" t="n">
        <v>1.1</v>
      </c>
      <c r="R145" t="n">
        <v>-17.21</v>
      </c>
      <c r="S145" t="n">
        <v>-7.37</v>
      </c>
      <c r="T145" t="n">
        <v>9.85</v>
      </c>
      <c r="U145" t="n">
        <v>-0.43</v>
      </c>
      <c r="V145" t="n">
        <v>1.43</v>
      </c>
      <c r="W145" t="n">
        <v>0.64</v>
      </c>
      <c r="X145" t="n">
        <v>12.16</v>
      </c>
      <c r="Z145" t="n">
        <v>612.77</v>
      </c>
      <c r="AA145" t="n">
        <v>-63.17</v>
      </c>
      <c r="AB145" t="n">
        <v>-10.87</v>
      </c>
      <c r="AC145" t="n">
        <v>-0.01</v>
      </c>
      <c r="AD145" t="n">
        <v>500343966.8</v>
      </c>
    </row>
    <row r="146">
      <c r="A146" t="inlineStr">
        <is>
          <t>CEED4</t>
        </is>
      </c>
      <c r="B146" t="n">
        <v>20</v>
      </c>
      <c r="D146" t="n">
        <v>-1.84</v>
      </c>
      <c r="E146" t="n">
        <v>-0.32</v>
      </c>
      <c r="F146" t="n">
        <v>0.14</v>
      </c>
      <c r="G146" t="n">
        <v>16.84</v>
      </c>
      <c r="H146" t="n">
        <v>5.82</v>
      </c>
      <c r="I146" t="n">
        <v>-11.53</v>
      </c>
      <c r="J146" t="n">
        <v>3.65</v>
      </c>
      <c r="K146" t="n">
        <v>20.15</v>
      </c>
      <c r="L146" t="n">
        <v>18.81</v>
      </c>
      <c r="N146" t="n">
        <v>0.21</v>
      </c>
      <c r="O146" t="n">
        <v>4.26</v>
      </c>
      <c r="P146" t="n">
        <v>-0.2</v>
      </c>
      <c r="Q146" t="n">
        <v>1.1</v>
      </c>
      <c r="R146" t="n">
        <v>-17.21</v>
      </c>
      <c r="S146" t="n">
        <v>-7.37</v>
      </c>
      <c r="T146" t="n">
        <v>9.85</v>
      </c>
      <c r="U146" t="n">
        <v>-0.43</v>
      </c>
      <c r="V146" t="n">
        <v>1.43</v>
      </c>
      <c r="W146" t="n">
        <v>0.64</v>
      </c>
      <c r="X146" t="n">
        <v>12.16</v>
      </c>
      <c r="AA146" t="n">
        <v>-63.17</v>
      </c>
      <c r="AB146" t="n">
        <v>-10.87</v>
      </c>
      <c r="AC146" t="n">
        <v>-0.03</v>
      </c>
      <c r="AD146" t="n">
        <v>500343966.8</v>
      </c>
    </row>
    <row r="147">
      <c r="A147" t="inlineStr">
        <is>
          <t>CEGR3</t>
        </is>
      </c>
      <c r="B147" t="n">
        <v>35</v>
      </c>
      <c r="D147" t="n">
        <v>13.56</v>
      </c>
      <c r="E147" t="n">
        <v>4.17</v>
      </c>
      <c r="F147" t="n">
        <v>1.91</v>
      </c>
      <c r="G147" t="n">
        <v>35.52</v>
      </c>
      <c r="H147" t="n">
        <v>24.21</v>
      </c>
      <c r="I147" t="n">
        <v>14.33</v>
      </c>
      <c r="J147" t="n">
        <v>8.029999999999999</v>
      </c>
      <c r="K147" t="n">
        <v>8.31</v>
      </c>
      <c r="L147" t="n">
        <v>0.28</v>
      </c>
      <c r="M147" t="n">
        <v>0.14</v>
      </c>
      <c r="N147" t="n">
        <v>1.94</v>
      </c>
      <c r="O147" t="n">
        <v>-32.48</v>
      </c>
      <c r="P147" t="n">
        <v>-2.53</v>
      </c>
      <c r="Q147" t="n">
        <v>0.8100000000000001</v>
      </c>
      <c r="R147" t="n">
        <v>30.72</v>
      </c>
      <c r="S147" t="n">
        <v>14.05</v>
      </c>
      <c r="T147" t="n">
        <v>27.96</v>
      </c>
      <c r="U147" t="n">
        <v>0.46</v>
      </c>
      <c r="V147" t="n">
        <v>0.54</v>
      </c>
      <c r="W147" t="n">
        <v>0.98</v>
      </c>
      <c r="X147" t="n">
        <v>8.58</v>
      </c>
      <c r="Y147" t="n">
        <v>13.74</v>
      </c>
      <c r="Z147" t="n">
        <v>875</v>
      </c>
      <c r="AA147" t="n">
        <v>8.4</v>
      </c>
      <c r="AB147" t="n">
        <v>2.58</v>
      </c>
      <c r="AC147" t="n">
        <v>0.59</v>
      </c>
      <c r="AD147" t="n">
        <v>9087320620</v>
      </c>
    </row>
    <row r="148">
      <c r="A148" t="inlineStr">
        <is>
          <t>CEPE3</t>
        </is>
      </c>
      <c r="B148" t="n">
        <v>125.26</v>
      </c>
      <c r="D148" t="n">
        <v>123.99</v>
      </c>
      <c r="E148" t="n">
        <v>8.93</v>
      </c>
      <c r="F148" t="n">
        <v>2.25</v>
      </c>
      <c r="G148" t="n">
        <v>21.6</v>
      </c>
      <c r="H148" t="n">
        <v>15</v>
      </c>
      <c r="I148" t="n">
        <v>3.22</v>
      </c>
      <c r="J148" t="n">
        <v>26.61</v>
      </c>
      <c r="K148" t="n">
        <v>31.26</v>
      </c>
      <c r="L148" t="n">
        <v>5.1</v>
      </c>
      <c r="M148" t="n">
        <v>1.71</v>
      </c>
      <c r="N148" t="n">
        <v>3.99</v>
      </c>
      <c r="O148" t="n">
        <v>36.35</v>
      </c>
      <c r="P148" t="n">
        <v>-3.08</v>
      </c>
      <c r="Q148" t="n">
        <v>1.3</v>
      </c>
      <c r="R148" t="n">
        <v>7.2</v>
      </c>
      <c r="S148" t="n">
        <v>1.81</v>
      </c>
      <c r="T148" t="n">
        <v>10.95</v>
      </c>
      <c r="U148" t="n">
        <v>0.25</v>
      </c>
      <c r="V148" t="n">
        <v>0.75</v>
      </c>
      <c r="W148" t="n">
        <v>0.5600000000000001</v>
      </c>
      <c r="X148" t="n">
        <v>4.82</v>
      </c>
      <c r="Y148" t="n">
        <v>6.62</v>
      </c>
      <c r="AA148" t="n">
        <v>14.02</v>
      </c>
      <c r="AB148" t="n">
        <v>1.01</v>
      </c>
      <c r="AC148" t="n">
        <v>-2.66</v>
      </c>
      <c r="AD148" t="n">
        <v>36443231491.42</v>
      </c>
    </row>
    <row r="149">
      <c r="A149" t="inlineStr">
        <is>
          <t>CEPE5</t>
        </is>
      </c>
      <c r="B149" t="n">
        <v>40.12</v>
      </c>
      <c r="D149" t="n">
        <v>39.71</v>
      </c>
      <c r="E149" t="n">
        <v>2.86</v>
      </c>
      <c r="F149" t="n">
        <v>0.72</v>
      </c>
      <c r="G149" t="n">
        <v>21.6</v>
      </c>
      <c r="H149" t="n">
        <v>15</v>
      </c>
      <c r="I149" t="n">
        <v>3.22</v>
      </c>
      <c r="J149" t="n">
        <v>8.52</v>
      </c>
      <c r="K149" t="n">
        <v>31.26</v>
      </c>
      <c r="L149" t="n">
        <v>5.1</v>
      </c>
      <c r="M149" t="n">
        <v>1.71</v>
      </c>
      <c r="N149" t="n">
        <v>1.28</v>
      </c>
      <c r="O149" t="n">
        <v>11.64</v>
      </c>
      <c r="P149" t="n">
        <v>-0.99</v>
      </c>
      <c r="Q149" t="n">
        <v>1.3</v>
      </c>
      <c r="R149" t="n">
        <v>7.2</v>
      </c>
      <c r="S149" t="n">
        <v>1.81</v>
      </c>
      <c r="T149" t="n">
        <v>10.95</v>
      </c>
      <c r="U149" t="n">
        <v>0.25</v>
      </c>
      <c r="V149" t="n">
        <v>0.75</v>
      </c>
      <c r="W149" t="n">
        <v>0.5600000000000001</v>
      </c>
      <c r="X149" t="n">
        <v>4.82</v>
      </c>
      <c r="Y149" t="n">
        <v>6.62</v>
      </c>
      <c r="AA149" t="n">
        <v>14.02</v>
      </c>
      <c r="AB149" t="n">
        <v>1.01</v>
      </c>
      <c r="AC149" t="n">
        <v>-0.85</v>
      </c>
      <c r="AD149" t="n">
        <v>36443231491.42</v>
      </c>
    </row>
    <row r="150">
      <c r="A150" t="inlineStr">
        <is>
          <t>CEPE6</t>
        </is>
      </c>
      <c r="B150" t="n">
        <v>43</v>
      </c>
      <c r="D150" t="n">
        <v>42.56</v>
      </c>
      <c r="E150" t="n">
        <v>3.07</v>
      </c>
      <c r="F150" t="n">
        <v>0.77</v>
      </c>
      <c r="G150" t="n">
        <v>21.6</v>
      </c>
      <c r="H150" t="n">
        <v>15</v>
      </c>
      <c r="I150" t="n">
        <v>3.22</v>
      </c>
      <c r="J150" t="n">
        <v>9.140000000000001</v>
      </c>
      <c r="K150" t="n">
        <v>31.26</v>
      </c>
      <c r="L150" t="n">
        <v>5.1</v>
      </c>
      <c r="M150" t="n">
        <v>1.71</v>
      </c>
      <c r="N150" t="n">
        <v>1.37</v>
      </c>
      <c r="O150" t="n">
        <v>12.48</v>
      </c>
      <c r="P150" t="n">
        <v>-1.06</v>
      </c>
      <c r="Q150" t="n">
        <v>1.3</v>
      </c>
      <c r="R150" t="n">
        <v>7.2</v>
      </c>
      <c r="S150" t="n">
        <v>1.81</v>
      </c>
      <c r="T150" t="n">
        <v>10.95</v>
      </c>
      <c r="U150" t="n">
        <v>0.25</v>
      </c>
      <c r="V150" t="n">
        <v>0.75</v>
      </c>
      <c r="W150" t="n">
        <v>0.5600000000000001</v>
      </c>
      <c r="X150" t="n">
        <v>4.82</v>
      </c>
      <c r="Y150" t="n">
        <v>6.62</v>
      </c>
      <c r="AA150" t="n">
        <v>14.02</v>
      </c>
      <c r="AB150" t="n">
        <v>1.01</v>
      </c>
      <c r="AC150" t="n">
        <v>-0.91</v>
      </c>
      <c r="AD150" t="n">
        <v>36443231491.42</v>
      </c>
    </row>
    <row r="151">
      <c r="A151" t="inlineStr">
        <is>
          <t>CESP3</t>
        </is>
      </c>
      <c r="B151" t="n">
        <v>25.55</v>
      </c>
      <c r="D151" t="n">
        <v>52.81</v>
      </c>
      <c r="E151" t="n">
        <v>1.8</v>
      </c>
      <c r="F151" t="n">
        <v>0.62</v>
      </c>
      <c r="G151" t="n">
        <v>26.49</v>
      </c>
      <c r="H151" t="n">
        <v>46.93</v>
      </c>
      <c r="I151" t="n">
        <v>9.1</v>
      </c>
      <c r="J151" t="n">
        <v>10.24</v>
      </c>
      <c r="K151" t="n">
        <v>16.89</v>
      </c>
      <c r="L151" t="n">
        <v>6.73</v>
      </c>
      <c r="M151" t="n">
        <v>1.18</v>
      </c>
      <c r="N151" t="n">
        <v>4.81</v>
      </c>
      <c r="O151" t="n">
        <v>11.87</v>
      </c>
      <c r="P151" t="n">
        <v>-0.6899999999999999</v>
      </c>
      <c r="Q151" t="n">
        <v>2.18</v>
      </c>
      <c r="R151" t="n">
        <v>3.4</v>
      </c>
      <c r="S151" t="n">
        <v>1.18</v>
      </c>
      <c r="T151" t="n">
        <v>6.1</v>
      </c>
      <c r="U151" t="n">
        <v>0.35</v>
      </c>
      <c r="V151" t="n">
        <v>0.65</v>
      </c>
      <c r="W151" t="n">
        <v>0.13</v>
      </c>
      <c r="X151" t="n">
        <v>-2.26</v>
      </c>
      <c r="Y151" t="n">
        <v>-37.99</v>
      </c>
      <c r="AA151" t="n">
        <v>14.21</v>
      </c>
      <c r="AB151" t="n">
        <v>0.48</v>
      </c>
      <c r="AC151" t="n">
        <v>-0.62</v>
      </c>
      <c r="AD151" t="n">
        <v>8302192833.55</v>
      </c>
    </row>
    <row r="152">
      <c r="A152" t="inlineStr">
        <is>
          <t>CESP5</t>
        </is>
      </c>
      <c r="B152" t="n">
        <v>25</v>
      </c>
      <c r="D152" t="n">
        <v>51.67</v>
      </c>
      <c r="E152" t="n">
        <v>1.76</v>
      </c>
      <c r="F152" t="n">
        <v>0.61</v>
      </c>
      <c r="G152" t="n">
        <v>26.49</v>
      </c>
      <c r="H152" t="n">
        <v>46.93</v>
      </c>
      <c r="I152" t="n">
        <v>9.1</v>
      </c>
      <c r="J152" t="n">
        <v>10.02</v>
      </c>
      <c r="K152" t="n">
        <v>16.89</v>
      </c>
      <c r="L152" t="n">
        <v>6.73</v>
      </c>
      <c r="M152" t="n">
        <v>1.18</v>
      </c>
      <c r="N152" t="n">
        <v>4.7</v>
      </c>
      <c r="O152" t="n">
        <v>11.61</v>
      </c>
      <c r="P152" t="n">
        <v>-0.68</v>
      </c>
      <c r="Q152" t="n">
        <v>2.18</v>
      </c>
      <c r="R152" t="n">
        <v>3.4</v>
      </c>
      <c r="S152" t="n">
        <v>1.18</v>
      </c>
      <c r="T152" t="n">
        <v>6.1</v>
      </c>
      <c r="U152" t="n">
        <v>0.35</v>
      </c>
      <c r="V152" t="n">
        <v>0.65</v>
      </c>
      <c r="W152" t="n">
        <v>0.13</v>
      </c>
      <c r="X152" t="n">
        <v>-2.26</v>
      </c>
      <c r="Y152" t="n">
        <v>-37.99</v>
      </c>
      <c r="AA152" t="n">
        <v>14.21</v>
      </c>
      <c r="AB152" t="n">
        <v>0.48</v>
      </c>
      <c r="AC152" t="n">
        <v>-0.6</v>
      </c>
      <c r="AD152" t="n">
        <v>8302192833.55</v>
      </c>
    </row>
    <row r="153">
      <c r="A153" t="inlineStr">
        <is>
          <t>CESP6</t>
        </is>
      </c>
      <c r="B153" t="n">
        <v>25.25</v>
      </c>
      <c r="D153" t="n">
        <v>52.19</v>
      </c>
      <c r="E153" t="n">
        <v>1.78</v>
      </c>
      <c r="F153" t="n">
        <v>0.62</v>
      </c>
      <c r="G153" t="n">
        <v>26.49</v>
      </c>
      <c r="H153" t="n">
        <v>46.93</v>
      </c>
      <c r="I153" t="n">
        <v>9.1</v>
      </c>
      <c r="J153" t="n">
        <v>10.12</v>
      </c>
      <c r="K153" t="n">
        <v>16.89</v>
      </c>
      <c r="L153" t="n">
        <v>6.73</v>
      </c>
      <c r="M153" t="n">
        <v>1.18</v>
      </c>
      <c r="N153" t="n">
        <v>4.75</v>
      </c>
      <c r="O153" t="n">
        <v>11.73</v>
      </c>
      <c r="P153" t="n">
        <v>-0.68</v>
      </c>
      <c r="Q153" t="n">
        <v>2.18</v>
      </c>
      <c r="R153" t="n">
        <v>3.4</v>
      </c>
      <c r="S153" t="n">
        <v>1.18</v>
      </c>
      <c r="T153" t="n">
        <v>6.1</v>
      </c>
      <c r="U153" t="n">
        <v>0.35</v>
      </c>
      <c r="V153" t="n">
        <v>0.65</v>
      </c>
      <c r="W153" t="n">
        <v>0.13</v>
      </c>
      <c r="X153" t="n">
        <v>-2.26</v>
      </c>
      <c r="Y153" t="n">
        <v>-37.99</v>
      </c>
      <c r="AA153" t="n">
        <v>14.21</v>
      </c>
      <c r="AB153" t="n">
        <v>0.48</v>
      </c>
      <c r="AC153" t="n">
        <v>-0.61</v>
      </c>
      <c r="AD153" t="n">
        <v>8302192833.55</v>
      </c>
    </row>
    <row r="154">
      <c r="A154" t="inlineStr">
        <is>
          <t>CGAS3</t>
        </is>
      </c>
      <c r="B154" t="n">
        <v>125</v>
      </c>
      <c r="C154" t="n">
        <v>9.69</v>
      </c>
      <c r="D154" t="n">
        <v>10.76</v>
      </c>
      <c r="E154" t="n">
        <v>9.619999999999999</v>
      </c>
      <c r="F154" t="n">
        <v>1</v>
      </c>
      <c r="G154" t="n">
        <v>32.89</v>
      </c>
      <c r="H154" t="n">
        <v>28.19</v>
      </c>
      <c r="I154" t="n">
        <v>14.41</v>
      </c>
      <c r="J154" t="n">
        <v>5.5</v>
      </c>
      <c r="K154" t="n">
        <v>8.34</v>
      </c>
      <c r="L154" t="n">
        <v>2.84</v>
      </c>
      <c r="M154" t="n">
        <v>4.97</v>
      </c>
      <c r="N154" t="n">
        <v>1.55</v>
      </c>
      <c r="O154" t="n">
        <v>5.48</v>
      </c>
      <c r="P154" t="n">
        <v>-1.5</v>
      </c>
      <c r="Q154" t="n">
        <v>2.23</v>
      </c>
      <c r="R154" t="n">
        <v>89.41</v>
      </c>
      <c r="S154" t="n">
        <v>9.33</v>
      </c>
      <c r="T154" t="n">
        <v>19.37</v>
      </c>
      <c r="U154" t="n">
        <v>0.1</v>
      </c>
      <c r="V154" t="n">
        <v>0.9</v>
      </c>
      <c r="W154" t="n">
        <v>0.65</v>
      </c>
      <c r="X154" t="n">
        <v>6.86</v>
      </c>
      <c r="Y154" t="n">
        <v>6</v>
      </c>
      <c r="Z154" t="n">
        <v>18316.92</v>
      </c>
      <c r="AA154" t="n">
        <v>12.99</v>
      </c>
      <c r="AB154" t="n">
        <v>11.62</v>
      </c>
      <c r="AC154" t="n">
        <v>-0.87</v>
      </c>
      <c r="AD154" t="n">
        <v>16565073375</v>
      </c>
    </row>
    <row r="155">
      <c r="A155" t="inlineStr">
        <is>
          <t>CGAS5</t>
        </is>
      </c>
      <c r="B155" t="n">
        <v>122.4</v>
      </c>
      <c r="C155" t="n">
        <v>10.89</v>
      </c>
      <c r="D155" t="n">
        <v>10.54</v>
      </c>
      <c r="E155" t="n">
        <v>9.42</v>
      </c>
      <c r="F155" t="n">
        <v>0.98</v>
      </c>
      <c r="G155" t="n">
        <v>32.89</v>
      </c>
      <c r="H155" t="n">
        <v>28.19</v>
      </c>
      <c r="I155" t="n">
        <v>14.41</v>
      </c>
      <c r="J155" t="n">
        <v>5.39</v>
      </c>
      <c r="K155" t="n">
        <v>8.34</v>
      </c>
      <c r="L155" t="n">
        <v>2.84</v>
      </c>
      <c r="M155" t="n">
        <v>4.97</v>
      </c>
      <c r="N155" t="n">
        <v>1.52</v>
      </c>
      <c r="O155" t="n">
        <v>5.37</v>
      </c>
      <c r="P155" t="n">
        <v>-1.47</v>
      </c>
      <c r="Q155" t="n">
        <v>2.23</v>
      </c>
      <c r="R155" t="n">
        <v>89.41</v>
      </c>
      <c r="S155" t="n">
        <v>9.33</v>
      </c>
      <c r="T155" t="n">
        <v>19.37</v>
      </c>
      <c r="U155" t="n">
        <v>0.1</v>
      </c>
      <c r="V155" t="n">
        <v>0.9</v>
      </c>
      <c r="W155" t="n">
        <v>0.65</v>
      </c>
      <c r="X155" t="n">
        <v>6.86</v>
      </c>
      <c r="Y155" t="n">
        <v>6</v>
      </c>
      <c r="Z155" t="n">
        <v>72665.09</v>
      </c>
      <c r="AA155" t="n">
        <v>12.99</v>
      </c>
      <c r="AB155" t="n">
        <v>11.62</v>
      </c>
      <c r="AC155" t="n">
        <v>-0.85</v>
      </c>
      <c r="AD155" t="n">
        <v>16565073375</v>
      </c>
    </row>
    <row r="156">
      <c r="A156" t="inlineStr">
        <is>
          <t>CGRA3</t>
        </is>
      </c>
      <c r="B156" t="n">
        <v>24.18</v>
      </c>
      <c r="C156" t="n">
        <v>21.06</v>
      </c>
      <c r="D156" t="n">
        <v>7.27</v>
      </c>
      <c r="E156" t="n">
        <v>0.7</v>
      </c>
      <c r="F156" t="n">
        <v>0.49</v>
      </c>
      <c r="G156" t="n">
        <v>54.57</v>
      </c>
      <c r="H156" t="n">
        <v>8.390000000000001</v>
      </c>
      <c r="I156" t="n">
        <v>11.42</v>
      </c>
      <c r="J156" t="n">
        <v>9.890000000000001</v>
      </c>
      <c r="K156" t="n">
        <v>7.36</v>
      </c>
      <c r="L156" t="n">
        <v>-2.51</v>
      </c>
      <c r="M156" t="n">
        <v>-0.18</v>
      </c>
      <c r="N156" t="n">
        <v>0.83</v>
      </c>
      <c r="O156" t="n">
        <v>2.03</v>
      </c>
      <c r="P156" t="n">
        <v>-0.84</v>
      </c>
      <c r="Q156" t="n">
        <v>2.36</v>
      </c>
      <c r="R156" t="n">
        <v>9.58</v>
      </c>
      <c r="S156" t="n">
        <v>6.74</v>
      </c>
      <c r="T156" t="n">
        <v>6.45</v>
      </c>
      <c r="U156" t="n">
        <v>0.7</v>
      </c>
      <c r="V156" t="n">
        <v>0.3</v>
      </c>
      <c r="W156" t="n">
        <v>0.59</v>
      </c>
      <c r="X156" t="n">
        <v>10.6</v>
      </c>
      <c r="Y156" t="n">
        <v>3.58</v>
      </c>
      <c r="Z156" t="n">
        <v>18453.24</v>
      </c>
      <c r="AA156" t="n">
        <v>34.71</v>
      </c>
      <c r="AB156" t="n">
        <v>3.33</v>
      </c>
      <c r="AC156" t="n">
        <v>-0.4</v>
      </c>
      <c r="AD156" t="n">
        <v>614207554.3</v>
      </c>
    </row>
    <row r="157">
      <c r="A157" t="inlineStr">
        <is>
          <t>CGRA4</t>
        </is>
      </c>
      <c r="B157" t="n">
        <v>24.07</v>
      </c>
      <c r="C157" t="n">
        <v>21.15</v>
      </c>
      <c r="D157" t="n">
        <v>7.24</v>
      </c>
      <c r="E157" t="n">
        <v>0.6899999999999999</v>
      </c>
      <c r="F157" t="n">
        <v>0.49</v>
      </c>
      <c r="G157" t="n">
        <v>54.57</v>
      </c>
      <c r="H157" t="n">
        <v>8.390000000000001</v>
      </c>
      <c r="I157" t="n">
        <v>11.42</v>
      </c>
      <c r="J157" t="n">
        <v>9.85</v>
      </c>
      <c r="K157" t="n">
        <v>7.36</v>
      </c>
      <c r="L157" t="n">
        <v>-2.51</v>
      </c>
      <c r="M157" t="n">
        <v>-0.18</v>
      </c>
      <c r="N157" t="n">
        <v>0.83</v>
      </c>
      <c r="O157" t="n">
        <v>2.02</v>
      </c>
      <c r="P157" t="n">
        <v>-0.84</v>
      </c>
      <c r="Q157" t="n">
        <v>2.36</v>
      </c>
      <c r="R157" t="n">
        <v>9.58</v>
      </c>
      <c r="S157" t="n">
        <v>6.74</v>
      </c>
      <c r="T157" t="n">
        <v>6.45</v>
      </c>
      <c r="U157" t="n">
        <v>0.7</v>
      </c>
      <c r="V157" t="n">
        <v>0.3</v>
      </c>
      <c r="W157" t="n">
        <v>0.59</v>
      </c>
      <c r="X157" t="n">
        <v>10.6</v>
      </c>
      <c r="Y157" t="n">
        <v>3.58</v>
      </c>
      <c r="Z157" t="n">
        <v>95150.41</v>
      </c>
      <c r="AA157" t="n">
        <v>34.71</v>
      </c>
      <c r="AB157" t="n">
        <v>3.33</v>
      </c>
      <c r="AC157" t="n">
        <v>-0.4</v>
      </c>
      <c r="AD157" t="n">
        <v>614207554.3</v>
      </c>
    </row>
    <row r="158">
      <c r="A158" t="inlineStr">
        <is>
          <t>CIEL3</t>
        </is>
      </c>
      <c r="B158" t="n">
        <v>5.83</v>
      </c>
      <c r="D158" t="n">
        <v>8.699999999999999</v>
      </c>
      <c r="E158" t="n">
        <v>1.38</v>
      </c>
      <c r="F158" t="n">
        <v>0.14</v>
      </c>
      <c r="G158" t="n">
        <v>37.28</v>
      </c>
      <c r="H158" t="n">
        <v>17.11</v>
      </c>
      <c r="I158" t="n">
        <v>16.85</v>
      </c>
      <c r="J158" t="n">
        <v>8.57</v>
      </c>
      <c r="K158" t="n">
        <v>12</v>
      </c>
      <c r="L158" t="n">
        <v>3.42</v>
      </c>
      <c r="M158" t="n">
        <v>0.55</v>
      </c>
      <c r="N158" t="n">
        <v>1.47</v>
      </c>
      <c r="O158" t="n">
        <v>1.04</v>
      </c>
      <c r="P158" t="n">
        <v>-1.55</v>
      </c>
      <c r="Q158" t="n">
        <v>1.17</v>
      </c>
      <c r="R158" t="n">
        <v>15.88</v>
      </c>
      <c r="S158" t="n">
        <v>1.57</v>
      </c>
      <c r="T158" t="n">
        <v>4.37</v>
      </c>
      <c r="U158" t="n">
        <v>0.1</v>
      </c>
      <c r="V158" t="n">
        <v>0.88</v>
      </c>
      <c r="W158" t="n">
        <v>0.09</v>
      </c>
      <c r="X158" t="n">
        <v>-0.43</v>
      </c>
      <c r="Y158" t="n">
        <v>30</v>
      </c>
      <c r="AA158" t="n">
        <v>4.22</v>
      </c>
      <c r="AB158" t="n">
        <v>0.67</v>
      </c>
      <c r="AC158" t="n">
        <v>0.24</v>
      </c>
      <c r="AD158" t="n">
        <v>15839031805.63</v>
      </c>
    </row>
    <row r="159">
      <c r="A159" t="inlineStr">
        <is>
          <t>CLSA3</t>
        </is>
      </c>
      <c r="B159" t="n">
        <v>10.49</v>
      </c>
      <c r="D159" t="n">
        <v>-24.41</v>
      </c>
      <c r="E159" t="n">
        <v>3.06</v>
      </c>
      <c r="F159" t="n">
        <v>2.3</v>
      </c>
      <c r="G159" t="n">
        <v>33.36</v>
      </c>
      <c r="H159" t="n">
        <v>-32.02</v>
      </c>
      <c r="I159" t="n">
        <v>-16.96</v>
      </c>
      <c r="J159" t="n">
        <v>-12.93</v>
      </c>
      <c r="K159" t="n">
        <v>-10.71</v>
      </c>
      <c r="L159" t="n">
        <v>2.22</v>
      </c>
      <c r="M159" t="n">
        <v>-0.52</v>
      </c>
      <c r="N159" t="n">
        <v>4.14</v>
      </c>
      <c r="O159" t="n">
        <v>7.9</v>
      </c>
      <c r="P159" t="n">
        <v>-4.94</v>
      </c>
      <c r="Q159" t="n">
        <v>2.19</v>
      </c>
      <c r="R159" t="n">
        <v>-12.52</v>
      </c>
      <c r="S159" t="n">
        <v>-9.4</v>
      </c>
      <c r="T159" t="n">
        <v>-34.71</v>
      </c>
      <c r="U159" t="n">
        <v>0.75</v>
      </c>
      <c r="V159" t="n">
        <v>0.25</v>
      </c>
      <c r="W159" t="n">
        <v>0.55</v>
      </c>
      <c r="X159" t="n">
        <v>17.88</v>
      </c>
      <c r="Z159" t="n">
        <v>57778110</v>
      </c>
      <c r="AA159" t="n">
        <v>3.43</v>
      </c>
      <c r="AB159" t="n">
        <v>-0.43</v>
      </c>
      <c r="AC159" t="n">
        <v>-0.08</v>
      </c>
      <c r="AD159" t="n">
        <v>1971344369.4</v>
      </c>
    </row>
    <row r="160">
      <c r="A160" t="inlineStr">
        <is>
          <t>CLSC3</t>
        </is>
      </c>
      <c r="B160" t="n">
        <v>127.99</v>
      </c>
      <c r="C160" t="n">
        <v>0.55</v>
      </c>
      <c r="D160" t="n">
        <v>6.79</v>
      </c>
      <c r="E160" t="n">
        <v>1.19</v>
      </c>
      <c r="F160" t="n">
        <v>0.34</v>
      </c>
      <c r="G160" t="n">
        <v>15.84</v>
      </c>
      <c r="H160" t="n">
        <v>11.16</v>
      </c>
      <c r="I160" t="n">
        <v>5.86</v>
      </c>
      <c r="J160" t="n">
        <v>3.56</v>
      </c>
      <c r="K160" t="n">
        <v>7.2</v>
      </c>
      <c r="L160" t="n">
        <v>3.44</v>
      </c>
      <c r="M160" t="n">
        <v>1.15</v>
      </c>
      <c r="N160" t="n">
        <v>0.4</v>
      </c>
      <c r="O160" t="n">
        <v>15.22</v>
      </c>
      <c r="P160" t="n">
        <v>-0.48</v>
      </c>
      <c r="Q160" t="n">
        <v>1.08</v>
      </c>
      <c r="R160" t="n">
        <v>17.57</v>
      </c>
      <c r="S160" t="n">
        <v>5.03</v>
      </c>
      <c r="T160" t="n">
        <v>12.9</v>
      </c>
      <c r="U160" t="n">
        <v>0.29</v>
      </c>
      <c r="V160" t="n">
        <v>0.71</v>
      </c>
      <c r="W160" t="n">
        <v>0.86</v>
      </c>
      <c r="X160" t="n">
        <v>6.08</v>
      </c>
      <c r="Y160" t="n">
        <v>7</v>
      </c>
      <c r="Z160" t="n">
        <v>23513.56</v>
      </c>
      <c r="AA160" t="n">
        <v>107.37</v>
      </c>
      <c r="AB160" t="n">
        <v>18.86</v>
      </c>
      <c r="AC160" t="n">
        <v>-5.55</v>
      </c>
      <c r="AD160" t="n">
        <v>5215846270.03</v>
      </c>
    </row>
    <row r="161">
      <c r="A161" t="inlineStr">
        <is>
          <t>CLSC4</t>
        </is>
      </c>
      <c r="B161" t="n">
        <v>140.1</v>
      </c>
      <c r="C161" t="n">
        <v>0.57</v>
      </c>
      <c r="D161" t="n">
        <v>7.43</v>
      </c>
      <c r="E161" t="n">
        <v>1.3</v>
      </c>
      <c r="F161" t="n">
        <v>0.37</v>
      </c>
      <c r="G161" t="n">
        <v>15.84</v>
      </c>
      <c r="H161" t="n">
        <v>11.16</v>
      </c>
      <c r="I161" t="n">
        <v>5.86</v>
      </c>
      <c r="J161" t="n">
        <v>3.9</v>
      </c>
      <c r="K161" t="n">
        <v>7.2</v>
      </c>
      <c r="L161" t="n">
        <v>3.44</v>
      </c>
      <c r="M161" t="n">
        <v>1.15</v>
      </c>
      <c r="N161" t="n">
        <v>0.44</v>
      </c>
      <c r="O161" t="n">
        <v>16.66</v>
      </c>
      <c r="P161" t="n">
        <v>-0.53</v>
      </c>
      <c r="Q161" t="n">
        <v>1.08</v>
      </c>
      <c r="R161" t="n">
        <v>17.57</v>
      </c>
      <c r="S161" t="n">
        <v>5.03</v>
      </c>
      <c r="T161" t="n">
        <v>12.9</v>
      </c>
      <c r="U161" t="n">
        <v>0.29</v>
      </c>
      <c r="V161" t="n">
        <v>0.71</v>
      </c>
      <c r="W161" t="n">
        <v>0.86</v>
      </c>
      <c r="X161" t="n">
        <v>6.08</v>
      </c>
      <c r="Y161" t="n">
        <v>7</v>
      </c>
      <c r="Z161" t="n">
        <v>476468.27</v>
      </c>
      <c r="AA161" t="n">
        <v>107.37</v>
      </c>
      <c r="AB161" t="n">
        <v>18.86</v>
      </c>
      <c r="AC161" t="n">
        <v>-6.08</v>
      </c>
      <c r="AD161" t="n">
        <v>5215846270.03</v>
      </c>
    </row>
    <row r="162">
      <c r="A162" t="inlineStr">
        <is>
          <t>CMIG3</t>
        </is>
      </c>
      <c r="B162" t="n">
        <v>16.53</v>
      </c>
      <c r="C162" t="n">
        <v>4.98</v>
      </c>
      <c r="D162" t="n">
        <v>9.779999999999999</v>
      </c>
      <c r="E162" t="n">
        <v>1.64</v>
      </c>
      <c r="F162" t="n">
        <v>0.6899999999999999</v>
      </c>
      <c r="G162" t="n">
        <v>16.39</v>
      </c>
      <c r="H162" t="n">
        <v>15.39</v>
      </c>
      <c r="I162" t="n">
        <v>11.15</v>
      </c>
      <c r="J162" t="n">
        <v>7.09</v>
      </c>
      <c r="K162" t="n">
        <v>8.210000000000001</v>
      </c>
      <c r="L162" t="n">
        <v>2.67</v>
      </c>
      <c r="M162" t="n">
        <v>0.62</v>
      </c>
      <c r="N162" t="n">
        <v>1.09</v>
      </c>
      <c r="O162" t="n">
        <v>-44.58</v>
      </c>
      <c r="P162" t="n">
        <v>-0.88</v>
      </c>
      <c r="Q162" t="n">
        <v>0.93</v>
      </c>
      <c r="R162" t="n">
        <v>16.75</v>
      </c>
      <c r="S162" t="n">
        <v>7.1</v>
      </c>
      <c r="T162" t="n">
        <v>12.58</v>
      </c>
      <c r="U162" t="n">
        <v>0.42</v>
      </c>
      <c r="V162" t="n">
        <v>0.58</v>
      </c>
      <c r="W162" t="n">
        <v>0.64</v>
      </c>
      <c r="X162" t="n">
        <v>11.13</v>
      </c>
      <c r="Y162" t="n">
        <v>11.05</v>
      </c>
      <c r="Z162" t="n">
        <v>1329817.32</v>
      </c>
      <c r="AA162" t="n">
        <v>10.09</v>
      </c>
      <c r="AB162" t="n">
        <v>1.69</v>
      </c>
      <c r="AC162" t="n">
        <v>-0.32</v>
      </c>
      <c r="AD162" t="n">
        <v>36988905706.94</v>
      </c>
    </row>
    <row r="163">
      <c r="A163" t="inlineStr">
        <is>
          <t>CMIG4</t>
        </is>
      </c>
      <c r="B163" t="n">
        <v>11.09</v>
      </c>
      <c r="C163" t="n">
        <v>7.43</v>
      </c>
      <c r="D163" t="n">
        <v>6.56</v>
      </c>
      <c r="E163" t="n">
        <v>1.1</v>
      </c>
      <c r="F163" t="n">
        <v>0.47</v>
      </c>
      <c r="G163" t="n">
        <v>16.39</v>
      </c>
      <c r="H163" t="n">
        <v>15.39</v>
      </c>
      <c r="I163" t="n">
        <v>11.15</v>
      </c>
      <c r="J163" t="n">
        <v>4.76</v>
      </c>
      <c r="K163" t="n">
        <v>8.210000000000001</v>
      </c>
      <c r="L163" t="n">
        <v>2.67</v>
      </c>
      <c r="M163" t="n">
        <v>0.62</v>
      </c>
      <c r="N163" t="n">
        <v>0.73</v>
      </c>
      <c r="O163" t="n">
        <v>-29.91</v>
      </c>
      <c r="P163" t="n">
        <v>-0.59</v>
      </c>
      <c r="Q163" t="n">
        <v>0.93</v>
      </c>
      <c r="R163" t="n">
        <v>16.75</v>
      </c>
      <c r="S163" t="n">
        <v>7.1</v>
      </c>
      <c r="T163" t="n">
        <v>12.58</v>
      </c>
      <c r="U163" t="n">
        <v>0.42</v>
      </c>
      <c r="V163" t="n">
        <v>0.58</v>
      </c>
      <c r="W163" t="n">
        <v>0.64</v>
      </c>
      <c r="X163" t="n">
        <v>11.13</v>
      </c>
      <c r="Y163" t="n">
        <v>11.05</v>
      </c>
      <c r="Z163" t="n">
        <v>119745755.09</v>
      </c>
      <c r="AA163" t="n">
        <v>10.09</v>
      </c>
      <c r="AB163" t="n">
        <v>1.69</v>
      </c>
      <c r="AC163" t="n">
        <v>-0.21</v>
      </c>
      <c r="AD163" t="n">
        <v>36988905706.94</v>
      </c>
    </row>
    <row r="164">
      <c r="A164" t="inlineStr">
        <is>
          <t>CMIN3</t>
        </is>
      </c>
      <c r="B164" t="n">
        <v>5.9</v>
      </c>
      <c r="C164" t="n">
        <v>6.53</v>
      </c>
      <c r="D164" t="n">
        <v>14.4</v>
      </c>
      <c r="E164" t="n">
        <v>4.53</v>
      </c>
      <c r="F164" t="n">
        <v>0.9399999999999999</v>
      </c>
      <c r="G164" t="n">
        <v>45.85</v>
      </c>
      <c r="H164" t="n">
        <v>27</v>
      </c>
      <c r="I164" t="n">
        <v>12.51</v>
      </c>
      <c r="J164" t="n">
        <v>6.67</v>
      </c>
      <c r="K164" t="n">
        <v>6.73</v>
      </c>
      <c r="L164" t="n">
        <v>0.06</v>
      </c>
      <c r="M164" t="n">
        <v>0.04</v>
      </c>
      <c r="N164" t="n">
        <v>1.8</v>
      </c>
      <c r="O164" t="n">
        <v>9.300000000000001</v>
      </c>
      <c r="P164" t="n">
        <v>-1.49</v>
      </c>
      <c r="Q164" t="n">
        <v>1.37</v>
      </c>
      <c r="R164" t="n">
        <v>31.49</v>
      </c>
      <c r="S164" t="n">
        <v>6.52</v>
      </c>
      <c r="T164" t="n">
        <v>21.5</v>
      </c>
      <c r="U164" t="n">
        <v>0.21</v>
      </c>
      <c r="V164" t="n">
        <v>0.79</v>
      </c>
      <c r="W164" t="n">
        <v>0.52</v>
      </c>
      <c r="X164" t="n">
        <v>5.5</v>
      </c>
      <c r="Y164" t="n">
        <v>-11.17</v>
      </c>
      <c r="Z164" t="n">
        <v>54377570.05</v>
      </c>
      <c r="AA164" t="n">
        <v>1.3</v>
      </c>
      <c r="AB164" t="n">
        <v>0.41</v>
      </c>
      <c r="AC164" t="n">
        <v>-0.38</v>
      </c>
      <c r="AD164" t="n">
        <v>32103383219.58</v>
      </c>
    </row>
    <row r="165">
      <c r="A165" t="inlineStr">
        <is>
          <t>CMSA3</t>
        </is>
      </c>
      <c r="B165" t="n">
        <v>0</v>
      </c>
      <c r="D165" t="n">
        <v>0</v>
      </c>
      <c r="E165" t="n">
        <v>0</v>
      </c>
      <c r="F165" t="n">
        <v>0</v>
      </c>
      <c r="J165" t="n">
        <v>0</v>
      </c>
      <c r="K165" t="n">
        <v>0.07000000000000001</v>
      </c>
      <c r="L165" t="n">
        <v>0.07000000000000001</v>
      </c>
      <c r="M165" t="n">
        <v>-0.96</v>
      </c>
      <c r="O165" t="n">
        <v>0</v>
      </c>
      <c r="P165" t="n">
        <v>0</v>
      </c>
      <c r="Q165" t="n">
        <v>38.28</v>
      </c>
      <c r="R165" t="n">
        <v>-1369.84</v>
      </c>
      <c r="S165" t="n">
        <v>-1336.29</v>
      </c>
      <c r="T165" t="n">
        <v>-1392.4</v>
      </c>
      <c r="U165" t="n">
        <v>0.98</v>
      </c>
      <c r="V165" t="n">
        <v>0.02</v>
      </c>
      <c r="W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CMSA4</t>
        </is>
      </c>
      <c r="B166" t="n">
        <v>0</v>
      </c>
      <c r="D166" t="n">
        <v>0</v>
      </c>
      <c r="E166" t="n">
        <v>0</v>
      </c>
      <c r="F166" t="n">
        <v>0</v>
      </c>
      <c r="J166" t="n">
        <v>0</v>
      </c>
      <c r="K166" t="n">
        <v>0.07000000000000001</v>
      </c>
      <c r="L166" t="n">
        <v>0.07000000000000001</v>
      </c>
      <c r="M166" t="n">
        <v>-0.96</v>
      </c>
      <c r="O166" t="n">
        <v>0</v>
      </c>
      <c r="P166" t="n">
        <v>0</v>
      </c>
      <c r="Q166" t="n">
        <v>38.28</v>
      </c>
      <c r="R166" t="n">
        <v>-1369.84</v>
      </c>
      <c r="S166" t="n">
        <v>-1336.29</v>
      </c>
      <c r="T166" t="n">
        <v>-1392.4</v>
      </c>
      <c r="U166" t="n">
        <v>0.98</v>
      </c>
      <c r="V166" t="n">
        <v>0.02</v>
      </c>
      <c r="W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CNSY3</t>
        </is>
      </c>
      <c r="B167" t="n">
        <v>30.22</v>
      </c>
      <c r="D167" t="n">
        <v>-86.19</v>
      </c>
      <c r="E167" t="n">
        <v>-23.75</v>
      </c>
      <c r="F167" t="n">
        <v>5.37</v>
      </c>
      <c r="G167" t="n">
        <v>18.72</v>
      </c>
      <c r="H167" t="n">
        <v>7.08</v>
      </c>
      <c r="I167" t="n">
        <v>-7.71</v>
      </c>
      <c r="J167" t="n">
        <v>93.87</v>
      </c>
      <c r="K167" t="n">
        <v>109.95</v>
      </c>
      <c r="L167" t="n">
        <v>16.08</v>
      </c>
      <c r="N167" t="n">
        <v>6.65</v>
      </c>
      <c r="O167" t="n">
        <v>-28.61</v>
      </c>
      <c r="P167" t="n">
        <v>-6.18</v>
      </c>
      <c r="Q167" t="n">
        <v>0.41</v>
      </c>
      <c r="R167" t="n">
        <v>-27.56</v>
      </c>
      <c r="S167" t="n">
        <v>-6.23</v>
      </c>
      <c r="T167" t="n">
        <v>4.37</v>
      </c>
      <c r="U167" t="n">
        <v>-0.23</v>
      </c>
      <c r="V167" t="n">
        <v>1.23</v>
      </c>
      <c r="W167" t="n">
        <v>0.8100000000000001</v>
      </c>
      <c r="X167" t="n">
        <v>2.97</v>
      </c>
      <c r="AA167" t="n">
        <v>-1.27</v>
      </c>
      <c r="AB167" t="n">
        <v>-0.35</v>
      </c>
      <c r="AC167" t="n">
        <v>0.14</v>
      </c>
      <c r="AD167" t="n">
        <v>935885083.86</v>
      </c>
    </row>
    <row r="168">
      <c r="A168" t="inlineStr">
        <is>
          <t>COCE3</t>
        </is>
      </c>
      <c r="B168" t="n">
        <v>36</v>
      </c>
      <c r="D168" t="n">
        <v>6.15</v>
      </c>
      <c r="E168" t="n">
        <v>0.55</v>
      </c>
      <c r="F168" t="n">
        <v>0.19</v>
      </c>
      <c r="G168" t="n">
        <v>20.76</v>
      </c>
      <c r="H168" t="n">
        <v>17.09</v>
      </c>
      <c r="I168" t="n">
        <v>5.26</v>
      </c>
      <c r="J168" t="n">
        <v>1.89</v>
      </c>
      <c r="K168" t="n">
        <v>5.51</v>
      </c>
      <c r="L168" t="n">
        <v>4.08</v>
      </c>
      <c r="M168" t="n">
        <v>1.19</v>
      </c>
      <c r="N168" t="n">
        <v>0.32</v>
      </c>
      <c r="O168" t="n">
        <v>-1.3</v>
      </c>
      <c r="P168" t="n">
        <v>-0.23</v>
      </c>
      <c r="Q168" t="n">
        <v>0.5600000000000001</v>
      </c>
      <c r="R168" t="n">
        <v>9.01</v>
      </c>
      <c r="S168" t="n">
        <v>3.03</v>
      </c>
      <c r="T168" t="n">
        <v>12.51</v>
      </c>
      <c r="U168" t="n">
        <v>0.34</v>
      </c>
      <c r="V168" t="n">
        <v>0.66</v>
      </c>
      <c r="W168" t="n">
        <v>0.58</v>
      </c>
      <c r="X168" t="n">
        <v>9.35</v>
      </c>
      <c r="Y168" t="n">
        <v>13.76</v>
      </c>
      <c r="Z168" t="n">
        <v>2720</v>
      </c>
      <c r="AA168" t="n">
        <v>64.97</v>
      </c>
      <c r="AB168" t="n">
        <v>5.85</v>
      </c>
      <c r="AC168" t="n">
        <v>0.17</v>
      </c>
      <c r="AD168" t="n">
        <v>2344579799.85</v>
      </c>
    </row>
    <row r="169">
      <c r="A169" t="inlineStr">
        <is>
          <t>COCE5</t>
        </is>
      </c>
      <c r="B169" t="n">
        <v>33.95</v>
      </c>
      <c r="D169" t="n">
        <v>5.8</v>
      </c>
      <c r="E169" t="n">
        <v>0.52</v>
      </c>
      <c r="F169" t="n">
        <v>0.18</v>
      </c>
      <c r="G169" t="n">
        <v>20.76</v>
      </c>
      <c r="H169" t="n">
        <v>17.09</v>
      </c>
      <c r="I169" t="n">
        <v>5.26</v>
      </c>
      <c r="J169" t="n">
        <v>1.79</v>
      </c>
      <c r="K169" t="n">
        <v>5.51</v>
      </c>
      <c r="L169" t="n">
        <v>4.08</v>
      </c>
      <c r="M169" t="n">
        <v>1.19</v>
      </c>
      <c r="N169" t="n">
        <v>0.31</v>
      </c>
      <c r="O169" t="n">
        <v>-1.23</v>
      </c>
      <c r="P169" t="n">
        <v>-0.21</v>
      </c>
      <c r="Q169" t="n">
        <v>0.5600000000000001</v>
      </c>
      <c r="R169" t="n">
        <v>9.01</v>
      </c>
      <c r="S169" t="n">
        <v>3.03</v>
      </c>
      <c r="T169" t="n">
        <v>12.51</v>
      </c>
      <c r="U169" t="n">
        <v>0.34</v>
      </c>
      <c r="V169" t="n">
        <v>0.66</v>
      </c>
      <c r="W169" t="n">
        <v>0.58</v>
      </c>
      <c r="X169" t="n">
        <v>9.35</v>
      </c>
      <c r="Y169" t="n">
        <v>13.76</v>
      </c>
      <c r="Z169" t="n">
        <v>427186.82</v>
      </c>
      <c r="AA169" t="n">
        <v>64.97</v>
      </c>
      <c r="AB169" t="n">
        <v>5.85</v>
      </c>
      <c r="AC169" t="n">
        <v>0.16</v>
      </c>
      <c r="AD169" t="n">
        <v>2344579799.85</v>
      </c>
    </row>
    <row r="170">
      <c r="A170" t="inlineStr">
        <is>
          <t>COCE6</t>
        </is>
      </c>
      <c r="B170" t="n">
        <v>12.83</v>
      </c>
      <c r="D170" t="n">
        <v>2.19</v>
      </c>
      <c r="E170" t="n">
        <v>0.2</v>
      </c>
      <c r="F170" t="n">
        <v>0.07000000000000001</v>
      </c>
      <c r="G170" t="n">
        <v>20.76</v>
      </c>
      <c r="H170" t="n">
        <v>17.09</v>
      </c>
      <c r="I170" t="n">
        <v>5.26</v>
      </c>
      <c r="J170" t="n">
        <v>0.68</v>
      </c>
      <c r="K170" t="n">
        <v>5.51</v>
      </c>
      <c r="L170" t="n">
        <v>4.08</v>
      </c>
      <c r="M170" t="n">
        <v>1.19</v>
      </c>
      <c r="N170" t="n">
        <v>0.12</v>
      </c>
      <c r="O170" t="n">
        <v>-0.46</v>
      </c>
      <c r="P170" t="n">
        <v>-0.08</v>
      </c>
      <c r="Q170" t="n">
        <v>0.5600000000000001</v>
      </c>
      <c r="R170" t="n">
        <v>9.01</v>
      </c>
      <c r="S170" t="n">
        <v>3.03</v>
      </c>
      <c r="T170" t="n">
        <v>12.51</v>
      </c>
      <c r="U170" t="n">
        <v>0.34</v>
      </c>
      <c r="V170" t="n">
        <v>0.66</v>
      </c>
      <c r="W170" t="n">
        <v>0.58</v>
      </c>
      <c r="X170" t="n">
        <v>9.35</v>
      </c>
      <c r="Y170" t="n">
        <v>13.76</v>
      </c>
      <c r="AA170" t="n">
        <v>64.97</v>
      </c>
      <c r="AB170" t="n">
        <v>5.85</v>
      </c>
      <c r="AC170" t="n">
        <v>0.06</v>
      </c>
      <c r="AD170" t="n">
        <v>2344579799.85</v>
      </c>
    </row>
    <row r="171">
      <c r="A171" t="inlineStr">
        <is>
          <t>COGN3</t>
        </is>
      </c>
      <c r="B171" t="n">
        <v>2.19</v>
      </c>
      <c r="C171" t="n">
        <v>5.87</v>
      </c>
      <c r="D171" t="n">
        <v>6.76</v>
      </c>
      <c r="E171" t="n">
        <v>0.33</v>
      </c>
      <c r="F171" t="n">
        <v>0.19</v>
      </c>
      <c r="G171" t="n">
        <v>66.92</v>
      </c>
      <c r="H171" t="n">
        <v>18.8</v>
      </c>
      <c r="I171" t="n">
        <v>8.92</v>
      </c>
      <c r="J171" t="n">
        <v>3.21</v>
      </c>
      <c r="K171" t="n">
        <v>6.96</v>
      </c>
      <c r="L171" t="n">
        <v>3.76</v>
      </c>
      <c r="M171" t="n">
        <v>0.39</v>
      </c>
      <c r="N171" t="n">
        <v>0.6</v>
      </c>
      <c r="O171" t="n">
        <v>2.31</v>
      </c>
      <c r="P171" t="n">
        <v>-0.24</v>
      </c>
      <c r="Q171" t="n">
        <v>1.65</v>
      </c>
      <c r="R171" t="n">
        <v>4.94</v>
      </c>
      <c r="S171" t="n">
        <v>2.77</v>
      </c>
      <c r="T171" t="n">
        <v>6.92</v>
      </c>
      <c r="U171" t="n">
        <v>0.5600000000000001</v>
      </c>
      <c r="V171" t="n">
        <v>0.44</v>
      </c>
      <c r="W171" t="n">
        <v>0.31</v>
      </c>
      <c r="X171" t="n">
        <v>5.9</v>
      </c>
      <c r="Z171" t="n">
        <v>48121259.59</v>
      </c>
      <c r="AA171" t="n">
        <v>6.59</v>
      </c>
      <c r="AB171" t="n">
        <v>0.33</v>
      </c>
      <c r="AC171" t="n">
        <v>-0.21</v>
      </c>
      <c r="AD171" t="n">
        <v>4520744359.89</v>
      </c>
    </row>
    <row r="172">
      <c r="A172" t="inlineStr">
        <is>
          <t>CORR3</t>
        </is>
      </c>
      <c r="B172" t="n">
        <v>2.71</v>
      </c>
      <c r="D172" t="n">
        <v>0.01</v>
      </c>
      <c r="E172" t="n">
        <v>0.01</v>
      </c>
      <c r="F172" t="n">
        <v>0</v>
      </c>
      <c r="G172" t="n">
        <v>100</v>
      </c>
      <c r="H172" t="n">
        <v>2560.96</v>
      </c>
      <c r="I172" t="n">
        <v>2141.14</v>
      </c>
      <c r="J172" t="n">
        <v>0.01</v>
      </c>
      <c r="K172" t="n">
        <v>-1.26</v>
      </c>
      <c r="L172" t="n">
        <v>-1.41</v>
      </c>
      <c r="M172" t="n">
        <v>-2.58</v>
      </c>
      <c r="N172" t="n">
        <v>0.19</v>
      </c>
      <c r="O172" t="n">
        <v>0.01</v>
      </c>
      <c r="P172" t="n">
        <v>-0.02</v>
      </c>
      <c r="Q172" t="n">
        <v>4.25</v>
      </c>
      <c r="R172" t="n">
        <v>152.84</v>
      </c>
      <c r="S172" t="n">
        <v>44.18</v>
      </c>
      <c r="T172" t="n">
        <v>126.45</v>
      </c>
      <c r="U172" t="n">
        <v>0.29</v>
      </c>
      <c r="V172" t="n">
        <v>0.71</v>
      </c>
      <c r="W172" t="n">
        <v>0.02</v>
      </c>
      <c r="X172" t="n">
        <v>-16.36</v>
      </c>
      <c r="AA172" t="n">
        <v>201.49</v>
      </c>
      <c r="AB172" t="n">
        <v>307.95</v>
      </c>
      <c r="AC172" t="n">
        <v>0</v>
      </c>
      <c r="AD172" t="n">
        <v>1278894.65</v>
      </c>
    </row>
    <row r="173">
      <c r="A173" t="inlineStr">
        <is>
          <t>CORR4</t>
        </is>
      </c>
      <c r="B173" t="n">
        <v>82</v>
      </c>
      <c r="D173" t="n">
        <v>0.27</v>
      </c>
      <c r="E173" t="n">
        <v>0.41</v>
      </c>
      <c r="F173" t="n">
        <v>0.12</v>
      </c>
      <c r="G173" t="n">
        <v>100</v>
      </c>
      <c r="H173" t="n">
        <v>2560.96</v>
      </c>
      <c r="I173" t="n">
        <v>2141.14</v>
      </c>
      <c r="J173" t="n">
        <v>0.22</v>
      </c>
      <c r="K173" t="n">
        <v>-1.26</v>
      </c>
      <c r="L173" t="n">
        <v>-1.41</v>
      </c>
      <c r="M173" t="n">
        <v>-2.58</v>
      </c>
      <c r="N173" t="n">
        <v>5.7</v>
      </c>
      <c r="O173" t="n">
        <v>0.2</v>
      </c>
      <c r="P173" t="n">
        <v>-0.48</v>
      </c>
      <c r="Q173" t="n">
        <v>4.25</v>
      </c>
      <c r="R173" t="n">
        <v>152.84</v>
      </c>
      <c r="S173" t="n">
        <v>44.18</v>
      </c>
      <c r="T173" t="n">
        <v>126.45</v>
      </c>
      <c r="U173" t="n">
        <v>0.29</v>
      </c>
      <c r="V173" t="n">
        <v>0.71</v>
      </c>
      <c r="W173" t="n">
        <v>0.02</v>
      </c>
      <c r="X173" t="n">
        <v>-16.36</v>
      </c>
      <c r="AA173" t="n">
        <v>201.49</v>
      </c>
      <c r="AB173" t="n">
        <v>307.95</v>
      </c>
      <c r="AC173" t="n">
        <v>0</v>
      </c>
      <c r="AD173" t="n">
        <v>1278894.65</v>
      </c>
    </row>
    <row r="174">
      <c r="A174" t="inlineStr">
        <is>
          <t>CPFE3</t>
        </is>
      </c>
      <c r="B174" t="n">
        <v>45.26</v>
      </c>
      <c r="C174" t="n">
        <v>8.25</v>
      </c>
      <c r="D174" t="n">
        <v>9.050000000000001</v>
      </c>
      <c r="E174" t="n">
        <v>2.15</v>
      </c>
      <c r="F174" t="n">
        <v>0.62</v>
      </c>
      <c r="G174" t="n">
        <v>31.3</v>
      </c>
      <c r="H174" t="n">
        <v>24.5</v>
      </c>
      <c r="I174" t="n">
        <v>12.79</v>
      </c>
      <c r="J174" t="n">
        <v>4.73</v>
      </c>
      <c r="K174" t="n">
        <v>7.08</v>
      </c>
      <c r="L174" t="n">
        <v>2.35</v>
      </c>
      <c r="M174" t="n">
        <v>1.07</v>
      </c>
      <c r="N174" t="n">
        <v>1.16</v>
      </c>
      <c r="O174" t="n">
        <v>20.83</v>
      </c>
      <c r="P174" t="n">
        <v>-0.8100000000000001</v>
      </c>
      <c r="Q174" t="n">
        <v>1.15</v>
      </c>
      <c r="R174" t="n">
        <v>23.72</v>
      </c>
      <c r="S174" t="n">
        <v>6.86</v>
      </c>
      <c r="T174" t="n">
        <v>15.41</v>
      </c>
      <c r="U174" t="n">
        <v>0.29</v>
      </c>
      <c r="V174" t="n">
        <v>0.7</v>
      </c>
      <c r="W174" t="n">
        <v>0.54</v>
      </c>
      <c r="X174" t="n">
        <v>7.5</v>
      </c>
      <c r="Y174" t="n">
        <v>9.609999999999999</v>
      </c>
      <c r="Z174" t="n">
        <v>51250159.45</v>
      </c>
      <c r="AA174" t="n">
        <v>21.09</v>
      </c>
      <c r="AB174" t="n">
        <v>5</v>
      </c>
      <c r="AC174" t="n">
        <v>1.12</v>
      </c>
      <c r="AD174" t="n">
        <v>52162558498.8</v>
      </c>
    </row>
    <row r="175">
      <c r="A175" t="inlineStr">
        <is>
          <t>CPLE3</t>
        </is>
      </c>
      <c r="B175" t="n">
        <v>14.66</v>
      </c>
      <c r="C175" t="n">
        <v>7.25</v>
      </c>
      <c r="D175" t="n">
        <v>16.11</v>
      </c>
      <c r="E175" t="n">
        <v>1.83</v>
      </c>
      <c r="F175" t="n">
        <v>0.6899999999999999</v>
      </c>
      <c r="G175" t="n">
        <v>21.88</v>
      </c>
      <c r="H175" t="n">
        <v>18.94</v>
      </c>
      <c r="I175" t="n">
        <v>9.949999999999999</v>
      </c>
      <c r="J175" t="n">
        <v>8.460000000000001</v>
      </c>
      <c r="K175" t="n">
        <v>11.98</v>
      </c>
      <c r="L175" t="n">
        <v>3.51</v>
      </c>
      <c r="M175" t="n">
        <v>0.76</v>
      </c>
      <c r="N175" t="n">
        <v>1.6</v>
      </c>
      <c r="O175" t="n">
        <v>12.32</v>
      </c>
      <c r="P175" t="n">
        <v>-0.88</v>
      </c>
      <c r="Q175" t="n">
        <v>1.37</v>
      </c>
      <c r="R175" t="n">
        <v>11.39</v>
      </c>
      <c r="S175" t="n">
        <v>4.31</v>
      </c>
      <c r="T175" t="n">
        <v>9.59</v>
      </c>
      <c r="U175" t="n">
        <v>0.38</v>
      </c>
      <c r="V175" t="n">
        <v>0.62</v>
      </c>
      <c r="W175" t="n">
        <v>0.43</v>
      </c>
      <c r="X175" t="n">
        <v>6.99</v>
      </c>
      <c r="Y175" t="n">
        <v>-7.01</v>
      </c>
      <c r="Z175" t="n">
        <v>223517603.14</v>
      </c>
      <c r="AA175" t="n">
        <v>7.99</v>
      </c>
      <c r="AB175" t="n">
        <v>0.91</v>
      </c>
      <c r="AC175" t="n">
        <v>-2.07</v>
      </c>
      <c r="AD175" t="n">
        <v>43787659472.18</v>
      </c>
    </row>
    <row r="176">
      <c r="A176" t="inlineStr">
        <is>
          <t>CPLE5</t>
        </is>
      </c>
      <c r="B176" t="n">
        <v>10.98</v>
      </c>
      <c r="D176" t="n">
        <v>12.06</v>
      </c>
      <c r="E176" t="n">
        <v>1.37</v>
      </c>
      <c r="F176" t="n">
        <v>0.52</v>
      </c>
      <c r="G176" t="n">
        <v>21.88</v>
      </c>
      <c r="H176" t="n">
        <v>18.94</v>
      </c>
      <c r="I176" t="n">
        <v>9.949999999999999</v>
      </c>
      <c r="J176" t="n">
        <v>6.34</v>
      </c>
      <c r="K176" t="n">
        <v>11.98</v>
      </c>
      <c r="L176" t="n">
        <v>3.51</v>
      </c>
      <c r="M176" t="n">
        <v>0.76</v>
      </c>
      <c r="N176" t="n">
        <v>1.2</v>
      </c>
      <c r="O176" t="n">
        <v>9.23</v>
      </c>
      <c r="P176" t="n">
        <v>-0.66</v>
      </c>
      <c r="Q176" t="n">
        <v>1.37</v>
      </c>
      <c r="R176" t="n">
        <v>11.39</v>
      </c>
      <c r="S176" t="n">
        <v>4.31</v>
      </c>
      <c r="T176" t="n">
        <v>9.59</v>
      </c>
      <c r="U176" t="n">
        <v>0.38</v>
      </c>
      <c r="V176" t="n">
        <v>0.62</v>
      </c>
      <c r="W176" t="n">
        <v>0.43</v>
      </c>
      <c r="X176" t="n">
        <v>6.99</v>
      </c>
      <c r="Y176" t="n">
        <v>-7.01</v>
      </c>
      <c r="Z176" t="n">
        <v>408011897</v>
      </c>
      <c r="AA176" t="n">
        <v>7.99</v>
      </c>
      <c r="AB176" t="n">
        <v>0.91</v>
      </c>
      <c r="AC176" t="n">
        <v>-1.55</v>
      </c>
      <c r="AD176" t="n">
        <v>43787659472.18</v>
      </c>
    </row>
    <row r="177">
      <c r="A177" t="inlineStr">
        <is>
          <t>CPLE6</t>
        </is>
      </c>
      <c r="B177" t="n">
        <v>14.22</v>
      </c>
      <c r="D177" t="n">
        <v>15.62</v>
      </c>
      <c r="E177" t="n">
        <v>1.78</v>
      </c>
      <c r="F177" t="n">
        <v>0.67</v>
      </c>
      <c r="G177" t="n">
        <v>21.88</v>
      </c>
      <c r="H177" t="n">
        <v>18.94</v>
      </c>
      <c r="I177" t="n">
        <v>9.949999999999999</v>
      </c>
      <c r="J177" t="n">
        <v>8.210000000000001</v>
      </c>
      <c r="K177" t="n">
        <v>11.98</v>
      </c>
      <c r="L177" t="n">
        <v>3.51</v>
      </c>
      <c r="M177" t="n">
        <v>0.76</v>
      </c>
      <c r="N177" t="n">
        <v>1.55</v>
      </c>
      <c r="O177" t="n">
        <v>11.95</v>
      </c>
      <c r="P177" t="n">
        <v>-0.85</v>
      </c>
      <c r="Q177" t="n">
        <v>1.37</v>
      </c>
      <c r="R177" t="n">
        <v>11.39</v>
      </c>
      <c r="S177" t="n">
        <v>4.31</v>
      </c>
      <c r="T177" t="n">
        <v>9.59</v>
      </c>
      <c r="U177" t="n">
        <v>0.38</v>
      </c>
      <c r="V177" t="n">
        <v>0.62</v>
      </c>
      <c r="W177" t="n">
        <v>0.43</v>
      </c>
      <c r="X177" t="n">
        <v>6.99</v>
      </c>
      <c r="Y177" t="n">
        <v>-7.01</v>
      </c>
      <c r="Z177" t="n">
        <v>121075705</v>
      </c>
      <c r="AA177" t="n">
        <v>7.99</v>
      </c>
      <c r="AB177" t="n">
        <v>0.91</v>
      </c>
      <c r="AC177" t="n">
        <v>-2.01</v>
      </c>
      <c r="AD177" t="n">
        <v>43787659472.18</v>
      </c>
    </row>
    <row r="178">
      <c r="A178" t="inlineStr">
        <is>
          <t>CPRE3</t>
        </is>
      </c>
      <c r="B178" t="n">
        <v>18.23</v>
      </c>
      <c r="D178" t="n">
        <v>9.52</v>
      </c>
      <c r="E178" t="n">
        <v>2.23</v>
      </c>
      <c r="F178" t="n">
        <v>1.03</v>
      </c>
      <c r="G178" t="n">
        <v>59.96</v>
      </c>
      <c r="H178" t="n">
        <v>48.11</v>
      </c>
      <c r="I178" t="n">
        <v>30.42</v>
      </c>
      <c r="J178" t="n">
        <v>6.02</v>
      </c>
      <c r="K178" t="n">
        <v>6.28</v>
      </c>
      <c r="L178" t="n">
        <v>0.26</v>
      </c>
      <c r="M178" t="n">
        <v>0.09</v>
      </c>
      <c r="N178" t="n">
        <v>2.9</v>
      </c>
      <c r="O178" t="n">
        <v>-16.55</v>
      </c>
      <c r="P178" t="n">
        <v>-1.25</v>
      </c>
      <c r="Q178" t="n">
        <v>0.74</v>
      </c>
      <c r="R178" t="n">
        <v>23.44</v>
      </c>
      <c r="S178" t="n">
        <v>10.78</v>
      </c>
      <c r="T178" t="n">
        <v>17.13</v>
      </c>
      <c r="U178" t="n">
        <v>0.46</v>
      </c>
      <c r="V178" t="n">
        <v>0.53</v>
      </c>
      <c r="W178" t="n">
        <v>0.35</v>
      </c>
      <c r="X178" t="n">
        <v>10.1</v>
      </c>
      <c r="Y178" t="n">
        <v>7.48</v>
      </c>
      <c r="AA178" t="n">
        <v>8.17</v>
      </c>
      <c r="AB178" t="n">
        <v>1.91</v>
      </c>
      <c r="AC178" t="n">
        <v>-3.84</v>
      </c>
      <c r="AD178" t="n">
        <v>10824662431.07</v>
      </c>
    </row>
    <row r="179">
      <c r="A179" t="inlineStr">
        <is>
          <t>CREM3</t>
        </is>
      </c>
      <c r="B179" t="n">
        <v>14.5</v>
      </c>
      <c r="D179" t="n">
        <v>32.7</v>
      </c>
      <c r="E179" t="n">
        <v>2.45</v>
      </c>
      <c r="F179" t="n">
        <v>0.67</v>
      </c>
      <c r="G179" t="n">
        <v>30.3</v>
      </c>
      <c r="H179" t="n">
        <v>7.39</v>
      </c>
      <c r="I179" t="n">
        <v>2.1</v>
      </c>
      <c r="J179" t="n">
        <v>9.279999999999999</v>
      </c>
      <c r="K179" t="n">
        <v>13.11</v>
      </c>
      <c r="L179" t="n">
        <v>3.84</v>
      </c>
      <c r="M179" t="n">
        <v>1.01</v>
      </c>
      <c r="N179" t="n">
        <v>0.6899999999999999</v>
      </c>
      <c r="O179" t="n">
        <v>4.89</v>
      </c>
      <c r="P179" t="n">
        <v>-1.69</v>
      </c>
      <c r="Q179" t="n">
        <v>1.29</v>
      </c>
      <c r="R179" t="n">
        <v>7.5</v>
      </c>
      <c r="S179" t="n">
        <v>2.05</v>
      </c>
      <c r="T179" t="n">
        <v>9.289999999999999</v>
      </c>
      <c r="U179" t="n">
        <v>0.27</v>
      </c>
      <c r="V179" t="n">
        <v>0.73</v>
      </c>
      <c r="W179" t="n">
        <v>0.98</v>
      </c>
      <c r="X179" t="n">
        <v>1.09</v>
      </c>
      <c r="AA179" t="n">
        <v>5.91</v>
      </c>
      <c r="AB179" t="n">
        <v>0.44</v>
      </c>
      <c r="AC179" t="n">
        <v>22.14</v>
      </c>
      <c r="AD179" t="n">
        <v>465122474</v>
      </c>
    </row>
    <row r="180">
      <c r="A180" t="inlineStr">
        <is>
          <t>CRFB3</t>
        </is>
      </c>
      <c r="B180" t="n">
        <v>8.48</v>
      </c>
      <c r="C180" t="n">
        <v>0.01</v>
      </c>
      <c r="D180" t="n">
        <v>9.84</v>
      </c>
      <c r="E180" t="n">
        <v>0.83</v>
      </c>
      <c r="F180" t="n">
        <v>0.19</v>
      </c>
      <c r="G180" t="n">
        <v>18.14</v>
      </c>
      <c r="H180" t="n">
        <v>3.75</v>
      </c>
      <c r="I180" t="n">
        <v>1.52</v>
      </c>
      <c r="J180" t="n">
        <v>3.99</v>
      </c>
      <c r="K180" t="n">
        <v>8.470000000000001</v>
      </c>
      <c r="L180" t="n">
        <v>4.49</v>
      </c>
      <c r="M180" t="n">
        <v>0.9399999999999999</v>
      </c>
      <c r="N180" t="n">
        <v>0.15</v>
      </c>
      <c r="O180" t="n">
        <v>5.86</v>
      </c>
      <c r="P180" t="n">
        <v>-0.36</v>
      </c>
      <c r="Q180" t="n">
        <v>1.07</v>
      </c>
      <c r="R180" t="n">
        <v>8.48</v>
      </c>
      <c r="S180" t="n">
        <v>1.89</v>
      </c>
      <c r="T180" t="n">
        <v>8.279999999999999</v>
      </c>
      <c r="U180" t="n">
        <v>0.22</v>
      </c>
      <c r="V180" t="n">
        <v>0.76</v>
      </c>
      <c r="W180" t="n">
        <v>1.25</v>
      </c>
      <c r="X180" t="n">
        <v>14</v>
      </c>
      <c r="Y180" t="n">
        <v>12.41</v>
      </c>
      <c r="Z180" t="n">
        <v>122254636</v>
      </c>
      <c r="AA180" t="n">
        <v>10.16</v>
      </c>
      <c r="AB180" t="n">
        <v>0.86</v>
      </c>
      <c r="AC180" t="n">
        <v>0</v>
      </c>
      <c r="AD180" t="n">
        <v>17884800909.28</v>
      </c>
    </row>
    <row r="181">
      <c r="A181" t="inlineStr">
        <is>
          <t>CRIV3</t>
        </is>
      </c>
      <c r="B181" t="n">
        <v>6.98</v>
      </c>
      <c r="D181" t="n">
        <v>35.1</v>
      </c>
      <c r="E181" t="n">
        <v>0.66</v>
      </c>
      <c r="F181" t="n">
        <v>0.04</v>
      </c>
      <c r="G181" t="n">
        <v>20.26</v>
      </c>
      <c r="H181" t="n">
        <v>0.43</v>
      </c>
      <c r="I181" t="n">
        <v>0.99</v>
      </c>
      <c r="J181" t="n">
        <v>81.37</v>
      </c>
      <c r="K181" t="n">
        <v>80.16</v>
      </c>
      <c r="N181" t="n">
        <v>0.35</v>
      </c>
      <c r="O181" t="n">
        <v>0.07000000000000001</v>
      </c>
      <c r="P181" t="n">
        <v>-0.09</v>
      </c>
      <c r="Q181" t="n">
        <v>131.56</v>
      </c>
      <c r="R181" t="n">
        <v>1.89</v>
      </c>
      <c r="S181" t="n">
        <v>0.12</v>
      </c>
      <c r="U181" t="n">
        <v>0.06</v>
      </c>
      <c r="V181" t="n">
        <v>0.9399999999999999</v>
      </c>
      <c r="W181" t="n">
        <v>0.12</v>
      </c>
      <c r="X181" t="n">
        <v>27.56</v>
      </c>
      <c r="Y181" t="n">
        <v>-21.36</v>
      </c>
      <c r="AA181" t="n">
        <v>10.5</v>
      </c>
      <c r="AB181" t="n">
        <v>0.2</v>
      </c>
      <c r="AC181" t="n">
        <v>-0.75</v>
      </c>
      <c r="AD181" t="n">
        <v>707929532</v>
      </c>
    </row>
    <row r="182">
      <c r="A182" t="inlineStr">
        <is>
          <t>CRIV4</t>
        </is>
      </c>
      <c r="B182" t="n">
        <v>6.74</v>
      </c>
      <c r="D182" t="n">
        <v>33.89</v>
      </c>
      <c r="E182" t="n">
        <v>0.64</v>
      </c>
      <c r="F182" t="n">
        <v>0.04</v>
      </c>
      <c r="G182" t="n">
        <v>20.26</v>
      </c>
      <c r="H182" t="n">
        <v>0.43</v>
      </c>
      <c r="I182" t="n">
        <v>0.99</v>
      </c>
      <c r="J182" t="n">
        <v>78.56999999999999</v>
      </c>
      <c r="K182" t="n">
        <v>80.16</v>
      </c>
      <c r="N182" t="n">
        <v>0.33</v>
      </c>
      <c r="O182" t="n">
        <v>0.07000000000000001</v>
      </c>
      <c r="P182" t="n">
        <v>-0.09</v>
      </c>
      <c r="Q182" t="n">
        <v>131.56</v>
      </c>
      <c r="R182" t="n">
        <v>1.89</v>
      </c>
      <c r="S182" t="n">
        <v>0.12</v>
      </c>
      <c r="U182" t="n">
        <v>0.06</v>
      </c>
      <c r="V182" t="n">
        <v>0.9399999999999999</v>
      </c>
      <c r="W182" t="n">
        <v>0.12</v>
      </c>
      <c r="X182" t="n">
        <v>27.56</v>
      </c>
      <c r="Y182" t="n">
        <v>-21.36</v>
      </c>
      <c r="AA182" t="n">
        <v>10.5</v>
      </c>
      <c r="AB182" t="n">
        <v>0.2</v>
      </c>
      <c r="AC182" t="n">
        <v>-0.72</v>
      </c>
      <c r="AD182" t="n">
        <v>707929532</v>
      </c>
    </row>
    <row r="183">
      <c r="A183" t="inlineStr">
        <is>
          <t>CRPG3</t>
        </is>
      </c>
      <c r="B183" t="n">
        <v>17</v>
      </c>
      <c r="D183" t="n">
        <v>-6.13</v>
      </c>
      <c r="E183" t="n">
        <v>0.9</v>
      </c>
      <c r="F183" t="n">
        <v>0.52</v>
      </c>
      <c r="G183" t="n">
        <v>-4.05</v>
      </c>
      <c r="H183" t="n">
        <v>-11.55</v>
      </c>
      <c r="I183" t="n">
        <v>-9.619999999999999</v>
      </c>
      <c r="J183" t="n">
        <v>-5.11</v>
      </c>
      <c r="K183" t="n">
        <v>-3.7</v>
      </c>
      <c r="L183" t="n">
        <v>0.37</v>
      </c>
      <c r="M183" t="n">
        <v>-0.06</v>
      </c>
      <c r="N183" t="n">
        <v>0.59</v>
      </c>
      <c r="O183" t="n">
        <v>1.71</v>
      </c>
      <c r="P183" t="n">
        <v>-1.47</v>
      </c>
      <c r="Q183" t="n">
        <v>1.9</v>
      </c>
      <c r="R183" t="n">
        <v>-14.62</v>
      </c>
      <c r="S183" t="n">
        <v>-8.52</v>
      </c>
      <c r="T183" t="n">
        <v>-17.77</v>
      </c>
      <c r="U183" t="n">
        <v>0.58</v>
      </c>
      <c r="V183" t="n">
        <v>0.42</v>
      </c>
      <c r="W183" t="n">
        <v>0.89</v>
      </c>
      <c r="X183" t="n">
        <v>1.63</v>
      </c>
      <c r="Z183" t="n">
        <v>0</v>
      </c>
      <c r="AA183" t="n">
        <v>18.96</v>
      </c>
      <c r="AB183" t="n">
        <v>-2.77</v>
      </c>
      <c r="AC183" t="n">
        <v>0.19</v>
      </c>
      <c r="AD183" t="n">
        <v>392793038.83</v>
      </c>
    </row>
    <row r="184">
      <c r="A184" t="inlineStr">
        <is>
          <t>CRPG5</t>
        </is>
      </c>
      <c r="B184" t="n">
        <v>11.75</v>
      </c>
      <c r="D184" t="n">
        <v>-4.24</v>
      </c>
      <c r="E184" t="n">
        <v>0.62</v>
      </c>
      <c r="F184" t="n">
        <v>0.36</v>
      </c>
      <c r="G184" t="n">
        <v>-4.05</v>
      </c>
      <c r="H184" t="n">
        <v>-11.55</v>
      </c>
      <c r="I184" t="n">
        <v>-9.619999999999999</v>
      </c>
      <c r="J184" t="n">
        <v>-3.53</v>
      </c>
      <c r="K184" t="n">
        <v>-3.7</v>
      </c>
      <c r="L184" t="n">
        <v>0.37</v>
      </c>
      <c r="M184" t="n">
        <v>-0.06</v>
      </c>
      <c r="N184" t="n">
        <v>0.41</v>
      </c>
      <c r="O184" t="n">
        <v>1.18</v>
      </c>
      <c r="P184" t="n">
        <v>-1.02</v>
      </c>
      <c r="Q184" t="n">
        <v>1.9</v>
      </c>
      <c r="R184" t="n">
        <v>-14.62</v>
      </c>
      <c r="S184" t="n">
        <v>-8.52</v>
      </c>
      <c r="T184" t="n">
        <v>-17.77</v>
      </c>
      <c r="U184" t="n">
        <v>0.58</v>
      </c>
      <c r="V184" t="n">
        <v>0.42</v>
      </c>
      <c r="W184" t="n">
        <v>0.89</v>
      </c>
      <c r="X184" t="n">
        <v>1.63</v>
      </c>
      <c r="Z184" t="n">
        <v>58798.36</v>
      </c>
      <c r="AA184" t="n">
        <v>18.96</v>
      </c>
      <c r="AB184" t="n">
        <v>-2.77</v>
      </c>
      <c r="AC184" t="n">
        <v>0.13</v>
      </c>
      <c r="AD184" t="n">
        <v>392793038.83</v>
      </c>
    </row>
    <row r="185">
      <c r="A185" t="inlineStr">
        <is>
          <t>CRPG6</t>
        </is>
      </c>
      <c r="B185" t="n">
        <v>12.57</v>
      </c>
      <c r="D185" t="n">
        <v>-4.53</v>
      </c>
      <c r="E185" t="n">
        <v>0.66</v>
      </c>
      <c r="F185" t="n">
        <v>0.39</v>
      </c>
      <c r="G185" t="n">
        <v>-4.05</v>
      </c>
      <c r="H185" t="n">
        <v>-11.55</v>
      </c>
      <c r="I185" t="n">
        <v>-9.619999999999999</v>
      </c>
      <c r="J185" t="n">
        <v>-3.78</v>
      </c>
      <c r="K185" t="n">
        <v>-3.7</v>
      </c>
      <c r="L185" t="n">
        <v>0.37</v>
      </c>
      <c r="M185" t="n">
        <v>-0.06</v>
      </c>
      <c r="N185" t="n">
        <v>0.44</v>
      </c>
      <c r="O185" t="n">
        <v>1.27</v>
      </c>
      <c r="P185" t="n">
        <v>-1.09</v>
      </c>
      <c r="Q185" t="n">
        <v>1.9</v>
      </c>
      <c r="R185" t="n">
        <v>-14.62</v>
      </c>
      <c r="S185" t="n">
        <v>-8.52</v>
      </c>
      <c r="T185" t="n">
        <v>-17.77</v>
      </c>
      <c r="U185" t="n">
        <v>0.58</v>
      </c>
      <c r="V185" t="n">
        <v>0.42</v>
      </c>
      <c r="W185" t="n">
        <v>0.89</v>
      </c>
      <c r="X185" t="n">
        <v>1.63</v>
      </c>
      <c r="Z185" t="n">
        <v>1304.47</v>
      </c>
      <c r="AA185" t="n">
        <v>18.96</v>
      </c>
      <c r="AB185" t="n">
        <v>-2.77</v>
      </c>
      <c r="AC185" t="n">
        <v>0.14</v>
      </c>
      <c r="AD185" t="n">
        <v>392793038.83</v>
      </c>
    </row>
    <row r="186">
      <c r="A186" t="inlineStr">
        <is>
          <t>CSAB3</t>
        </is>
      </c>
      <c r="B186" t="n">
        <v>30.5</v>
      </c>
      <c r="D186" t="n">
        <v>12.39</v>
      </c>
      <c r="E186" t="n">
        <v>1.11</v>
      </c>
      <c r="F186" t="n">
        <v>0.57</v>
      </c>
      <c r="G186" t="n">
        <v>-124</v>
      </c>
      <c r="H186" t="n">
        <v>1656.27</v>
      </c>
      <c r="I186" t="n">
        <v>2521.73</v>
      </c>
      <c r="J186" t="n">
        <v>18.86</v>
      </c>
      <c r="K186" t="n">
        <v>24.57</v>
      </c>
      <c r="N186" t="n">
        <v>312.32</v>
      </c>
      <c r="O186" t="n">
        <v>3.54</v>
      </c>
      <c r="P186" t="n">
        <v>-0.71</v>
      </c>
      <c r="Q186" t="n">
        <v>4.45</v>
      </c>
      <c r="R186" t="n">
        <v>8.94</v>
      </c>
      <c r="S186" t="n">
        <v>4.57</v>
      </c>
      <c r="U186" t="n">
        <v>0.51</v>
      </c>
      <c r="V186" t="n">
        <v>0.49</v>
      </c>
      <c r="W186" t="n">
        <v>0</v>
      </c>
      <c r="X186" t="n">
        <v>-33.4</v>
      </c>
      <c r="Y186" t="n">
        <v>-1.31</v>
      </c>
      <c r="AA186" t="n">
        <v>27.56</v>
      </c>
      <c r="AB186" t="n">
        <v>2.46</v>
      </c>
      <c r="AC186" t="n">
        <v>-0.02</v>
      </c>
      <c r="AD186" t="n">
        <v>305164800</v>
      </c>
    </row>
    <row r="187">
      <c r="A187" t="inlineStr">
        <is>
          <t>CSAB4</t>
        </is>
      </c>
      <c r="B187" t="n">
        <v>48.97</v>
      </c>
      <c r="D187" t="n">
        <v>19.89</v>
      </c>
      <c r="E187" t="n">
        <v>1.78</v>
      </c>
      <c r="F187" t="n">
        <v>0.91</v>
      </c>
      <c r="G187" t="n">
        <v>-124</v>
      </c>
      <c r="H187" t="n">
        <v>1656.27</v>
      </c>
      <c r="I187" t="n">
        <v>2521.73</v>
      </c>
      <c r="J187" t="n">
        <v>30.28</v>
      </c>
      <c r="K187" t="n">
        <v>24.57</v>
      </c>
      <c r="N187" t="n">
        <v>501.45</v>
      </c>
      <c r="O187" t="n">
        <v>5.68</v>
      </c>
      <c r="P187" t="n">
        <v>-1.15</v>
      </c>
      <c r="Q187" t="n">
        <v>4.45</v>
      </c>
      <c r="R187" t="n">
        <v>8.94</v>
      </c>
      <c r="S187" t="n">
        <v>4.57</v>
      </c>
      <c r="U187" t="n">
        <v>0.51</v>
      </c>
      <c r="V187" t="n">
        <v>0.49</v>
      </c>
      <c r="W187" t="n">
        <v>0</v>
      </c>
      <c r="X187" t="n">
        <v>-33.4</v>
      </c>
      <c r="Y187" t="n">
        <v>-1.31</v>
      </c>
      <c r="AA187" t="n">
        <v>27.56</v>
      </c>
      <c r="AB187" t="n">
        <v>2.46</v>
      </c>
      <c r="AC187" t="n">
        <v>-0.03</v>
      </c>
      <c r="AD187" t="n">
        <v>305164800</v>
      </c>
    </row>
    <row r="188">
      <c r="A188" t="inlineStr">
        <is>
          <t>CSAN3</t>
        </is>
      </c>
      <c r="B188" t="n">
        <v>3.91</v>
      </c>
      <c r="D188" t="n">
        <v>-1.63</v>
      </c>
      <c r="E188" t="n">
        <v>4.43</v>
      </c>
      <c r="F188" t="n">
        <v>0.12</v>
      </c>
      <c r="G188" t="n">
        <v>33.63</v>
      </c>
      <c r="H188" t="n">
        <v>2.47</v>
      </c>
      <c r="I188" t="n">
        <v>-23.92</v>
      </c>
      <c r="J188" t="n">
        <v>15.76</v>
      </c>
      <c r="K188" t="n">
        <v>64.05</v>
      </c>
      <c r="L188" t="n">
        <v>48.3</v>
      </c>
      <c r="M188" t="n">
        <v>13.57</v>
      </c>
      <c r="N188" t="n">
        <v>0.39</v>
      </c>
      <c r="O188" t="n">
        <v>1.04</v>
      </c>
      <c r="P188" t="n">
        <v>-0.16</v>
      </c>
      <c r="Q188" t="n">
        <v>1.87</v>
      </c>
      <c r="R188" t="n">
        <v>-272.42</v>
      </c>
      <c r="S188" t="n">
        <v>-7.49</v>
      </c>
      <c r="T188" t="n">
        <v>-2.25</v>
      </c>
      <c r="U188" t="n">
        <v>0.03</v>
      </c>
      <c r="V188" t="n">
        <v>0.77</v>
      </c>
      <c r="W188" t="n">
        <v>0.31</v>
      </c>
      <c r="X188" t="n">
        <v>24.51</v>
      </c>
      <c r="Z188" t="n">
        <v>68584043.31999999</v>
      </c>
      <c r="AA188" t="n">
        <v>0.88</v>
      </c>
      <c r="AB188" t="n">
        <v>-2.4</v>
      </c>
      <c r="AC188" t="n">
        <v>0.12</v>
      </c>
      <c r="AD188" t="n">
        <v>15469626634.8</v>
      </c>
    </row>
    <row r="189">
      <c r="A189" t="inlineStr">
        <is>
          <t>CSED3</t>
        </is>
      </c>
      <c r="B189" t="n">
        <v>4.23</v>
      </c>
      <c r="C189" t="n">
        <v>11.48</v>
      </c>
      <c r="D189" t="n">
        <v>5.67</v>
      </c>
      <c r="E189" t="n">
        <v>0.93</v>
      </c>
      <c r="F189" t="n">
        <v>0.32</v>
      </c>
      <c r="G189" t="n">
        <v>51.06</v>
      </c>
      <c r="H189" t="n">
        <v>19.82</v>
      </c>
      <c r="I189" t="n">
        <v>9.49</v>
      </c>
      <c r="J189" t="n">
        <v>2.71</v>
      </c>
      <c r="K189" t="n">
        <v>3.51</v>
      </c>
      <c r="L189" t="n">
        <v>0.8100000000000001</v>
      </c>
      <c r="M189" t="n">
        <v>0.28</v>
      </c>
      <c r="N189" t="n">
        <v>0.54</v>
      </c>
      <c r="O189" t="n">
        <v>3.5</v>
      </c>
      <c r="P189" t="n">
        <v>-0.43</v>
      </c>
      <c r="Q189" t="n">
        <v>1.55</v>
      </c>
      <c r="R189" t="n">
        <v>16.46</v>
      </c>
      <c r="S189" t="n">
        <v>5.59</v>
      </c>
      <c r="T189" t="n">
        <v>18.3</v>
      </c>
      <c r="U189" t="n">
        <v>0.34</v>
      </c>
      <c r="V189" t="n">
        <v>0.66</v>
      </c>
      <c r="W189" t="n">
        <v>0.59</v>
      </c>
      <c r="X189" t="n">
        <v>9.51</v>
      </c>
      <c r="Z189" t="n">
        <v>906157.91</v>
      </c>
      <c r="AA189" t="n">
        <v>4.53</v>
      </c>
      <c r="AB189" t="n">
        <v>0.75</v>
      </c>
      <c r="AC189" t="n">
        <v>0.14</v>
      </c>
      <c r="AD189" t="n">
        <v>1534724143.92</v>
      </c>
    </row>
    <row r="190">
      <c r="A190" t="inlineStr">
        <is>
          <t>CSMG3</t>
        </is>
      </c>
      <c r="B190" t="n">
        <v>61.82</v>
      </c>
      <c r="C190" t="n">
        <v>3.54</v>
      </c>
      <c r="D190" t="n">
        <v>17.38</v>
      </c>
      <c r="E190" t="n">
        <v>2.69</v>
      </c>
      <c r="F190" t="n">
        <v>1.1</v>
      </c>
      <c r="G190" t="n">
        <v>41.86</v>
      </c>
      <c r="H190" t="n">
        <v>23.17</v>
      </c>
      <c r="I190" t="n">
        <v>16.14</v>
      </c>
      <c r="J190" t="n">
        <v>12.11</v>
      </c>
      <c r="K190" t="n">
        <v>15.67</v>
      </c>
      <c r="L190" t="n">
        <v>3.53</v>
      </c>
      <c r="M190" t="n">
        <v>0.78</v>
      </c>
      <c r="N190" t="n">
        <v>2.81</v>
      </c>
      <c r="O190" t="n">
        <v>14.67</v>
      </c>
      <c r="P190" t="n">
        <v>-1.37</v>
      </c>
      <c r="Q190" t="n">
        <v>1.6</v>
      </c>
      <c r="R190" t="n">
        <v>15.46</v>
      </c>
      <c r="S190" t="n">
        <v>6.31</v>
      </c>
      <c r="T190" t="n">
        <v>7.72</v>
      </c>
      <c r="U190" t="n">
        <v>0.41</v>
      </c>
      <c r="V190" t="n">
        <v>0.59</v>
      </c>
      <c r="W190" t="n">
        <v>0.39</v>
      </c>
      <c r="X190" t="n">
        <v>9.289999999999999</v>
      </c>
      <c r="Y190" t="n">
        <v>10.67</v>
      </c>
      <c r="Z190" t="n">
        <v>227444880</v>
      </c>
      <c r="AA190" t="n">
        <v>23.06</v>
      </c>
      <c r="AB190" t="n">
        <v>3.56</v>
      </c>
      <c r="AC190" t="n">
        <v>-6.29</v>
      </c>
      <c r="AD190" t="n">
        <v>23628925707.66</v>
      </c>
    </row>
    <row r="191">
      <c r="A191" t="inlineStr">
        <is>
          <t>CSNA3</t>
        </is>
      </c>
      <c r="B191" t="n">
        <v>5.28</v>
      </c>
      <c r="D191" t="n">
        <v>-3.5</v>
      </c>
      <c r="E191" t="n">
        <v>0.54</v>
      </c>
      <c r="F191" t="n">
        <v>0.07000000000000001</v>
      </c>
      <c r="G191" t="n">
        <v>27.83</v>
      </c>
      <c r="H191" t="n">
        <v>9.49</v>
      </c>
      <c r="I191" t="n">
        <v>-4.49</v>
      </c>
      <c r="J191" t="n">
        <v>1.65</v>
      </c>
      <c r="K191" t="n">
        <v>10.42</v>
      </c>
      <c r="L191" t="n">
        <v>8.76</v>
      </c>
      <c r="M191" t="n">
        <v>2.88</v>
      </c>
      <c r="N191" t="n">
        <v>0.16</v>
      </c>
      <c r="O191" t="n">
        <v>2.4</v>
      </c>
      <c r="P191" t="n">
        <v>-0.1</v>
      </c>
      <c r="Q191" t="n">
        <v>1.11</v>
      </c>
      <c r="R191" t="n">
        <v>-15.55</v>
      </c>
      <c r="S191" t="n">
        <v>-2.02</v>
      </c>
      <c r="T191" t="n">
        <v>3.56</v>
      </c>
      <c r="U191" t="n">
        <v>0.13</v>
      </c>
      <c r="V191" t="n">
        <v>0.84</v>
      </c>
      <c r="W191" t="n">
        <v>0.45</v>
      </c>
      <c r="X191" t="n">
        <v>8.300000000000001</v>
      </c>
      <c r="Z191" t="n">
        <v>56109662.68</v>
      </c>
      <c r="AA191" t="n">
        <v>9.69</v>
      </c>
      <c r="AB191" t="n">
        <v>-1.51</v>
      </c>
      <c r="AC191" t="n">
        <v>0.15</v>
      </c>
      <c r="AD191" t="n">
        <v>7015036979.63</v>
      </c>
    </row>
    <row r="192">
      <c r="A192" t="inlineStr">
        <is>
          <t>CSRN3</t>
        </is>
      </c>
      <c r="B192" t="n">
        <v>13.6</v>
      </c>
      <c r="D192" t="n">
        <v>3.49</v>
      </c>
      <c r="E192" t="n">
        <v>1.28</v>
      </c>
      <c r="F192" t="n">
        <v>0.32</v>
      </c>
      <c r="G192" t="n">
        <v>30.3</v>
      </c>
      <c r="H192" t="n">
        <v>25.28</v>
      </c>
      <c r="I192" t="n">
        <v>15.02</v>
      </c>
      <c r="J192" t="n">
        <v>2.07</v>
      </c>
      <c r="K192" t="n">
        <v>4.83</v>
      </c>
      <c r="L192" t="n">
        <v>2.75</v>
      </c>
      <c r="M192" t="n">
        <v>1.7</v>
      </c>
      <c r="N192" t="n">
        <v>0.52</v>
      </c>
      <c r="O192" t="n">
        <v>6.14</v>
      </c>
      <c r="P192" t="n">
        <v>-0.42</v>
      </c>
      <c r="Q192" t="n">
        <v>1.29</v>
      </c>
      <c r="R192" t="n">
        <v>36.69</v>
      </c>
      <c r="S192" t="n">
        <v>9.23</v>
      </c>
      <c r="T192" t="n">
        <v>19.51</v>
      </c>
      <c r="U192" t="n">
        <v>0.25</v>
      </c>
      <c r="V192" t="n">
        <v>0.75</v>
      </c>
      <c r="W192" t="n">
        <v>0.61</v>
      </c>
      <c r="X192" t="n">
        <v>8.289999999999999</v>
      </c>
      <c r="Y192" t="n">
        <v>13.77</v>
      </c>
      <c r="AA192" t="n">
        <v>10.63</v>
      </c>
      <c r="AB192" t="n">
        <v>3.9</v>
      </c>
      <c r="AC192" t="n">
        <v>0.72</v>
      </c>
      <c r="AD192" t="n">
        <v>2273440192</v>
      </c>
    </row>
    <row r="193">
      <c r="A193" t="inlineStr">
        <is>
          <t>CSRN5</t>
        </is>
      </c>
      <c r="B193" t="n">
        <v>15.1</v>
      </c>
      <c r="D193" t="n">
        <v>3.87</v>
      </c>
      <c r="E193" t="n">
        <v>1.42</v>
      </c>
      <c r="F193" t="n">
        <v>0.36</v>
      </c>
      <c r="G193" t="n">
        <v>30.3</v>
      </c>
      <c r="H193" t="n">
        <v>25.28</v>
      </c>
      <c r="I193" t="n">
        <v>15.02</v>
      </c>
      <c r="J193" t="n">
        <v>2.3</v>
      </c>
      <c r="K193" t="n">
        <v>4.83</v>
      </c>
      <c r="L193" t="n">
        <v>2.75</v>
      </c>
      <c r="M193" t="n">
        <v>1.7</v>
      </c>
      <c r="N193" t="n">
        <v>0.58</v>
      </c>
      <c r="O193" t="n">
        <v>6.82</v>
      </c>
      <c r="P193" t="n">
        <v>-0.47</v>
      </c>
      <c r="Q193" t="n">
        <v>1.29</v>
      </c>
      <c r="R193" t="n">
        <v>36.69</v>
      </c>
      <c r="S193" t="n">
        <v>9.23</v>
      </c>
      <c r="T193" t="n">
        <v>19.51</v>
      </c>
      <c r="U193" t="n">
        <v>0.25</v>
      </c>
      <c r="V193" t="n">
        <v>0.75</v>
      </c>
      <c r="W193" t="n">
        <v>0.61</v>
      </c>
      <c r="X193" t="n">
        <v>8.289999999999999</v>
      </c>
      <c r="Y193" t="n">
        <v>13.77</v>
      </c>
      <c r="AA193" t="n">
        <v>10.63</v>
      </c>
      <c r="AB193" t="n">
        <v>3.9</v>
      </c>
      <c r="AC193" t="n">
        <v>0.8</v>
      </c>
      <c r="AD193" t="n">
        <v>2273440192</v>
      </c>
    </row>
    <row r="194">
      <c r="A194" t="inlineStr">
        <is>
          <t>CSRN6</t>
        </is>
      </c>
      <c r="B194" t="n">
        <v>15.5</v>
      </c>
      <c r="D194" t="n">
        <v>3.97</v>
      </c>
      <c r="E194" t="n">
        <v>1.46</v>
      </c>
      <c r="F194" t="n">
        <v>0.37</v>
      </c>
      <c r="G194" t="n">
        <v>30.3</v>
      </c>
      <c r="H194" t="n">
        <v>25.28</v>
      </c>
      <c r="I194" t="n">
        <v>15.02</v>
      </c>
      <c r="J194" t="n">
        <v>2.36</v>
      </c>
      <c r="K194" t="n">
        <v>4.83</v>
      </c>
      <c r="L194" t="n">
        <v>2.75</v>
      </c>
      <c r="M194" t="n">
        <v>1.7</v>
      </c>
      <c r="N194" t="n">
        <v>0.6</v>
      </c>
      <c r="O194" t="n">
        <v>7</v>
      </c>
      <c r="P194" t="n">
        <v>-0.48</v>
      </c>
      <c r="Q194" t="n">
        <v>1.29</v>
      </c>
      <c r="R194" t="n">
        <v>36.69</v>
      </c>
      <c r="S194" t="n">
        <v>9.23</v>
      </c>
      <c r="T194" t="n">
        <v>19.51</v>
      </c>
      <c r="U194" t="n">
        <v>0.25</v>
      </c>
      <c r="V194" t="n">
        <v>0.75</v>
      </c>
      <c r="W194" t="n">
        <v>0.61</v>
      </c>
      <c r="X194" t="n">
        <v>8.289999999999999</v>
      </c>
      <c r="Y194" t="n">
        <v>13.77</v>
      </c>
      <c r="AA194" t="n">
        <v>10.63</v>
      </c>
      <c r="AB194" t="n">
        <v>3.9</v>
      </c>
      <c r="AC194" t="n">
        <v>0.82</v>
      </c>
      <c r="AD194" t="n">
        <v>2273440192</v>
      </c>
    </row>
    <row r="195">
      <c r="A195" t="inlineStr">
        <is>
          <t>CSUD3</t>
        </is>
      </c>
      <c r="B195" t="n">
        <v>13.86</v>
      </c>
      <c r="C195" t="n">
        <v>16.93</v>
      </c>
      <c r="D195" t="n">
        <v>5.71</v>
      </c>
      <c r="E195" t="n">
        <v>1.22</v>
      </c>
      <c r="F195" t="n">
        <v>0.7</v>
      </c>
      <c r="G195" t="n">
        <v>41.38</v>
      </c>
      <c r="H195" t="n">
        <v>16.62</v>
      </c>
      <c r="I195" t="n">
        <v>15.9</v>
      </c>
      <c r="J195" t="n">
        <v>5.46</v>
      </c>
      <c r="K195" t="n">
        <v>5.96</v>
      </c>
      <c r="L195" t="n">
        <v>0.5</v>
      </c>
      <c r="M195" t="n">
        <v>0.11</v>
      </c>
      <c r="N195" t="n">
        <v>0.91</v>
      </c>
      <c r="O195" t="n">
        <v>11.79</v>
      </c>
      <c r="P195" t="n">
        <v>-1.05</v>
      </c>
      <c r="Q195" t="n">
        <v>1.22</v>
      </c>
      <c r="R195" t="n">
        <v>21.28</v>
      </c>
      <c r="S195" t="n">
        <v>12.27</v>
      </c>
      <c r="T195" t="n">
        <v>14.8</v>
      </c>
      <c r="U195" t="n">
        <v>0.58</v>
      </c>
      <c r="V195" t="n">
        <v>0.42</v>
      </c>
      <c r="W195" t="n">
        <v>0.77</v>
      </c>
      <c r="X195" t="n">
        <v>6.42</v>
      </c>
      <c r="Y195" t="n">
        <v>16.81</v>
      </c>
      <c r="Z195" t="n">
        <v>1278931.77</v>
      </c>
      <c r="AA195" t="n">
        <v>11.44</v>
      </c>
      <c r="AB195" t="n">
        <v>2.43</v>
      </c>
      <c r="AC195" t="n">
        <v>0.5</v>
      </c>
      <c r="AD195" t="n">
        <v>581020000</v>
      </c>
    </row>
    <row r="196">
      <c r="A196" t="inlineStr">
        <is>
          <t>CTAX3</t>
        </is>
      </c>
      <c r="B196" t="n">
        <v>0.45</v>
      </c>
      <c r="D196" t="n">
        <v>-0.71</v>
      </c>
      <c r="E196" t="n">
        <v>0.13</v>
      </c>
      <c r="F196" t="n">
        <v>0.01</v>
      </c>
      <c r="G196" t="n">
        <v>23</v>
      </c>
      <c r="H196" t="n">
        <v>13.93</v>
      </c>
      <c r="I196" t="n">
        <v>-3.7</v>
      </c>
      <c r="J196" t="n">
        <v>0.19</v>
      </c>
      <c r="K196" t="n">
        <v>2.76</v>
      </c>
      <c r="L196" t="n">
        <v>2.59</v>
      </c>
      <c r="M196" t="n">
        <v>1.83</v>
      </c>
      <c r="N196" t="n">
        <v>0.03</v>
      </c>
      <c r="O196" t="n">
        <v>-0.04</v>
      </c>
      <c r="P196" t="n">
        <v>-0.01</v>
      </c>
      <c r="Q196" t="n">
        <v>0.37</v>
      </c>
      <c r="R196" t="n">
        <v>-18.75</v>
      </c>
      <c r="S196" t="n">
        <v>-1.5</v>
      </c>
      <c r="T196" t="n">
        <v>21.25</v>
      </c>
      <c r="U196" t="n">
        <v>0.08</v>
      </c>
      <c r="V196" t="n">
        <v>0.92</v>
      </c>
      <c r="W196" t="n">
        <v>0.41</v>
      </c>
      <c r="X196" t="n">
        <v>-13.9</v>
      </c>
      <c r="Z196" t="n">
        <v>4976.43</v>
      </c>
      <c r="AA196" t="n">
        <v>3.38</v>
      </c>
      <c r="AB196" t="n">
        <v>-0.63</v>
      </c>
      <c r="AC196" t="n">
        <v>0.01</v>
      </c>
      <c r="AD196" t="n">
        <v>11218349.52</v>
      </c>
    </row>
    <row r="197">
      <c r="A197" t="inlineStr">
        <is>
          <t>CTCA3</t>
        </is>
      </c>
      <c r="B197" t="n">
        <v>0</v>
      </c>
      <c r="D197" t="n">
        <v>0</v>
      </c>
      <c r="E197" t="n">
        <v>0</v>
      </c>
      <c r="F197" t="n">
        <v>0</v>
      </c>
      <c r="G197" t="n">
        <v>66.8</v>
      </c>
      <c r="H197" t="n">
        <v>36.23</v>
      </c>
      <c r="I197" t="n">
        <v>46</v>
      </c>
      <c r="J197" t="n">
        <v>0</v>
      </c>
      <c r="K197" t="n">
        <v>-2.73</v>
      </c>
      <c r="L197" t="n">
        <v>-2.73</v>
      </c>
      <c r="M197" t="n">
        <v>-0.36</v>
      </c>
      <c r="N197" t="n">
        <v>0</v>
      </c>
      <c r="O197" t="n">
        <v>0</v>
      </c>
      <c r="P197" t="n">
        <v>0</v>
      </c>
      <c r="Q197" t="n">
        <v>4.33</v>
      </c>
      <c r="R197" t="n">
        <v>16.82</v>
      </c>
      <c r="S197" t="n">
        <v>12.59</v>
      </c>
      <c r="T197" t="n">
        <v>6.69</v>
      </c>
      <c r="U197" t="n">
        <v>0.75</v>
      </c>
      <c r="V197" t="n">
        <v>0.25</v>
      </c>
      <c r="W197" t="n">
        <v>0.27</v>
      </c>
      <c r="X197" t="n">
        <v>6.85</v>
      </c>
      <c r="Y197" t="n">
        <v>14.84</v>
      </c>
      <c r="AA197" t="n">
        <v>4.01</v>
      </c>
      <c r="AB197" t="n">
        <v>0.67</v>
      </c>
      <c r="AC197" t="n">
        <v>0</v>
      </c>
      <c r="AD197" t="n">
        <v>0</v>
      </c>
    </row>
    <row r="198">
      <c r="A198" t="inlineStr">
        <is>
          <t>CTKA3</t>
        </is>
      </c>
      <c r="B198" t="n">
        <v>44</v>
      </c>
      <c r="D198" t="n">
        <v>4.44</v>
      </c>
      <c r="E198" t="n">
        <v>3.41</v>
      </c>
      <c r="F198" t="n">
        <v>0.37</v>
      </c>
      <c r="G198" t="n">
        <v>45.3</v>
      </c>
      <c r="H198" t="n">
        <v>10.85</v>
      </c>
      <c r="I198" t="n">
        <v>8.06</v>
      </c>
      <c r="J198" t="n">
        <v>3.3</v>
      </c>
      <c r="K198" t="n">
        <v>6.88</v>
      </c>
      <c r="L198" t="n">
        <v>4.13</v>
      </c>
      <c r="M198" t="n">
        <v>4.27</v>
      </c>
      <c r="N198" t="n">
        <v>0.36</v>
      </c>
      <c r="O198" t="n">
        <v>1.14</v>
      </c>
      <c r="P198" t="n">
        <v>-1.1</v>
      </c>
      <c r="Q198" t="n">
        <v>1.96</v>
      </c>
      <c r="R198" t="n">
        <v>76.83</v>
      </c>
      <c r="S198" t="n">
        <v>8.35</v>
      </c>
      <c r="T198" t="n">
        <v>13.16</v>
      </c>
      <c r="U198" t="n">
        <v>0.11</v>
      </c>
      <c r="V198" t="n">
        <v>0.89</v>
      </c>
      <c r="W198" t="n">
        <v>1.04</v>
      </c>
      <c r="X198" t="n">
        <v>14.83</v>
      </c>
      <c r="Y198" t="n">
        <v>-5.24</v>
      </c>
      <c r="Z198" t="n">
        <v>3369.5</v>
      </c>
      <c r="AA198" t="n">
        <v>12.91</v>
      </c>
      <c r="AB198" t="n">
        <v>9.92</v>
      </c>
      <c r="AC198" t="n">
        <v>-0.09</v>
      </c>
      <c r="AD198" t="n">
        <v>227323918.46</v>
      </c>
    </row>
    <row r="199">
      <c r="A199" t="inlineStr">
        <is>
          <t>CTKA4</t>
        </is>
      </c>
      <c r="B199" t="n">
        <v>30.26</v>
      </c>
      <c r="D199" t="n">
        <v>3.05</v>
      </c>
      <c r="E199" t="n">
        <v>2.34</v>
      </c>
      <c r="F199" t="n">
        <v>0.25</v>
      </c>
      <c r="G199" t="n">
        <v>45.3</v>
      </c>
      <c r="H199" t="n">
        <v>10.85</v>
      </c>
      <c r="I199" t="n">
        <v>8.06</v>
      </c>
      <c r="J199" t="n">
        <v>2.27</v>
      </c>
      <c r="K199" t="n">
        <v>6.88</v>
      </c>
      <c r="L199" t="n">
        <v>4.13</v>
      </c>
      <c r="M199" t="n">
        <v>4.27</v>
      </c>
      <c r="N199" t="n">
        <v>0.25</v>
      </c>
      <c r="O199" t="n">
        <v>0.78</v>
      </c>
      <c r="P199" t="n">
        <v>-0.76</v>
      </c>
      <c r="Q199" t="n">
        <v>1.96</v>
      </c>
      <c r="R199" t="n">
        <v>76.83</v>
      </c>
      <c r="S199" t="n">
        <v>8.35</v>
      </c>
      <c r="T199" t="n">
        <v>13.16</v>
      </c>
      <c r="U199" t="n">
        <v>0.11</v>
      </c>
      <c r="V199" t="n">
        <v>0.89</v>
      </c>
      <c r="W199" t="n">
        <v>1.04</v>
      </c>
      <c r="X199" t="n">
        <v>14.83</v>
      </c>
      <c r="Y199" t="n">
        <v>-5.24</v>
      </c>
      <c r="Z199" t="n">
        <v>34387</v>
      </c>
      <c r="AA199" t="n">
        <v>12.91</v>
      </c>
      <c r="AB199" t="n">
        <v>9.92</v>
      </c>
      <c r="AC199" t="n">
        <v>-0.06</v>
      </c>
      <c r="AD199" t="n">
        <v>227323918.46</v>
      </c>
    </row>
    <row r="200">
      <c r="A200" t="inlineStr">
        <is>
          <t>CTNM3</t>
        </is>
      </c>
      <c r="B200" t="n">
        <v>7.13</v>
      </c>
      <c r="D200" t="n">
        <v>-0.52</v>
      </c>
      <c r="E200" t="n">
        <v>-0.24</v>
      </c>
      <c r="F200" t="n">
        <v>0.07000000000000001</v>
      </c>
      <c r="G200" t="n">
        <v>-6.9</v>
      </c>
      <c r="H200" t="n">
        <v>-109.23</v>
      </c>
      <c r="I200" t="n">
        <v>-89.63</v>
      </c>
      <c r="J200" t="n">
        <v>-0.43</v>
      </c>
      <c r="K200" t="n">
        <v>-2.7</v>
      </c>
      <c r="L200" t="n">
        <v>-2.48</v>
      </c>
      <c r="N200" t="n">
        <v>0.46</v>
      </c>
      <c r="O200" t="n">
        <v>-0.13</v>
      </c>
      <c r="P200" t="n">
        <v>-0.09</v>
      </c>
      <c r="Q200" t="n">
        <v>0.27</v>
      </c>
      <c r="R200" t="n">
        <v>-47.26</v>
      </c>
      <c r="S200" t="n">
        <v>-13.83</v>
      </c>
      <c r="T200" t="n">
        <v>-120.86</v>
      </c>
      <c r="U200" t="n">
        <v>-0.29</v>
      </c>
      <c r="V200" t="n">
        <v>1.29</v>
      </c>
      <c r="W200" t="n">
        <v>0.15</v>
      </c>
      <c r="X200" t="n">
        <v>-24.09</v>
      </c>
      <c r="AA200" t="n">
        <v>-29.11</v>
      </c>
      <c r="AB200" t="n">
        <v>-13.76</v>
      </c>
      <c r="AC200" t="n">
        <v>0.01</v>
      </c>
      <c r="AD200" t="n">
        <v>113580609.02</v>
      </c>
    </row>
    <row r="201">
      <c r="A201" t="inlineStr">
        <is>
          <t>CTNM4</t>
        </is>
      </c>
      <c r="B201" t="n">
        <v>0.86</v>
      </c>
      <c r="D201" t="n">
        <v>-0.06</v>
      </c>
      <c r="E201" t="n">
        <v>-0.03</v>
      </c>
      <c r="F201" t="n">
        <v>0.01</v>
      </c>
      <c r="G201" t="n">
        <v>-6.9</v>
      </c>
      <c r="H201" t="n">
        <v>-109.23</v>
      </c>
      <c r="I201" t="n">
        <v>-89.63</v>
      </c>
      <c r="J201" t="n">
        <v>-0.05</v>
      </c>
      <c r="K201" t="n">
        <v>-2.7</v>
      </c>
      <c r="L201" t="n">
        <v>-2.48</v>
      </c>
      <c r="N201" t="n">
        <v>0.06</v>
      </c>
      <c r="O201" t="n">
        <v>-0.02</v>
      </c>
      <c r="P201" t="n">
        <v>-0.01</v>
      </c>
      <c r="Q201" t="n">
        <v>0.27</v>
      </c>
      <c r="R201" t="n">
        <v>-47.26</v>
      </c>
      <c r="S201" t="n">
        <v>-13.83</v>
      </c>
      <c r="T201" t="n">
        <v>-120.86</v>
      </c>
      <c r="U201" t="n">
        <v>-0.29</v>
      </c>
      <c r="V201" t="n">
        <v>1.29</v>
      </c>
      <c r="W201" t="n">
        <v>0.15</v>
      </c>
      <c r="X201" t="n">
        <v>-24.09</v>
      </c>
      <c r="AA201" t="n">
        <v>-29.11</v>
      </c>
      <c r="AB201" t="n">
        <v>-13.76</v>
      </c>
      <c r="AC201" t="n">
        <v>0</v>
      </c>
      <c r="AD201" t="n">
        <v>113580609.02</v>
      </c>
    </row>
    <row r="202">
      <c r="A202" t="inlineStr">
        <is>
          <t>CTSA3</t>
        </is>
      </c>
      <c r="B202" t="n">
        <v>2</v>
      </c>
      <c r="D202" t="n">
        <v>-0.09</v>
      </c>
      <c r="E202" t="n">
        <v>0.14</v>
      </c>
      <c r="F202" t="n">
        <v>0.02</v>
      </c>
      <c r="G202" t="n">
        <v>-143.89</v>
      </c>
      <c r="H202" t="n">
        <v>-304.16</v>
      </c>
      <c r="I202" t="n">
        <v>-453.89</v>
      </c>
      <c r="J202" t="n">
        <v>-0.13</v>
      </c>
      <c r="K202" t="n">
        <v>-2.31</v>
      </c>
      <c r="L202" t="n">
        <v>-2.18</v>
      </c>
      <c r="M202" t="n">
        <v>2.38</v>
      </c>
      <c r="N202" t="n">
        <v>0.39</v>
      </c>
      <c r="O202" t="n">
        <v>-0.05</v>
      </c>
      <c r="P202" t="n">
        <v>-0.02</v>
      </c>
      <c r="Q202" t="n">
        <v>0.28</v>
      </c>
      <c r="R202" t="n">
        <v>-162.82</v>
      </c>
      <c r="S202" t="n">
        <v>-23.97</v>
      </c>
      <c r="T202" t="n">
        <v>-34.34</v>
      </c>
      <c r="U202" t="n">
        <v>0.15</v>
      </c>
      <c r="V202" t="n">
        <v>0.85</v>
      </c>
      <c r="W202" t="n">
        <v>0.05</v>
      </c>
      <c r="X202" t="n">
        <v>-40.11</v>
      </c>
      <c r="Z202" t="n">
        <v>0</v>
      </c>
      <c r="AA202" t="n">
        <v>14.25</v>
      </c>
      <c r="AB202" t="n">
        <v>-23.2</v>
      </c>
      <c r="AC202" t="n">
        <v>0</v>
      </c>
      <c r="AD202" t="n">
        <v>13912390</v>
      </c>
    </row>
    <row r="203">
      <c r="A203" t="inlineStr">
        <is>
          <t>CTSA4</t>
        </is>
      </c>
      <c r="B203" t="n">
        <v>1.29</v>
      </c>
      <c r="D203" t="n">
        <v>-0.06</v>
      </c>
      <c r="E203" t="n">
        <v>0.09</v>
      </c>
      <c r="F203" t="n">
        <v>0.01</v>
      </c>
      <c r="G203" t="n">
        <v>-143.89</v>
      </c>
      <c r="H203" t="n">
        <v>-304.16</v>
      </c>
      <c r="I203" t="n">
        <v>-453.89</v>
      </c>
      <c r="J203" t="n">
        <v>-0.08</v>
      </c>
      <c r="K203" t="n">
        <v>-2.31</v>
      </c>
      <c r="L203" t="n">
        <v>-2.18</v>
      </c>
      <c r="M203" t="n">
        <v>2.38</v>
      </c>
      <c r="N203" t="n">
        <v>0.25</v>
      </c>
      <c r="O203" t="n">
        <v>-0.03</v>
      </c>
      <c r="P203" t="n">
        <v>-0.02</v>
      </c>
      <c r="Q203" t="n">
        <v>0.28</v>
      </c>
      <c r="R203" t="n">
        <v>-162.82</v>
      </c>
      <c r="S203" t="n">
        <v>-23.97</v>
      </c>
      <c r="T203" t="n">
        <v>-34.34</v>
      </c>
      <c r="U203" t="n">
        <v>0.15</v>
      </c>
      <c r="V203" t="n">
        <v>0.85</v>
      </c>
      <c r="W203" t="n">
        <v>0.05</v>
      </c>
      <c r="X203" t="n">
        <v>-40.11</v>
      </c>
      <c r="Z203" t="n">
        <v>0</v>
      </c>
      <c r="AA203" t="n">
        <v>14.25</v>
      </c>
      <c r="AB203" t="n">
        <v>-23.2</v>
      </c>
      <c r="AC203" t="n">
        <v>0</v>
      </c>
      <c r="AD203" t="n">
        <v>13912390</v>
      </c>
    </row>
    <row r="204">
      <c r="A204" t="inlineStr">
        <is>
          <t>CTSA8</t>
        </is>
      </c>
      <c r="B204" t="n">
        <v>0</v>
      </c>
      <c r="D204" t="n">
        <v>0</v>
      </c>
      <c r="E204" t="n">
        <v>0</v>
      </c>
      <c r="F204" t="n">
        <v>0</v>
      </c>
      <c r="G204" t="n">
        <v>-143.89</v>
      </c>
      <c r="H204" t="n">
        <v>-304.16</v>
      </c>
      <c r="I204" t="n">
        <v>-453.89</v>
      </c>
      <c r="J204" t="n">
        <v>0</v>
      </c>
      <c r="K204" t="n">
        <v>-2.31</v>
      </c>
      <c r="L204" t="n">
        <v>-2.18</v>
      </c>
      <c r="M204" t="n">
        <v>2.38</v>
      </c>
      <c r="N204" t="n">
        <v>0</v>
      </c>
      <c r="O204" t="n">
        <v>0</v>
      </c>
      <c r="P204" t="n">
        <v>0</v>
      </c>
      <c r="Q204" t="n">
        <v>0.28</v>
      </c>
      <c r="R204" t="n">
        <v>-162.82</v>
      </c>
      <c r="S204" t="n">
        <v>-23.97</v>
      </c>
      <c r="T204" t="n">
        <v>-34.34</v>
      </c>
      <c r="U204" t="n">
        <v>0.15</v>
      </c>
      <c r="V204" t="n">
        <v>0.85</v>
      </c>
      <c r="W204" t="n">
        <v>0.05</v>
      </c>
      <c r="X204" t="n">
        <v>-40.11</v>
      </c>
      <c r="AA204" t="n">
        <v>14.25</v>
      </c>
      <c r="AB204" t="n">
        <v>-23.2</v>
      </c>
      <c r="AC204" t="n">
        <v>0</v>
      </c>
      <c r="AD204" t="n">
        <v>13912390</v>
      </c>
    </row>
    <row r="205">
      <c r="A205" t="inlineStr">
        <is>
          <t>CURY3</t>
        </is>
      </c>
      <c r="B205" t="n">
        <v>28.81</v>
      </c>
      <c r="C205" t="n">
        <v>14.62</v>
      </c>
      <c r="D205" t="n">
        <v>8.34</v>
      </c>
      <c r="E205" t="n">
        <v>5.75</v>
      </c>
      <c r="F205" t="n">
        <v>1.43</v>
      </c>
      <c r="G205" t="n">
        <v>39.71</v>
      </c>
      <c r="H205" t="n">
        <v>24.02</v>
      </c>
      <c r="I205" t="n">
        <v>18.37</v>
      </c>
      <c r="J205" t="n">
        <v>6.38</v>
      </c>
      <c r="K205" t="n">
        <v>6.09</v>
      </c>
      <c r="L205" t="n">
        <v>-0.29</v>
      </c>
      <c r="M205" t="n">
        <v>-0.26</v>
      </c>
      <c r="N205" t="n">
        <v>1.53</v>
      </c>
      <c r="O205" t="n">
        <v>4.96</v>
      </c>
      <c r="P205" t="n">
        <v>-3.55</v>
      </c>
      <c r="Q205" t="n">
        <v>1.94</v>
      </c>
      <c r="R205" t="n">
        <v>68.95</v>
      </c>
      <c r="S205" t="n">
        <v>17.19</v>
      </c>
      <c r="T205" t="n">
        <v>38.33</v>
      </c>
      <c r="U205" t="n">
        <v>0.25</v>
      </c>
      <c r="V205" t="n">
        <v>0.6899999999999999</v>
      </c>
      <c r="W205" t="n">
        <v>0.9399999999999999</v>
      </c>
      <c r="X205" t="n">
        <v>36.37</v>
      </c>
      <c r="Y205" t="n">
        <v>45.95</v>
      </c>
      <c r="Z205" t="n">
        <v>103007689.73</v>
      </c>
      <c r="AA205" t="n">
        <v>5.01</v>
      </c>
      <c r="AB205" t="n">
        <v>3.46</v>
      </c>
      <c r="AC205" t="n">
        <v>0.18</v>
      </c>
      <c r="AD205" t="n">
        <v>8884092610.959999</v>
      </c>
    </row>
    <row r="206">
      <c r="A206" t="inlineStr">
        <is>
          <t>CVCB3</t>
        </is>
      </c>
      <c r="B206" t="n">
        <v>1.28</v>
      </c>
      <c r="D206" t="n">
        <v>-6.36</v>
      </c>
      <c r="E206" t="n">
        <v>1.67</v>
      </c>
      <c r="F206" t="n">
        <v>0.18</v>
      </c>
      <c r="G206" t="n">
        <v>97.66</v>
      </c>
      <c r="H206" t="n">
        <v>17.49</v>
      </c>
      <c r="I206" t="n">
        <v>-7.1</v>
      </c>
      <c r="J206" t="n">
        <v>2.58</v>
      </c>
      <c r="K206" t="n">
        <v>3.45</v>
      </c>
      <c r="L206" t="n">
        <v>0.89</v>
      </c>
      <c r="M206" t="n">
        <v>0.58</v>
      </c>
      <c r="N206" t="n">
        <v>0.45</v>
      </c>
      <c r="O206" t="n">
        <v>-0.88</v>
      </c>
      <c r="P206" t="n">
        <v>-0.4</v>
      </c>
      <c r="Q206" t="n">
        <v>0.73</v>
      </c>
      <c r="R206" t="n">
        <v>-26.34</v>
      </c>
      <c r="S206" t="n">
        <v>-2.84</v>
      </c>
      <c r="T206" t="n">
        <v>20.54</v>
      </c>
      <c r="U206" t="n">
        <v>0.11</v>
      </c>
      <c r="V206" t="n">
        <v>0.89</v>
      </c>
      <c r="W206" t="n">
        <v>0.4</v>
      </c>
      <c r="X206" t="n">
        <v>18.96</v>
      </c>
      <c r="Z206" t="n">
        <v>15878266.23</v>
      </c>
      <c r="AA206" t="n">
        <v>0.76</v>
      </c>
      <c r="AB206" t="n">
        <v>-0.2</v>
      </c>
      <c r="AC206" t="n">
        <v>-0.17</v>
      </c>
      <c r="AD206" t="n">
        <v>667500693.1900001</v>
      </c>
    </row>
    <row r="207">
      <c r="A207" t="inlineStr">
        <is>
          <t>CXSE3</t>
        </is>
      </c>
      <c r="B207" t="n">
        <v>20.46</v>
      </c>
      <c r="C207" t="n">
        <v>6.41</v>
      </c>
      <c r="D207" t="n">
        <v>13.97</v>
      </c>
      <c r="E207" t="n">
        <v>4.45</v>
      </c>
      <c r="F207" t="n">
        <v>4.11</v>
      </c>
      <c r="J207" t="n">
        <v>12.92</v>
      </c>
      <c r="K207" t="n">
        <v>12.74</v>
      </c>
      <c r="L207" t="n">
        <v>-0.23</v>
      </c>
      <c r="M207" t="n">
        <v>-0.08</v>
      </c>
      <c r="O207" t="n">
        <v>62.69</v>
      </c>
      <c r="P207" t="n">
        <v>-4.79</v>
      </c>
      <c r="Q207" t="n">
        <v>1.86</v>
      </c>
      <c r="R207" t="n">
        <v>31.89</v>
      </c>
      <c r="S207" t="n">
        <v>29.42</v>
      </c>
      <c r="T207" t="n">
        <v>30.17</v>
      </c>
      <c r="U207" t="n">
        <v>0.92</v>
      </c>
      <c r="V207" t="n">
        <v>0.08</v>
      </c>
      <c r="W207" t="n">
        <v>0</v>
      </c>
      <c r="Y207" t="n">
        <v>19.94</v>
      </c>
      <c r="Z207" t="n">
        <v>149919285.55</v>
      </c>
      <c r="AA207" t="n">
        <v>4.59</v>
      </c>
      <c r="AB207" t="n">
        <v>1.46</v>
      </c>
      <c r="AC207" t="n">
        <v>1.28</v>
      </c>
      <c r="AD207" t="n">
        <v>61590000000</v>
      </c>
    </row>
    <row r="208">
      <c r="A208" t="inlineStr">
        <is>
          <t>CYRE3</t>
        </is>
      </c>
      <c r="B208" t="n">
        <v>20.7</v>
      </c>
      <c r="C208" t="n">
        <v>13.19</v>
      </c>
      <c r="D208" t="n">
        <v>4.75</v>
      </c>
      <c r="E208" t="n">
        <v>0.88</v>
      </c>
      <c r="F208" t="n">
        <v>0.35</v>
      </c>
      <c r="G208" t="n">
        <v>32.66</v>
      </c>
      <c r="H208" t="n">
        <v>24.12</v>
      </c>
      <c r="I208" t="n">
        <v>20.81</v>
      </c>
      <c r="J208" t="n">
        <v>4.1</v>
      </c>
      <c r="K208" t="n">
        <v>6.23</v>
      </c>
      <c r="L208" t="n">
        <v>2.15</v>
      </c>
      <c r="M208" t="n">
        <v>0.46</v>
      </c>
      <c r="N208" t="n">
        <v>0.99</v>
      </c>
      <c r="O208" t="n">
        <v>0.84</v>
      </c>
      <c r="P208" t="n">
        <v>-0.8100000000000001</v>
      </c>
      <c r="Q208" t="n">
        <v>3.78</v>
      </c>
      <c r="R208" t="n">
        <v>18.6</v>
      </c>
      <c r="S208" t="n">
        <v>7.4</v>
      </c>
      <c r="T208" t="n">
        <v>10.64</v>
      </c>
      <c r="U208" t="n">
        <v>0.4</v>
      </c>
      <c r="V208" t="n">
        <v>0.55</v>
      </c>
      <c r="W208" t="n">
        <v>0.36</v>
      </c>
      <c r="X208" t="n">
        <v>19.77</v>
      </c>
      <c r="Y208" t="n">
        <v>2.34</v>
      </c>
      <c r="Z208" t="n">
        <v>120206795.95</v>
      </c>
      <c r="AA208" t="n">
        <v>23.42</v>
      </c>
      <c r="AB208" t="n">
        <v>4.36</v>
      </c>
      <c r="AC208" t="n">
        <v>0.3</v>
      </c>
      <c r="AD208" t="n">
        <v>9336462405.5</v>
      </c>
    </row>
    <row r="209">
      <c r="A209" t="inlineStr">
        <is>
          <t>CYRE4</t>
        </is>
      </c>
      <c r="B209" t="n">
        <v>19.45</v>
      </c>
      <c r="D209" t="n">
        <v>4.46</v>
      </c>
      <c r="E209" t="n">
        <v>0.83</v>
      </c>
      <c r="F209" t="n">
        <v>0.33</v>
      </c>
      <c r="G209" t="n">
        <v>32.66</v>
      </c>
      <c r="H209" t="n">
        <v>24.12</v>
      </c>
      <c r="I209" t="n">
        <v>20.81</v>
      </c>
      <c r="J209" t="n">
        <v>3.85</v>
      </c>
      <c r="K209" t="n">
        <v>6.23</v>
      </c>
      <c r="L209" t="n">
        <v>2.15</v>
      </c>
      <c r="M209" t="n">
        <v>0.46</v>
      </c>
      <c r="N209" t="n">
        <v>0.93</v>
      </c>
      <c r="O209" t="n">
        <v>0.79</v>
      </c>
      <c r="P209" t="n">
        <v>-0.76</v>
      </c>
      <c r="Q209" t="n">
        <v>3.78</v>
      </c>
      <c r="R209" t="n">
        <v>18.6</v>
      </c>
      <c r="S209" t="n">
        <v>7.4</v>
      </c>
      <c r="T209" t="n">
        <v>10.64</v>
      </c>
      <c r="U209" t="n">
        <v>0.4</v>
      </c>
      <c r="V209" t="n">
        <v>0.55</v>
      </c>
      <c r="W209" t="n">
        <v>0.36</v>
      </c>
      <c r="X209" t="n">
        <v>19.77</v>
      </c>
      <c r="Y209" t="n">
        <v>2.34</v>
      </c>
      <c r="Z209" t="n">
        <v>6994453.55</v>
      </c>
      <c r="AA209" t="n">
        <v>23.42</v>
      </c>
      <c r="AB209" t="n">
        <v>4.36</v>
      </c>
      <c r="AC209" t="n">
        <v>0.29</v>
      </c>
      <c r="AD209" t="n">
        <v>9336462405.5</v>
      </c>
    </row>
    <row r="210">
      <c r="A210" t="inlineStr">
        <is>
          <t>DASA3</t>
        </is>
      </c>
      <c r="B210" t="n">
        <v>2.63</v>
      </c>
      <c r="D210" t="n">
        <v>-3.17</v>
      </c>
      <c r="E210" t="n">
        <v>0.48</v>
      </c>
      <c r="F210" t="n">
        <v>0.19</v>
      </c>
      <c r="G210" t="n">
        <v>31.4</v>
      </c>
      <c r="H210" t="n">
        <v>8.92</v>
      </c>
      <c r="I210" t="n">
        <v>-10.87</v>
      </c>
      <c r="J210" t="n">
        <v>3.87</v>
      </c>
      <c r="K210" t="n">
        <v>10.01</v>
      </c>
      <c r="L210" t="n">
        <v>6.14</v>
      </c>
      <c r="M210" t="n">
        <v>0.76</v>
      </c>
      <c r="N210" t="n">
        <v>0.35</v>
      </c>
      <c r="O210" t="n">
        <v>2.82</v>
      </c>
      <c r="P210" t="n">
        <v>-0.26</v>
      </c>
      <c r="Q210" t="n">
        <v>1.3</v>
      </c>
      <c r="R210" t="n">
        <v>-15.14</v>
      </c>
      <c r="S210" t="n">
        <v>-5.84</v>
      </c>
      <c r="T210" t="n">
        <v>0.03</v>
      </c>
      <c r="U210" t="n">
        <v>0.39</v>
      </c>
      <c r="V210" t="n">
        <v>0.61</v>
      </c>
      <c r="W210" t="n">
        <v>0.54</v>
      </c>
      <c r="X210" t="n">
        <v>9.67</v>
      </c>
      <c r="Z210" t="n">
        <v>2274889.77</v>
      </c>
      <c r="AA210" t="n">
        <v>5.47</v>
      </c>
      <c r="AB210" t="n">
        <v>-0.83</v>
      </c>
      <c r="AC210" t="n">
        <v>0.37</v>
      </c>
      <c r="AD210" t="n">
        <v>3300668536.24</v>
      </c>
    </row>
    <row r="211">
      <c r="A211" t="inlineStr">
        <is>
          <t>DESK3</t>
        </is>
      </c>
      <c r="B211" t="n">
        <v>17.98</v>
      </c>
      <c r="C211" t="n">
        <v>0.8100000000000001</v>
      </c>
      <c r="D211" t="n">
        <v>33.95</v>
      </c>
      <c r="E211" t="n">
        <v>1.47</v>
      </c>
      <c r="F211" t="n">
        <v>0.54</v>
      </c>
      <c r="G211" t="n">
        <v>60.98</v>
      </c>
      <c r="H211" t="n">
        <v>31.58</v>
      </c>
      <c r="I211" t="n">
        <v>4.95</v>
      </c>
      <c r="J211" t="n">
        <v>5.32</v>
      </c>
      <c r="K211" t="n">
        <v>8.35</v>
      </c>
      <c r="L211" t="n">
        <v>3.06</v>
      </c>
      <c r="M211" t="n">
        <v>0.85</v>
      </c>
      <c r="N211" t="n">
        <v>1.68</v>
      </c>
      <c r="O211" t="n">
        <v>9.76</v>
      </c>
      <c r="P211" t="n">
        <v>-0.67</v>
      </c>
      <c r="Q211" t="n">
        <v>1.41</v>
      </c>
      <c r="R211" t="n">
        <v>4.34</v>
      </c>
      <c r="S211" t="n">
        <v>1.59</v>
      </c>
      <c r="T211" t="n">
        <v>10.32</v>
      </c>
      <c r="U211" t="n">
        <v>0.37</v>
      </c>
      <c r="V211" t="n">
        <v>0.62</v>
      </c>
      <c r="W211" t="n">
        <v>0.32</v>
      </c>
      <c r="X211" t="n">
        <v>48.79</v>
      </c>
      <c r="Y211" t="n">
        <v>18.09</v>
      </c>
      <c r="Z211" t="n">
        <v>6308522.18</v>
      </c>
      <c r="AA211" t="n">
        <v>12.22</v>
      </c>
      <c r="AB211" t="n">
        <v>0.53</v>
      </c>
      <c r="AC211" t="n">
        <v>-1.07</v>
      </c>
      <c r="AD211" t="n">
        <v>2084298274.74</v>
      </c>
    </row>
    <row r="212">
      <c r="A212" t="inlineStr">
        <is>
          <t>DEXP3</t>
        </is>
      </c>
      <c r="B212" t="n">
        <v>7.25</v>
      </c>
      <c r="C212" t="n">
        <v>7.7</v>
      </c>
      <c r="D212" t="n">
        <v>6.26</v>
      </c>
      <c r="E212" t="n">
        <v>0.85</v>
      </c>
      <c r="F212" t="n">
        <v>0.55</v>
      </c>
      <c r="G212" t="n">
        <v>16.52</v>
      </c>
      <c r="H212" t="n">
        <v>10.04</v>
      </c>
      <c r="I212" t="n">
        <v>7.41</v>
      </c>
      <c r="J212" t="n">
        <v>4.62</v>
      </c>
      <c r="K212" t="n">
        <v>4.12</v>
      </c>
      <c r="L212" t="n">
        <v>-0.5</v>
      </c>
      <c r="M212" t="n">
        <v>-0.09</v>
      </c>
      <c r="N212" t="n">
        <v>0.46</v>
      </c>
      <c r="O212" t="n">
        <v>1.18</v>
      </c>
      <c r="P212" t="n">
        <v>-1.51</v>
      </c>
      <c r="Q212" t="n">
        <v>3.8</v>
      </c>
      <c r="R212" t="n">
        <v>13.54</v>
      </c>
      <c r="S212" t="n">
        <v>8.81</v>
      </c>
      <c r="T212" t="n">
        <v>9.93</v>
      </c>
      <c r="U212" t="n">
        <v>0.65</v>
      </c>
      <c r="V212" t="n">
        <v>0.35</v>
      </c>
      <c r="W212" t="n">
        <v>1.19</v>
      </c>
      <c r="X212" t="n">
        <v>16.52</v>
      </c>
      <c r="Y212" t="n">
        <v>3.62</v>
      </c>
      <c r="Z212" t="n">
        <v>437496.77</v>
      </c>
      <c r="AA212" t="n">
        <v>8.550000000000001</v>
      </c>
      <c r="AB212" t="n">
        <v>1.16</v>
      </c>
      <c r="AC212" t="n">
        <v>-0.7</v>
      </c>
      <c r="AD212" t="n">
        <v>891240221.75</v>
      </c>
    </row>
    <row r="213">
      <c r="A213" t="inlineStr">
        <is>
          <t>DEXP4</t>
        </is>
      </c>
      <c r="B213" t="n">
        <v>7.2</v>
      </c>
      <c r="C213" t="n">
        <v>7.96</v>
      </c>
      <c r="D213" t="n">
        <v>6.22</v>
      </c>
      <c r="E213" t="n">
        <v>0.84</v>
      </c>
      <c r="F213" t="n">
        <v>0.55</v>
      </c>
      <c r="G213" t="n">
        <v>16.52</v>
      </c>
      <c r="H213" t="n">
        <v>10.04</v>
      </c>
      <c r="I213" t="n">
        <v>7.41</v>
      </c>
      <c r="J213" t="n">
        <v>4.59</v>
      </c>
      <c r="K213" t="n">
        <v>4.12</v>
      </c>
      <c r="L213" t="n">
        <v>-0.5</v>
      </c>
      <c r="M213" t="n">
        <v>-0.09</v>
      </c>
      <c r="N213" t="n">
        <v>0.46</v>
      </c>
      <c r="O213" t="n">
        <v>1.17</v>
      </c>
      <c r="P213" t="n">
        <v>-1.5</v>
      </c>
      <c r="Q213" t="n">
        <v>3.8</v>
      </c>
      <c r="R213" t="n">
        <v>13.54</v>
      </c>
      <c r="S213" t="n">
        <v>8.81</v>
      </c>
      <c r="T213" t="n">
        <v>9.93</v>
      </c>
      <c r="U213" t="n">
        <v>0.65</v>
      </c>
      <c r="V213" t="n">
        <v>0.35</v>
      </c>
      <c r="W213" t="n">
        <v>1.19</v>
      </c>
      <c r="X213" t="n">
        <v>16.52</v>
      </c>
      <c r="Y213" t="n">
        <v>3.62</v>
      </c>
      <c r="Z213" t="n">
        <v>32213.68</v>
      </c>
      <c r="AA213" t="n">
        <v>8.550000000000001</v>
      </c>
      <c r="AB213" t="n">
        <v>1.16</v>
      </c>
      <c r="AC213" t="n">
        <v>-0.7</v>
      </c>
      <c r="AD213" t="n">
        <v>891240221.75</v>
      </c>
    </row>
    <row r="214">
      <c r="A214" t="inlineStr">
        <is>
          <t>DIRR3</t>
        </is>
      </c>
      <c r="B214" t="n">
        <v>11.11</v>
      </c>
      <c r="C214" t="n">
        <v>13.95</v>
      </c>
      <c r="D214" t="n">
        <v>6.9</v>
      </c>
      <c r="E214" t="n">
        <v>2.72</v>
      </c>
      <c r="F214" t="n">
        <v>0.42</v>
      </c>
      <c r="G214" t="n">
        <v>40.11</v>
      </c>
      <c r="H214" t="n">
        <v>23.83</v>
      </c>
      <c r="I214" t="n">
        <v>18.16</v>
      </c>
      <c r="J214" t="n">
        <v>5.26</v>
      </c>
      <c r="K214" t="n">
        <v>5.95</v>
      </c>
      <c r="L214" t="n">
        <v>0.68</v>
      </c>
      <c r="M214" t="n">
        <v>0.35</v>
      </c>
      <c r="N214" t="n">
        <v>1.25</v>
      </c>
      <c r="O214" t="n">
        <v>1.13</v>
      </c>
      <c r="P214" t="n">
        <v>-0.8</v>
      </c>
      <c r="Q214" t="n">
        <v>4.26</v>
      </c>
      <c r="R214" t="n">
        <v>39.35</v>
      </c>
      <c r="S214" t="n">
        <v>6.02</v>
      </c>
      <c r="T214" t="n">
        <v>17.45</v>
      </c>
      <c r="U214" t="n">
        <v>0.15</v>
      </c>
      <c r="V214" t="n">
        <v>0.82</v>
      </c>
      <c r="W214" t="n">
        <v>0.33</v>
      </c>
      <c r="X214" t="n">
        <v>23.68</v>
      </c>
      <c r="Y214" t="n">
        <v>49.27</v>
      </c>
      <c r="Z214" t="n">
        <v>94440468.14</v>
      </c>
      <c r="AA214" t="n">
        <v>4.09</v>
      </c>
      <c r="AB214" t="n">
        <v>1.61</v>
      </c>
      <c r="AC214" t="n">
        <v>0.24</v>
      </c>
      <c r="AD214" t="n">
        <v>5798370000</v>
      </c>
    </row>
    <row r="215">
      <c r="A215" t="inlineStr">
        <is>
          <t>DMMO3</t>
        </is>
      </c>
      <c r="B215" t="n">
        <v>1.76</v>
      </c>
      <c r="D215" t="n">
        <v>3.09</v>
      </c>
      <c r="E215" t="n">
        <v>0.41</v>
      </c>
      <c r="F215" t="n">
        <v>0.02</v>
      </c>
      <c r="G215" t="n">
        <v>45.67</v>
      </c>
      <c r="H215" t="n">
        <v>4.75</v>
      </c>
      <c r="I215" t="n">
        <v>3.87</v>
      </c>
      <c r="J215" t="n">
        <v>2.52</v>
      </c>
      <c r="K215" t="n">
        <v>2.52</v>
      </c>
      <c r="N215" t="n">
        <v>0.12</v>
      </c>
      <c r="O215" t="n">
        <v>4.72</v>
      </c>
      <c r="P215" t="n">
        <v>-0.02</v>
      </c>
      <c r="R215" t="n">
        <v>13.29</v>
      </c>
      <c r="S215" t="n">
        <v>0.62</v>
      </c>
      <c r="U215" t="n">
        <v>0.05</v>
      </c>
      <c r="V215" t="n">
        <v>0.95</v>
      </c>
      <c r="W215" t="n">
        <v>0.16</v>
      </c>
      <c r="X215" t="n">
        <v>51.46</v>
      </c>
      <c r="AA215" t="n">
        <v>4.29</v>
      </c>
      <c r="AB215" t="n">
        <v>0.57</v>
      </c>
      <c r="AC215" t="n">
        <v>0.01</v>
      </c>
      <c r="AD215" t="n">
        <v>949254731.04</v>
      </c>
    </row>
    <row r="216">
      <c r="A216" t="inlineStr">
        <is>
          <t>DMVF3</t>
        </is>
      </c>
      <c r="B216" t="n">
        <v>6.39</v>
      </c>
      <c r="D216" t="n">
        <v>13.46</v>
      </c>
      <c r="E216" t="n">
        <v>0.35</v>
      </c>
      <c r="F216" t="n">
        <v>0.16</v>
      </c>
      <c r="G216" t="n">
        <v>28.8</v>
      </c>
      <c r="H216" t="n">
        <v>3.2</v>
      </c>
      <c r="I216" t="n">
        <v>0.87</v>
      </c>
      <c r="J216" t="n">
        <v>3.65</v>
      </c>
      <c r="K216" t="n">
        <v>4.22</v>
      </c>
      <c r="L216" t="n">
        <v>0.59</v>
      </c>
      <c r="M216" t="n">
        <v>0.06</v>
      </c>
      <c r="N216" t="n">
        <v>0.12</v>
      </c>
      <c r="O216" t="n">
        <v>9.68</v>
      </c>
      <c r="P216" t="n">
        <v>-0.24</v>
      </c>
      <c r="Q216" t="n">
        <v>1.06</v>
      </c>
      <c r="R216" t="n">
        <v>2.6</v>
      </c>
      <c r="S216" t="n">
        <v>1.21</v>
      </c>
      <c r="T216" t="n">
        <v>8.5</v>
      </c>
      <c r="U216" t="n">
        <v>0.47</v>
      </c>
      <c r="V216" t="n">
        <v>0.53</v>
      </c>
      <c r="W216" t="n">
        <v>1.39</v>
      </c>
      <c r="X216" t="n">
        <v>21.57</v>
      </c>
      <c r="Y216" t="n">
        <v>187</v>
      </c>
      <c r="Z216" t="n">
        <v>206053.68</v>
      </c>
      <c r="AA216" t="n">
        <v>18.2</v>
      </c>
      <c r="AB216" t="n">
        <v>0.47</v>
      </c>
      <c r="AC216" t="n">
        <v>-3.34</v>
      </c>
      <c r="AD216" t="n">
        <v>320822018.28</v>
      </c>
    </row>
    <row r="217">
      <c r="A217" t="inlineStr">
        <is>
          <t>DOHL3</t>
        </is>
      </c>
      <c r="B217" t="n">
        <v>6.48</v>
      </c>
      <c r="C217" t="n">
        <v>0.51</v>
      </c>
      <c r="D217" t="n">
        <v>1707.95</v>
      </c>
      <c r="E217" t="n">
        <v>0.71</v>
      </c>
      <c r="F217" t="n">
        <v>0.48</v>
      </c>
      <c r="G217" t="n">
        <v>19.49</v>
      </c>
      <c r="H217" t="n">
        <v>-0.99</v>
      </c>
      <c r="I217" t="n">
        <v>0.05</v>
      </c>
      <c r="J217" t="n">
        <v>-81.41</v>
      </c>
      <c r="K217" t="n">
        <v>-79.33</v>
      </c>
      <c r="L217" t="n">
        <v>-7.56</v>
      </c>
      <c r="M217" t="n">
        <v>0.07000000000000001</v>
      </c>
      <c r="N217" t="n">
        <v>0.8100000000000001</v>
      </c>
      <c r="O217" t="n">
        <v>1.01</v>
      </c>
      <c r="P217" t="n">
        <v>-1.14</v>
      </c>
      <c r="Q217" t="n">
        <v>5.05</v>
      </c>
      <c r="R217" t="n">
        <v>0.04</v>
      </c>
      <c r="S217" t="n">
        <v>0.03</v>
      </c>
      <c r="T217" t="n">
        <v>-1.01</v>
      </c>
      <c r="U217" t="n">
        <v>0.67</v>
      </c>
      <c r="V217" t="n">
        <v>0.33</v>
      </c>
      <c r="W217" t="n">
        <v>0.59</v>
      </c>
      <c r="X217" t="n">
        <v>3.61</v>
      </c>
      <c r="Y217" t="n">
        <v>-67.89</v>
      </c>
      <c r="Z217" t="n">
        <v>651</v>
      </c>
      <c r="AA217" t="n">
        <v>9.119999999999999</v>
      </c>
      <c r="AB217" t="n">
        <v>0</v>
      </c>
      <c r="AC217" t="n">
        <v>-15.98</v>
      </c>
      <c r="AD217" t="n">
        <v>432155192.7</v>
      </c>
    </row>
    <row r="218">
      <c r="A218" t="inlineStr">
        <is>
          <t>DOHL4</t>
        </is>
      </c>
      <c r="B218" t="n">
        <v>3.74</v>
      </c>
      <c r="C218" t="n">
        <v>0.97</v>
      </c>
      <c r="D218" t="n">
        <v>985.76</v>
      </c>
      <c r="E218" t="n">
        <v>0.41</v>
      </c>
      <c r="F218" t="n">
        <v>0.27</v>
      </c>
      <c r="G218" t="n">
        <v>19.49</v>
      </c>
      <c r="H218" t="n">
        <v>-0.99</v>
      </c>
      <c r="I218" t="n">
        <v>0.05</v>
      </c>
      <c r="J218" t="n">
        <v>-46.99</v>
      </c>
      <c r="K218" t="n">
        <v>-79.33</v>
      </c>
      <c r="L218" t="n">
        <v>-7.56</v>
      </c>
      <c r="M218" t="n">
        <v>0.07000000000000001</v>
      </c>
      <c r="N218" t="n">
        <v>0.46</v>
      </c>
      <c r="O218" t="n">
        <v>0.58</v>
      </c>
      <c r="P218" t="n">
        <v>-0.66</v>
      </c>
      <c r="Q218" t="n">
        <v>5.05</v>
      </c>
      <c r="R218" t="n">
        <v>0.04</v>
      </c>
      <c r="S218" t="n">
        <v>0.03</v>
      </c>
      <c r="T218" t="n">
        <v>-1.01</v>
      </c>
      <c r="U218" t="n">
        <v>0.67</v>
      </c>
      <c r="V218" t="n">
        <v>0.33</v>
      </c>
      <c r="W218" t="n">
        <v>0.59</v>
      </c>
      <c r="X218" t="n">
        <v>3.61</v>
      </c>
      <c r="Y218" t="n">
        <v>-67.89</v>
      </c>
      <c r="Z218" t="n">
        <v>13462.9</v>
      </c>
      <c r="AA218" t="n">
        <v>9.119999999999999</v>
      </c>
      <c r="AB218" t="n">
        <v>0</v>
      </c>
      <c r="AC218" t="n">
        <v>-9.220000000000001</v>
      </c>
      <c r="AD218" t="n">
        <v>432155192.7</v>
      </c>
    </row>
    <row r="219">
      <c r="A219" t="inlineStr">
        <is>
          <t>DOTZ3</t>
        </is>
      </c>
      <c r="B219" t="n">
        <v>4.86</v>
      </c>
      <c r="D219" t="n">
        <v>8.82</v>
      </c>
      <c r="E219" t="n">
        <v>-0.27</v>
      </c>
      <c r="F219" t="n">
        <v>0.19</v>
      </c>
      <c r="G219" t="n">
        <v>71.15000000000001</v>
      </c>
      <c r="H219" t="n">
        <v>19.99</v>
      </c>
      <c r="I219" t="n">
        <v>2.66</v>
      </c>
      <c r="J219" t="n">
        <v>1.17</v>
      </c>
      <c r="K219" t="n">
        <v>2.28</v>
      </c>
      <c r="L219" t="n">
        <v>1.11</v>
      </c>
      <c r="N219" t="n">
        <v>0.23</v>
      </c>
      <c r="O219" t="n">
        <v>-1.46</v>
      </c>
      <c r="P219" t="n">
        <v>-0.61</v>
      </c>
      <c r="Q219" t="n">
        <v>0.84</v>
      </c>
      <c r="R219" t="n">
        <v>-3.06</v>
      </c>
      <c r="S219" t="n">
        <v>2.19</v>
      </c>
      <c r="T219" t="n">
        <v>-29.41</v>
      </c>
      <c r="U219" t="n">
        <v>-0.72</v>
      </c>
      <c r="V219" t="n">
        <v>1.72</v>
      </c>
      <c r="W219" t="n">
        <v>0.83</v>
      </c>
      <c r="X219" t="n">
        <v>15.76</v>
      </c>
      <c r="Z219" t="n">
        <v>300655.23</v>
      </c>
      <c r="AA219" t="n">
        <v>-18.02</v>
      </c>
      <c r="AB219" t="n">
        <v>0.55</v>
      </c>
      <c r="AC219" t="n">
        <v>-0.04</v>
      </c>
      <c r="AD219" t="n">
        <v>64744813.08</v>
      </c>
    </row>
    <row r="220">
      <c r="A220" t="inlineStr">
        <is>
          <t>DTCY3</t>
        </is>
      </c>
      <c r="B220" t="n">
        <v>2.3</v>
      </c>
      <c r="D220" t="n">
        <v>-39.27</v>
      </c>
      <c r="E220" t="n">
        <v>52.68</v>
      </c>
      <c r="F220" t="n">
        <v>4.43</v>
      </c>
      <c r="G220" t="n">
        <v>25.75</v>
      </c>
      <c r="H220" t="n">
        <v>-6.82</v>
      </c>
      <c r="I220" t="n">
        <v>-8.220000000000001</v>
      </c>
      <c r="J220" t="n">
        <v>-47.32</v>
      </c>
      <c r="K220" t="n">
        <v>-90.7</v>
      </c>
      <c r="L220" t="n">
        <v>6.85</v>
      </c>
      <c r="M220" t="n">
        <v>-7.63</v>
      </c>
      <c r="N220" t="n">
        <v>3.23</v>
      </c>
      <c r="O220" t="n">
        <v>20.76</v>
      </c>
      <c r="P220" t="n">
        <v>-23.79</v>
      </c>
      <c r="Q220" t="n">
        <v>1.36</v>
      </c>
      <c r="R220" t="n">
        <v>-134.16</v>
      </c>
      <c r="S220" t="n">
        <v>-11.28</v>
      </c>
      <c r="T220" t="n">
        <v>-111.32</v>
      </c>
      <c r="U220" t="n">
        <v>0.08</v>
      </c>
      <c r="V220" t="n">
        <v>0.92</v>
      </c>
      <c r="W220" t="n">
        <v>1.37</v>
      </c>
      <c r="X220" t="n">
        <v>-13.66</v>
      </c>
      <c r="Z220" t="n">
        <v>131.25</v>
      </c>
      <c r="AA220" t="n">
        <v>0.04</v>
      </c>
      <c r="AB220" t="n">
        <v>-0.06</v>
      </c>
      <c r="AC220" t="n">
        <v>1.6</v>
      </c>
      <c r="AD220" t="n">
        <v>52776097.8</v>
      </c>
    </row>
    <row r="221">
      <c r="A221" t="inlineStr">
        <is>
          <t>DTCY4</t>
        </is>
      </c>
      <c r="B221" t="n">
        <v>62.6</v>
      </c>
      <c r="D221" t="n">
        <v>-1068.73</v>
      </c>
      <c r="E221" t="n">
        <v>1433.76</v>
      </c>
      <c r="F221" t="n">
        <v>120.6</v>
      </c>
      <c r="G221" t="n">
        <v>25.75</v>
      </c>
      <c r="H221" t="n">
        <v>-6.82</v>
      </c>
      <c r="I221" t="n">
        <v>-8.220000000000001</v>
      </c>
      <c r="J221" t="n">
        <v>-1288</v>
      </c>
      <c r="K221" t="n">
        <v>-90.7</v>
      </c>
      <c r="L221" t="n">
        <v>6.85</v>
      </c>
      <c r="M221" t="n">
        <v>-7.63</v>
      </c>
      <c r="N221" t="n">
        <v>87.86</v>
      </c>
      <c r="O221" t="n">
        <v>565.13</v>
      </c>
      <c r="P221" t="n">
        <v>-647.59</v>
      </c>
      <c r="Q221" t="n">
        <v>1.36</v>
      </c>
      <c r="R221" t="n">
        <v>-134.16</v>
      </c>
      <c r="S221" t="n">
        <v>-11.28</v>
      </c>
      <c r="T221" t="n">
        <v>-111.32</v>
      </c>
      <c r="U221" t="n">
        <v>0.08</v>
      </c>
      <c r="V221" t="n">
        <v>0.92</v>
      </c>
      <c r="W221" t="n">
        <v>1.37</v>
      </c>
      <c r="X221" t="n">
        <v>-13.66</v>
      </c>
      <c r="AA221" t="n">
        <v>0.04</v>
      </c>
      <c r="AB221" t="n">
        <v>-0.06</v>
      </c>
      <c r="AC221" t="n">
        <v>43.56</v>
      </c>
      <c r="AD221" t="n">
        <v>52776097.8</v>
      </c>
    </row>
    <row r="222">
      <c r="A222" t="inlineStr">
        <is>
          <t>DXCO3</t>
        </is>
      </c>
      <c r="B222" t="n">
        <v>4.97</v>
      </c>
      <c r="D222" t="n">
        <v>533.05</v>
      </c>
      <c r="E222" t="n">
        <v>0.66</v>
      </c>
      <c r="F222" t="n">
        <v>0.23</v>
      </c>
      <c r="G222" t="n">
        <v>25.32</v>
      </c>
      <c r="H222" t="n">
        <v>9.67</v>
      </c>
      <c r="I222" t="n">
        <v>0.1</v>
      </c>
      <c r="J222" t="n">
        <v>5.66</v>
      </c>
      <c r="K222" t="n">
        <v>11.7</v>
      </c>
      <c r="L222" t="n">
        <v>5.97</v>
      </c>
      <c r="M222" t="n">
        <v>0.7</v>
      </c>
      <c r="N222" t="n">
        <v>0.55</v>
      </c>
      <c r="O222" t="n">
        <v>1.33</v>
      </c>
      <c r="P222" t="n">
        <v>-0.35</v>
      </c>
      <c r="Q222" t="n">
        <v>2.05</v>
      </c>
      <c r="R222" t="n">
        <v>0.12</v>
      </c>
      <c r="S222" t="n">
        <v>0.04</v>
      </c>
      <c r="T222" t="n">
        <v>3.51</v>
      </c>
      <c r="U222" t="n">
        <v>0.35</v>
      </c>
      <c r="V222" t="n">
        <v>0.63</v>
      </c>
      <c r="W222" t="n">
        <v>0.43</v>
      </c>
      <c r="X222" t="n">
        <v>7.01</v>
      </c>
      <c r="Y222" t="n">
        <v>-54.77</v>
      </c>
      <c r="Z222" t="n">
        <v>7455654.95</v>
      </c>
      <c r="AA222" t="n">
        <v>7.52</v>
      </c>
      <c r="AB222" t="n">
        <v>0.01</v>
      </c>
      <c r="AC222" t="n">
        <v>-5.51</v>
      </c>
      <c r="AD222" t="n">
        <v>4631932347.84</v>
      </c>
    </row>
    <row r="223">
      <c r="A223" t="inlineStr">
        <is>
          <t>EALT3</t>
        </is>
      </c>
      <c r="B223" t="n">
        <v>11.99</v>
      </c>
      <c r="C223" t="n">
        <v>4.01</v>
      </c>
      <c r="D223" t="n">
        <v>4.62</v>
      </c>
      <c r="E223" t="n">
        <v>0.74</v>
      </c>
      <c r="F223" t="n">
        <v>0.42</v>
      </c>
      <c r="G223" t="n">
        <v>18.34</v>
      </c>
      <c r="H223" t="n">
        <v>5.27</v>
      </c>
      <c r="I223" t="n">
        <v>10.77</v>
      </c>
      <c r="J223" t="n">
        <v>9.43</v>
      </c>
      <c r="K223" t="n">
        <v>11.76</v>
      </c>
      <c r="L223" t="n">
        <v>2.74</v>
      </c>
      <c r="M223" t="n">
        <v>0.22</v>
      </c>
      <c r="N223" t="n">
        <v>0.5</v>
      </c>
      <c r="O223" t="n">
        <v>3.28</v>
      </c>
      <c r="P223" t="n">
        <v>-0.68</v>
      </c>
      <c r="Q223" t="n">
        <v>1.5</v>
      </c>
      <c r="R223" t="n">
        <v>16.02</v>
      </c>
      <c r="S223" t="n">
        <v>9.029999999999999</v>
      </c>
      <c r="T223" t="n">
        <v>-2.21</v>
      </c>
      <c r="U223" t="n">
        <v>0.5600000000000001</v>
      </c>
      <c r="V223" t="n">
        <v>0.44</v>
      </c>
      <c r="W223" t="n">
        <v>0.84</v>
      </c>
      <c r="X223" t="n">
        <v>17.17</v>
      </c>
      <c r="Y223" t="n">
        <v>18.29</v>
      </c>
      <c r="Z223" t="n">
        <v>4839.43</v>
      </c>
      <c r="AA223" t="n">
        <v>16.22</v>
      </c>
      <c r="AB223" t="n">
        <v>2.6</v>
      </c>
      <c r="AC223" t="n">
        <v>-0.12</v>
      </c>
      <c r="AD223" t="n">
        <v>258045000</v>
      </c>
    </row>
    <row r="224">
      <c r="A224" t="inlineStr">
        <is>
          <t>EALT4</t>
        </is>
      </c>
      <c r="B224" t="n">
        <v>11.08</v>
      </c>
      <c r="C224" t="n">
        <v>2.41</v>
      </c>
      <c r="D224" t="n">
        <v>4.27</v>
      </c>
      <c r="E224" t="n">
        <v>0.68</v>
      </c>
      <c r="F224" t="n">
        <v>0.39</v>
      </c>
      <c r="G224" t="n">
        <v>18.34</v>
      </c>
      <c r="H224" t="n">
        <v>5.27</v>
      </c>
      <c r="I224" t="n">
        <v>10.77</v>
      </c>
      <c r="J224" t="n">
        <v>8.720000000000001</v>
      </c>
      <c r="K224" t="n">
        <v>11.76</v>
      </c>
      <c r="L224" t="n">
        <v>2.74</v>
      </c>
      <c r="M224" t="n">
        <v>0.22</v>
      </c>
      <c r="N224" t="n">
        <v>0.46</v>
      </c>
      <c r="O224" t="n">
        <v>3.03</v>
      </c>
      <c r="P224" t="n">
        <v>-0.62</v>
      </c>
      <c r="Q224" t="n">
        <v>1.5</v>
      </c>
      <c r="R224" t="n">
        <v>16.02</v>
      </c>
      <c r="S224" t="n">
        <v>9.029999999999999</v>
      </c>
      <c r="T224" t="n">
        <v>-2.21</v>
      </c>
      <c r="U224" t="n">
        <v>0.5600000000000001</v>
      </c>
      <c r="V224" t="n">
        <v>0.44</v>
      </c>
      <c r="W224" t="n">
        <v>0.84</v>
      </c>
      <c r="X224" t="n">
        <v>17.17</v>
      </c>
      <c r="Y224" t="n">
        <v>18.29</v>
      </c>
      <c r="Z224" t="n">
        <v>83431.09</v>
      </c>
      <c r="AA224" t="n">
        <v>16.22</v>
      </c>
      <c r="AB224" t="n">
        <v>2.6</v>
      </c>
      <c r="AC224" t="n">
        <v>-0.11</v>
      </c>
      <c r="AD224" t="n">
        <v>258045000</v>
      </c>
    </row>
    <row r="225">
      <c r="A225" t="inlineStr">
        <is>
          <t>ECOR3</t>
        </is>
      </c>
      <c r="B225" t="n">
        <v>6.89</v>
      </c>
      <c r="C225" t="n">
        <v>4.49</v>
      </c>
      <c r="D225" t="n">
        <v>6.57</v>
      </c>
      <c r="E225" t="n">
        <v>1.17</v>
      </c>
      <c r="F225" t="n">
        <v>0.13</v>
      </c>
      <c r="G225" t="n">
        <v>37.18</v>
      </c>
      <c r="H225" t="n">
        <v>35.92</v>
      </c>
      <c r="I225" t="n">
        <v>6.26</v>
      </c>
      <c r="J225" t="n">
        <v>1.14</v>
      </c>
      <c r="K225" t="n">
        <v>6.51</v>
      </c>
      <c r="L225" t="n">
        <v>5.37</v>
      </c>
      <c r="M225" t="n">
        <v>5.49</v>
      </c>
      <c r="N225" t="n">
        <v>0.41</v>
      </c>
      <c r="O225" t="n">
        <v>2.04</v>
      </c>
      <c r="P225" t="n">
        <v>-0.15</v>
      </c>
      <c r="Q225" t="n">
        <v>1.69</v>
      </c>
      <c r="R225" t="n">
        <v>17.81</v>
      </c>
      <c r="S225" t="n">
        <v>1.94</v>
      </c>
      <c r="T225" t="n">
        <v>10.62</v>
      </c>
      <c r="U225" t="n">
        <v>0.11</v>
      </c>
      <c r="V225" t="n">
        <v>0.88</v>
      </c>
      <c r="W225" t="n">
        <v>0.31</v>
      </c>
      <c r="X225" t="n">
        <v>23.56</v>
      </c>
      <c r="Z225" t="n">
        <v>27664354.59</v>
      </c>
      <c r="AA225" t="n">
        <v>5.88</v>
      </c>
      <c r="AB225" t="n">
        <v>1.05</v>
      </c>
      <c r="AC225" t="n">
        <v>-0.6</v>
      </c>
      <c r="AD225" t="n">
        <v>4804706145.6</v>
      </c>
    </row>
    <row r="226">
      <c r="A226" t="inlineStr">
        <is>
          <t>ECPR3</t>
        </is>
      </c>
      <c r="B226" t="n">
        <v>90.25</v>
      </c>
      <c r="D226" t="n">
        <v>-9.869999999999999</v>
      </c>
      <c r="E226" t="n">
        <v>1.21</v>
      </c>
      <c r="F226" t="n">
        <v>0.62</v>
      </c>
      <c r="J226" t="n">
        <v>-17.12</v>
      </c>
      <c r="K226" t="n">
        <v>-17.09</v>
      </c>
      <c r="L226" t="n">
        <v>0.08</v>
      </c>
      <c r="M226" t="n">
        <v>-0.01</v>
      </c>
      <c r="O226" t="n">
        <v>174.62</v>
      </c>
      <c r="P226" t="n">
        <v>-0.62</v>
      </c>
      <c r="Q226" t="n">
        <v>2.97</v>
      </c>
      <c r="R226" t="n">
        <v>-12.28</v>
      </c>
      <c r="S226" t="n">
        <v>-6.29</v>
      </c>
      <c r="T226" t="n">
        <v>-7.36</v>
      </c>
      <c r="U226" t="n">
        <v>0.51</v>
      </c>
      <c r="V226" t="n">
        <v>0.49</v>
      </c>
      <c r="W226" t="n">
        <v>0</v>
      </c>
      <c r="AA226" t="n">
        <v>74.45999999999999</v>
      </c>
      <c r="AB226" t="n">
        <v>-9.140000000000001</v>
      </c>
      <c r="AC226" t="n">
        <v>0.14</v>
      </c>
      <c r="AD226" t="n">
        <v>171908947.31</v>
      </c>
    </row>
    <row r="227">
      <c r="A227" t="inlineStr">
        <is>
          <t>ECPR4</t>
        </is>
      </c>
      <c r="B227" t="n">
        <v>90.73999999999999</v>
      </c>
      <c r="D227" t="n">
        <v>-9.92</v>
      </c>
      <c r="E227" t="n">
        <v>1.22</v>
      </c>
      <c r="F227" t="n">
        <v>0.62</v>
      </c>
      <c r="J227" t="n">
        <v>-17.21</v>
      </c>
      <c r="K227" t="n">
        <v>-17.09</v>
      </c>
      <c r="L227" t="n">
        <v>0.08</v>
      </c>
      <c r="M227" t="n">
        <v>-0.01</v>
      </c>
      <c r="O227" t="n">
        <v>175.57</v>
      </c>
      <c r="P227" t="n">
        <v>-0.63</v>
      </c>
      <c r="Q227" t="n">
        <v>2.97</v>
      </c>
      <c r="R227" t="n">
        <v>-12.28</v>
      </c>
      <c r="S227" t="n">
        <v>-6.29</v>
      </c>
      <c r="T227" t="n">
        <v>-7.36</v>
      </c>
      <c r="U227" t="n">
        <v>0.51</v>
      </c>
      <c r="V227" t="n">
        <v>0.49</v>
      </c>
      <c r="W227" t="n">
        <v>0</v>
      </c>
      <c r="AA227" t="n">
        <v>74.45999999999999</v>
      </c>
      <c r="AB227" t="n">
        <v>-9.140000000000001</v>
      </c>
      <c r="AC227" t="n">
        <v>0.14</v>
      </c>
      <c r="AD227" t="n">
        <v>171908947.31</v>
      </c>
    </row>
    <row r="228">
      <c r="A228" t="inlineStr">
        <is>
          <t>EEEL3</t>
        </is>
      </c>
      <c r="B228" t="n">
        <v>294.77</v>
      </c>
      <c r="D228" t="n">
        <v>22.24</v>
      </c>
      <c r="E228" t="n">
        <v>1.77</v>
      </c>
      <c r="F228" t="n">
        <v>0.74</v>
      </c>
      <c r="G228" t="n">
        <v>52.57</v>
      </c>
      <c r="H228" t="n">
        <v>41.32</v>
      </c>
      <c r="I228" t="n">
        <v>14.25</v>
      </c>
      <c r="J228" t="n">
        <v>7.67</v>
      </c>
      <c r="K228" t="n">
        <v>12.72</v>
      </c>
      <c r="L228" t="n">
        <v>3.82</v>
      </c>
      <c r="M228" t="n">
        <v>0.88</v>
      </c>
      <c r="N228" t="n">
        <v>3.17</v>
      </c>
      <c r="O228" t="n">
        <v>7.85</v>
      </c>
      <c r="P228" t="n">
        <v>-0.88</v>
      </c>
      <c r="Q228" t="n">
        <v>2.4</v>
      </c>
      <c r="R228" t="n">
        <v>7.96</v>
      </c>
      <c r="S228" t="n">
        <v>3.31</v>
      </c>
      <c r="T228" t="n">
        <v>9.76</v>
      </c>
      <c r="U228" t="n">
        <v>0.42</v>
      </c>
      <c r="V228" t="n">
        <v>0.58</v>
      </c>
      <c r="W228" t="n">
        <v>0.23</v>
      </c>
      <c r="X228" t="n">
        <v>9.68</v>
      </c>
      <c r="Y228" t="n">
        <v>0.92</v>
      </c>
      <c r="AA228" t="n">
        <v>166.46</v>
      </c>
      <c r="AB228" t="n">
        <v>13.25</v>
      </c>
      <c r="AC228" t="n">
        <v>-0.44</v>
      </c>
      <c r="AD228" t="n">
        <v>7539711815.81</v>
      </c>
    </row>
    <row r="229">
      <c r="A229" t="inlineStr">
        <is>
          <t>EEEL4</t>
        </is>
      </c>
      <c r="B229" t="n">
        <v>410</v>
      </c>
      <c r="D229" t="n">
        <v>30.94</v>
      </c>
      <c r="E229" t="n">
        <v>2.46</v>
      </c>
      <c r="F229" t="n">
        <v>1.02</v>
      </c>
      <c r="G229" t="n">
        <v>52.57</v>
      </c>
      <c r="H229" t="n">
        <v>41.32</v>
      </c>
      <c r="I229" t="n">
        <v>14.25</v>
      </c>
      <c r="J229" t="n">
        <v>10.67</v>
      </c>
      <c r="K229" t="n">
        <v>12.72</v>
      </c>
      <c r="L229" t="n">
        <v>3.82</v>
      </c>
      <c r="M229" t="n">
        <v>0.88</v>
      </c>
      <c r="N229" t="n">
        <v>4.41</v>
      </c>
      <c r="O229" t="n">
        <v>10.92</v>
      </c>
      <c r="P229" t="n">
        <v>-1.22</v>
      </c>
      <c r="Q229" t="n">
        <v>2.4</v>
      </c>
      <c r="R229" t="n">
        <v>7.96</v>
      </c>
      <c r="S229" t="n">
        <v>3.31</v>
      </c>
      <c r="T229" t="n">
        <v>9.76</v>
      </c>
      <c r="U229" t="n">
        <v>0.42</v>
      </c>
      <c r="V229" t="n">
        <v>0.58</v>
      </c>
      <c r="W229" t="n">
        <v>0.23</v>
      </c>
      <c r="X229" t="n">
        <v>9.68</v>
      </c>
      <c r="Y229" t="n">
        <v>0.92</v>
      </c>
      <c r="AA229" t="n">
        <v>166.46</v>
      </c>
      <c r="AB229" t="n">
        <v>13.25</v>
      </c>
      <c r="AC229" t="n">
        <v>-0.61</v>
      </c>
      <c r="AD229" t="n">
        <v>7539711815.81</v>
      </c>
    </row>
    <row r="230">
      <c r="A230" t="inlineStr">
        <is>
          <t>EGIE3</t>
        </is>
      </c>
      <c r="B230" t="n">
        <v>29.44</v>
      </c>
      <c r="C230" t="n">
        <v>4.95</v>
      </c>
      <c r="D230" t="n">
        <v>16.25</v>
      </c>
      <c r="E230" t="n">
        <v>3.06</v>
      </c>
      <c r="F230" t="n">
        <v>0.71</v>
      </c>
      <c r="G230" t="n">
        <v>46.77</v>
      </c>
      <c r="H230" t="n">
        <v>48.37</v>
      </c>
      <c r="I230" t="n">
        <v>19.35</v>
      </c>
      <c r="J230" t="n">
        <v>6.5</v>
      </c>
      <c r="K230" t="n">
        <v>10.36</v>
      </c>
      <c r="L230" t="n">
        <v>3.85</v>
      </c>
      <c r="M230" t="n">
        <v>1.82</v>
      </c>
      <c r="N230" t="n">
        <v>3.14</v>
      </c>
      <c r="O230" t="n">
        <v>11.96</v>
      </c>
      <c r="P230" t="n">
        <v>-0.86</v>
      </c>
      <c r="Q230" t="n">
        <v>1.54</v>
      </c>
      <c r="R230" t="n">
        <v>18.86</v>
      </c>
      <c r="S230" t="n">
        <v>4.37</v>
      </c>
      <c r="T230" t="n">
        <v>12.6</v>
      </c>
      <c r="U230" t="n">
        <v>0.23</v>
      </c>
      <c r="V230" t="n">
        <v>0.75</v>
      </c>
      <c r="W230" t="n">
        <v>0.23</v>
      </c>
      <c r="X230" t="n">
        <v>0.96</v>
      </c>
      <c r="Y230" t="n">
        <v>-1.71</v>
      </c>
      <c r="Z230" t="n">
        <v>127686004.23</v>
      </c>
      <c r="AA230" t="n">
        <v>9.6</v>
      </c>
      <c r="AB230" t="n">
        <v>1.81</v>
      </c>
      <c r="AC230" t="n">
        <v>-0.68</v>
      </c>
      <c r="AD230" t="n">
        <v>41712435764</v>
      </c>
    </row>
    <row r="231">
      <c r="A231" t="inlineStr">
        <is>
          <t>EKTR3</t>
        </is>
      </c>
      <c r="B231" t="n">
        <v>51.52</v>
      </c>
      <c r="C231" t="n">
        <v>4.51</v>
      </c>
      <c r="D231" t="n">
        <v>13.05</v>
      </c>
      <c r="E231" t="n">
        <v>4.58</v>
      </c>
      <c r="F231" t="n">
        <v>0.66</v>
      </c>
      <c r="G231" t="n">
        <v>25.45</v>
      </c>
      <c r="H231" t="n">
        <v>20.83</v>
      </c>
      <c r="I231" t="n">
        <v>7.4</v>
      </c>
      <c r="J231" t="n">
        <v>4.63</v>
      </c>
      <c r="K231" t="n">
        <v>7.83</v>
      </c>
      <c r="L231" t="n">
        <v>3.75</v>
      </c>
      <c r="M231" t="n">
        <v>3.7</v>
      </c>
      <c r="N231" t="n">
        <v>0.97</v>
      </c>
      <c r="O231" t="n">
        <v>6.05</v>
      </c>
      <c r="P231" t="n">
        <v>-0.98</v>
      </c>
      <c r="Q231" t="n">
        <v>1.5</v>
      </c>
      <c r="R231" t="n">
        <v>35.11</v>
      </c>
      <c r="S231" t="n">
        <v>5.07</v>
      </c>
      <c r="T231" t="n">
        <v>15.88</v>
      </c>
      <c r="U231" t="n">
        <v>0.14</v>
      </c>
      <c r="V231" t="n">
        <v>0.86</v>
      </c>
      <c r="W231" t="n">
        <v>0.6899999999999999</v>
      </c>
      <c r="X231" t="n">
        <v>7.86</v>
      </c>
      <c r="Y231" t="n">
        <v>5.26</v>
      </c>
      <c r="Z231" t="n">
        <v>0</v>
      </c>
      <c r="AA231" t="n">
        <v>11.25</v>
      </c>
      <c r="AB231" t="n">
        <v>3.95</v>
      </c>
      <c r="AC231" t="n">
        <v>-0.63</v>
      </c>
      <c r="AD231" t="n">
        <v>8790501304.700001</v>
      </c>
    </row>
    <row r="232">
      <c r="A232" t="inlineStr">
        <is>
          <t>EKTR4</t>
        </is>
      </c>
      <c r="B232" t="n">
        <v>39.82</v>
      </c>
      <c r="C232" t="n">
        <v>6.42</v>
      </c>
      <c r="D232" t="n">
        <v>10.09</v>
      </c>
      <c r="E232" t="n">
        <v>3.54</v>
      </c>
      <c r="F232" t="n">
        <v>0.51</v>
      </c>
      <c r="G232" t="n">
        <v>25.45</v>
      </c>
      <c r="H232" t="n">
        <v>20.83</v>
      </c>
      <c r="I232" t="n">
        <v>7.4</v>
      </c>
      <c r="J232" t="n">
        <v>3.58</v>
      </c>
      <c r="K232" t="n">
        <v>7.83</v>
      </c>
      <c r="L232" t="n">
        <v>3.75</v>
      </c>
      <c r="M232" t="n">
        <v>3.7</v>
      </c>
      <c r="N232" t="n">
        <v>0.75</v>
      </c>
      <c r="O232" t="n">
        <v>4.67</v>
      </c>
      <c r="P232" t="n">
        <v>-0.76</v>
      </c>
      <c r="Q232" t="n">
        <v>1.5</v>
      </c>
      <c r="R232" t="n">
        <v>35.11</v>
      </c>
      <c r="S232" t="n">
        <v>5.07</v>
      </c>
      <c r="T232" t="n">
        <v>15.88</v>
      </c>
      <c r="U232" t="n">
        <v>0.14</v>
      </c>
      <c r="V232" t="n">
        <v>0.86</v>
      </c>
      <c r="W232" t="n">
        <v>0.6899999999999999</v>
      </c>
      <c r="X232" t="n">
        <v>7.86</v>
      </c>
      <c r="Y232" t="n">
        <v>5.26</v>
      </c>
      <c r="Z232" t="n">
        <v>9031.049999999999</v>
      </c>
      <c r="AA232" t="n">
        <v>11.25</v>
      </c>
      <c r="AB232" t="n">
        <v>3.95</v>
      </c>
      <c r="AC232" t="n">
        <v>-0.49</v>
      </c>
      <c r="AD232" t="n">
        <v>8790501304.700001</v>
      </c>
    </row>
    <row r="233">
      <c r="A233" t="inlineStr">
        <is>
          <t>ELEK3</t>
        </is>
      </c>
      <c r="B233" t="n">
        <v>19.11</v>
      </c>
      <c r="D233" t="n">
        <v>24.46</v>
      </c>
      <c r="E233" t="n">
        <v>2.66</v>
      </c>
      <c r="F233" t="n">
        <v>1.07</v>
      </c>
      <c r="G233" t="n">
        <v>11.39</v>
      </c>
      <c r="H233" t="n">
        <v>2.82</v>
      </c>
      <c r="I233" t="n">
        <v>2.53</v>
      </c>
      <c r="J233" t="n">
        <v>21.94</v>
      </c>
      <c r="K233" t="n">
        <v>38.76</v>
      </c>
      <c r="L233" t="n">
        <v>5.75</v>
      </c>
      <c r="M233" t="n">
        <v>0.7</v>
      </c>
      <c r="N233" t="n">
        <v>0.62</v>
      </c>
      <c r="O233" t="n">
        <v>3.75</v>
      </c>
      <c r="P233" t="n">
        <v>-2.6</v>
      </c>
      <c r="Q233" t="n">
        <v>1.94</v>
      </c>
      <c r="R233" t="n">
        <v>10.87</v>
      </c>
      <c r="S233" t="n">
        <v>4.36</v>
      </c>
      <c r="T233" t="n">
        <v>4.38</v>
      </c>
      <c r="U233" t="n">
        <v>0.4</v>
      </c>
      <c r="V233" t="n">
        <v>0.6</v>
      </c>
      <c r="W233" t="n">
        <v>1.72</v>
      </c>
      <c r="X233" t="n">
        <v>1.48</v>
      </c>
      <c r="AA233" t="n">
        <v>7.19</v>
      </c>
      <c r="AB233" t="n">
        <v>0.78</v>
      </c>
      <c r="AC233" t="n">
        <v>-0.35</v>
      </c>
      <c r="AD233" t="n">
        <v>905051916.3</v>
      </c>
    </row>
    <row r="234">
      <c r="A234" t="inlineStr">
        <is>
          <t>ELEK4</t>
        </is>
      </c>
      <c r="B234" t="n">
        <v>36.99</v>
      </c>
      <c r="D234" t="n">
        <v>47.34</v>
      </c>
      <c r="E234" t="n">
        <v>5.15</v>
      </c>
      <c r="F234" t="n">
        <v>2.07</v>
      </c>
      <c r="G234" t="n">
        <v>11.39</v>
      </c>
      <c r="H234" t="n">
        <v>2.82</v>
      </c>
      <c r="I234" t="n">
        <v>2.53</v>
      </c>
      <c r="J234" t="n">
        <v>42.48</v>
      </c>
      <c r="K234" t="n">
        <v>38.76</v>
      </c>
      <c r="L234" t="n">
        <v>5.75</v>
      </c>
      <c r="M234" t="n">
        <v>0.7</v>
      </c>
      <c r="N234" t="n">
        <v>1.2</v>
      </c>
      <c r="O234" t="n">
        <v>7.26</v>
      </c>
      <c r="P234" t="n">
        <v>-5.02</v>
      </c>
      <c r="Q234" t="n">
        <v>1.94</v>
      </c>
      <c r="R234" t="n">
        <v>10.87</v>
      </c>
      <c r="S234" t="n">
        <v>4.36</v>
      </c>
      <c r="T234" t="n">
        <v>4.38</v>
      </c>
      <c r="U234" t="n">
        <v>0.4</v>
      </c>
      <c r="V234" t="n">
        <v>0.6</v>
      </c>
      <c r="W234" t="n">
        <v>1.72</v>
      </c>
      <c r="X234" t="n">
        <v>1.48</v>
      </c>
      <c r="AA234" t="n">
        <v>7.19</v>
      </c>
      <c r="AB234" t="n">
        <v>0.78</v>
      </c>
      <c r="AC234" t="n">
        <v>-0.68</v>
      </c>
      <c r="AD234" t="n">
        <v>905051916.3</v>
      </c>
    </row>
    <row r="235">
      <c r="A235" t="inlineStr">
        <is>
          <t>ELMD3</t>
        </is>
      </c>
      <c r="B235" t="n">
        <v>31</v>
      </c>
      <c r="D235" t="n">
        <v>39.74</v>
      </c>
      <c r="E235" t="n">
        <v>4.53</v>
      </c>
      <c r="F235" t="n">
        <v>1.39</v>
      </c>
      <c r="G235" t="n">
        <v>49.42</v>
      </c>
      <c r="H235" t="n">
        <v>24.62</v>
      </c>
      <c r="I235" t="n">
        <v>8.949999999999999</v>
      </c>
      <c r="J235" t="n">
        <v>14.44</v>
      </c>
      <c r="K235" t="n">
        <v>17.04</v>
      </c>
      <c r="L235" t="n">
        <v>2.6</v>
      </c>
      <c r="M235" t="n">
        <v>0.82</v>
      </c>
      <c r="N235" t="n">
        <v>3.55</v>
      </c>
      <c r="O235" t="n">
        <v>10.24</v>
      </c>
      <c r="P235" t="n">
        <v>-2.04</v>
      </c>
      <c r="Q235" t="n">
        <v>1.76</v>
      </c>
      <c r="R235" t="n">
        <v>11.4</v>
      </c>
      <c r="S235" t="n">
        <v>3.51</v>
      </c>
      <c r="T235" t="n">
        <v>9.18</v>
      </c>
      <c r="U235" t="n">
        <v>0.31</v>
      </c>
      <c r="V235" t="n">
        <v>0.63</v>
      </c>
      <c r="W235" t="n">
        <v>0.39</v>
      </c>
      <c r="X235" t="n">
        <v>32</v>
      </c>
      <c r="Y235" t="n">
        <v>51.88</v>
      </c>
      <c r="Z235" t="n">
        <v>704100</v>
      </c>
      <c r="AA235" t="n">
        <v>6.85</v>
      </c>
      <c r="AB235" t="n">
        <v>0.78</v>
      </c>
      <c r="AC235" t="n">
        <v>8.289999999999999</v>
      </c>
      <c r="AD235" t="n">
        <v>4455057771</v>
      </c>
    </row>
    <row r="236">
      <c r="A236" t="inlineStr">
        <is>
          <t>ELPL3</t>
        </is>
      </c>
      <c r="B236" t="n">
        <v>8.31</v>
      </c>
      <c r="D236" t="n">
        <v>2.99</v>
      </c>
      <c r="E236" t="n">
        <v>0.33</v>
      </c>
      <c r="F236" t="n">
        <v>0.08</v>
      </c>
      <c r="G236" t="n">
        <v>18.11</v>
      </c>
      <c r="H236" t="n">
        <v>13.06</v>
      </c>
      <c r="I236" t="n">
        <v>3.62</v>
      </c>
      <c r="J236" t="n">
        <v>0.83</v>
      </c>
      <c r="K236" t="n">
        <v>4.72</v>
      </c>
      <c r="L236" t="n">
        <v>3.89</v>
      </c>
      <c r="M236" t="n">
        <v>1.54</v>
      </c>
      <c r="N236" t="n">
        <v>0.11</v>
      </c>
      <c r="O236" t="n">
        <v>-1.18</v>
      </c>
      <c r="P236" t="n">
        <v>-0.1</v>
      </c>
      <c r="Q236" t="n">
        <v>0.78</v>
      </c>
      <c r="R236" t="n">
        <v>10.99</v>
      </c>
      <c r="S236" t="n">
        <v>2.61</v>
      </c>
      <c r="T236" t="n">
        <v>13.14</v>
      </c>
      <c r="U236" t="n">
        <v>0.24</v>
      </c>
      <c r="V236" t="n">
        <v>0.76</v>
      </c>
      <c r="W236" t="n">
        <v>0.72</v>
      </c>
      <c r="X236" t="n">
        <v>7.63</v>
      </c>
      <c r="Y236" t="n">
        <v>-3.26</v>
      </c>
      <c r="AA236" t="n">
        <v>25.29</v>
      </c>
      <c r="AB236" t="n">
        <v>2.78</v>
      </c>
      <c r="AC236" t="n">
        <v>-0.1</v>
      </c>
      <c r="AD236" t="n">
        <v>2485315360.74</v>
      </c>
    </row>
    <row r="237">
      <c r="A237" t="inlineStr">
        <is>
          <t>EMAE3</t>
        </is>
      </c>
      <c r="B237" t="n">
        <v>150</v>
      </c>
      <c r="D237" t="n">
        <v>-39.03</v>
      </c>
      <c r="E237" t="n">
        <v>8.93</v>
      </c>
      <c r="F237" t="n">
        <v>3.05</v>
      </c>
      <c r="G237" t="n">
        <v>45.99</v>
      </c>
      <c r="H237" t="n">
        <v>-79.44</v>
      </c>
      <c r="I237" t="n">
        <v>-31.62</v>
      </c>
      <c r="J237" t="n">
        <v>-15.54</v>
      </c>
      <c r="K237" t="n">
        <v>-7.23</v>
      </c>
      <c r="L237" t="n">
        <v>1.16</v>
      </c>
      <c r="M237" t="n">
        <v>-0.67</v>
      </c>
      <c r="N237" t="n">
        <v>12.34</v>
      </c>
      <c r="O237" t="n">
        <v>15.2</v>
      </c>
      <c r="P237" t="n">
        <v>-4.32</v>
      </c>
      <c r="Q237" t="n">
        <v>3.12</v>
      </c>
      <c r="R237" t="n">
        <v>-22.88</v>
      </c>
      <c r="S237" t="n">
        <v>-7.8</v>
      </c>
      <c r="T237" t="n">
        <v>-88.16</v>
      </c>
      <c r="U237" t="n">
        <v>0.34</v>
      </c>
      <c r="V237" t="n">
        <v>0.66</v>
      </c>
      <c r="W237" t="n">
        <v>0.25</v>
      </c>
      <c r="X237" t="n">
        <v>1.3</v>
      </c>
      <c r="Z237" t="n">
        <v>0</v>
      </c>
      <c r="AA237" t="n">
        <v>16.8</v>
      </c>
      <c r="AB237" t="n">
        <v>-3.84</v>
      </c>
      <c r="AC237" t="n">
        <v>0.12</v>
      </c>
      <c r="AD237" t="n">
        <v>2995382850</v>
      </c>
    </row>
    <row r="238">
      <c r="A238" t="inlineStr">
        <is>
          <t>EMAE4</t>
        </is>
      </c>
      <c r="B238" t="n">
        <v>35.12</v>
      </c>
      <c r="D238" t="n">
        <v>-9.140000000000001</v>
      </c>
      <c r="E238" t="n">
        <v>2.09</v>
      </c>
      <c r="F238" t="n">
        <v>0.71</v>
      </c>
      <c r="G238" t="n">
        <v>45.99</v>
      </c>
      <c r="H238" t="n">
        <v>-79.44</v>
      </c>
      <c r="I238" t="n">
        <v>-31.62</v>
      </c>
      <c r="J238" t="n">
        <v>-3.64</v>
      </c>
      <c r="K238" t="n">
        <v>-7.23</v>
      </c>
      <c r="L238" t="n">
        <v>1.16</v>
      </c>
      <c r="M238" t="n">
        <v>-0.67</v>
      </c>
      <c r="N238" t="n">
        <v>2.89</v>
      </c>
      <c r="O238" t="n">
        <v>3.56</v>
      </c>
      <c r="P238" t="n">
        <v>-1.01</v>
      </c>
      <c r="Q238" t="n">
        <v>3.12</v>
      </c>
      <c r="R238" t="n">
        <v>-22.88</v>
      </c>
      <c r="S238" t="n">
        <v>-7.8</v>
      </c>
      <c r="T238" t="n">
        <v>-88.16</v>
      </c>
      <c r="U238" t="n">
        <v>0.34</v>
      </c>
      <c r="V238" t="n">
        <v>0.66</v>
      </c>
      <c r="W238" t="n">
        <v>0.25</v>
      </c>
      <c r="X238" t="n">
        <v>1.3</v>
      </c>
      <c r="Z238" t="n">
        <v>108690.82</v>
      </c>
      <c r="AA238" t="n">
        <v>16.8</v>
      </c>
      <c r="AB238" t="n">
        <v>-3.84</v>
      </c>
      <c r="AC238" t="n">
        <v>0.03</v>
      </c>
      <c r="AD238" t="n">
        <v>2995382850</v>
      </c>
    </row>
    <row r="239">
      <c r="A239" t="inlineStr">
        <is>
          <t>EMBJ3</t>
        </is>
      </c>
      <c r="B239" t="n">
        <v>86.62</v>
      </c>
      <c r="C239" t="n">
        <v>0.82</v>
      </c>
      <c r="D239" t="n">
        <v>37.87</v>
      </c>
      <c r="E239" t="n">
        <v>3.73</v>
      </c>
      <c r="F239" t="n">
        <v>0.95</v>
      </c>
      <c r="G239" t="n">
        <v>17.69</v>
      </c>
      <c r="H239" t="n">
        <v>8.07</v>
      </c>
      <c r="I239" t="n">
        <v>3.93</v>
      </c>
      <c r="J239" t="n">
        <v>18.45</v>
      </c>
      <c r="K239" t="n">
        <v>19.21</v>
      </c>
      <c r="L239" t="n">
        <v>0.86</v>
      </c>
      <c r="M239" t="n">
        <v>0.17</v>
      </c>
      <c r="N239" t="n">
        <v>1.49</v>
      </c>
      <c r="O239" t="n">
        <v>5.27</v>
      </c>
      <c r="P239" t="n">
        <v>-2.13</v>
      </c>
      <c r="Q239" t="n">
        <v>1.48</v>
      </c>
      <c r="R239" t="n">
        <v>9.85</v>
      </c>
      <c r="S239" t="n">
        <v>2.5</v>
      </c>
      <c r="T239" t="n">
        <v>9.539999999999999</v>
      </c>
      <c r="U239" t="n">
        <v>0.25</v>
      </c>
      <c r="V239" t="n">
        <v>0.72</v>
      </c>
      <c r="W239" t="n">
        <v>0.64</v>
      </c>
      <c r="X239" t="n">
        <v>16.35</v>
      </c>
      <c r="Z239" t="n">
        <v>324732470.95</v>
      </c>
      <c r="AA239" t="n">
        <v>23.21</v>
      </c>
      <c r="AB239" t="n">
        <v>2.29</v>
      </c>
      <c r="AC239" t="n">
        <v>-1.62</v>
      </c>
      <c r="AD239" t="n">
        <v>63776254239.72</v>
      </c>
    </row>
    <row r="240">
      <c r="A240" t="inlineStr">
        <is>
          <t>ENAT3</t>
        </is>
      </c>
      <c r="B240" t="n">
        <v>21.8</v>
      </c>
      <c r="D240" t="n">
        <v>10.29</v>
      </c>
      <c r="E240" t="n">
        <v>1.29</v>
      </c>
      <c r="F240" t="n">
        <v>0.46</v>
      </c>
      <c r="G240" t="n">
        <v>24.54</v>
      </c>
      <c r="H240" t="n">
        <v>56.1</v>
      </c>
      <c r="I240" t="n">
        <v>25.34</v>
      </c>
      <c r="J240" t="n">
        <v>4.65</v>
      </c>
      <c r="K240" t="n">
        <v>5.12</v>
      </c>
      <c r="L240" t="n">
        <v>0.47</v>
      </c>
      <c r="M240" t="n">
        <v>0.13</v>
      </c>
      <c r="N240" t="n">
        <v>2.61</v>
      </c>
      <c r="O240" t="n">
        <v>1.31</v>
      </c>
      <c r="P240" t="n">
        <v>-0.85</v>
      </c>
      <c r="Q240" t="n">
        <v>3.9</v>
      </c>
      <c r="R240" t="n">
        <v>12.53</v>
      </c>
      <c r="S240" t="n">
        <v>4.43</v>
      </c>
      <c r="T240" t="n">
        <v>8.6</v>
      </c>
      <c r="U240" t="n">
        <v>0.35</v>
      </c>
      <c r="V240" t="n">
        <v>0.65</v>
      </c>
      <c r="W240" t="n">
        <v>0.17</v>
      </c>
      <c r="X240" t="n">
        <v>11.74</v>
      </c>
      <c r="Y240" t="n">
        <v>5.75</v>
      </c>
      <c r="Z240" t="n">
        <v>201679399</v>
      </c>
      <c r="AA240" t="n">
        <v>16.91</v>
      </c>
      <c r="AB240" t="n">
        <v>2.12</v>
      </c>
      <c r="AC240" t="n">
        <v>0.01</v>
      </c>
      <c r="AD240" t="n">
        <v>5785005265.2</v>
      </c>
    </row>
    <row r="241">
      <c r="A241" t="inlineStr">
        <is>
          <t>ENBR3</t>
        </is>
      </c>
      <c r="B241" t="n">
        <v>24.08</v>
      </c>
      <c r="D241" t="n">
        <v>7.91</v>
      </c>
      <c r="E241" t="n">
        <v>1.23</v>
      </c>
      <c r="F241" t="n">
        <v>0.35</v>
      </c>
      <c r="G241" t="n">
        <v>22.9</v>
      </c>
      <c r="H241" t="n">
        <v>18.35</v>
      </c>
      <c r="I241" t="n">
        <v>8.640000000000001</v>
      </c>
      <c r="J241" t="n">
        <v>3.73</v>
      </c>
      <c r="K241" t="n">
        <v>6.44</v>
      </c>
      <c r="L241" t="n">
        <v>2.72</v>
      </c>
      <c r="M241" t="n">
        <v>0.9</v>
      </c>
      <c r="N241" t="n">
        <v>0.68</v>
      </c>
      <c r="O241" t="n">
        <v>4.82</v>
      </c>
      <c r="P241" t="n">
        <v>-0.48</v>
      </c>
      <c r="Q241" t="n">
        <v>1.37</v>
      </c>
      <c r="R241" t="n">
        <v>15.57</v>
      </c>
      <c r="S241" t="n">
        <v>4.46</v>
      </c>
      <c r="T241" t="n">
        <v>13.53</v>
      </c>
      <c r="U241" t="n">
        <v>0.29</v>
      </c>
      <c r="V241" t="n">
        <v>0.6899999999999999</v>
      </c>
      <c r="W241" t="n">
        <v>0.52</v>
      </c>
      <c r="X241" t="n">
        <v>6.13</v>
      </c>
      <c r="Y241" t="n">
        <v>3.24</v>
      </c>
      <c r="AA241" t="n">
        <v>19.54</v>
      </c>
      <c r="AB241" t="n">
        <v>3.04</v>
      </c>
      <c r="AC241" t="n">
        <v>-0.57</v>
      </c>
      <c r="AD241" t="n">
        <v>13994459653.44</v>
      </c>
    </row>
    <row r="242">
      <c r="A242" t="inlineStr">
        <is>
          <t>ENEV3</t>
        </is>
      </c>
      <c r="B242" t="n">
        <v>25.93</v>
      </c>
      <c r="D242" t="n">
        <v>38.77</v>
      </c>
      <c r="E242" t="n">
        <v>2.47</v>
      </c>
      <c r="F242" t="n">
        <v>0.86</v>
      </c>
      <c r="G242" t="n">
        <v>27.4</v>
      </c>
      <c r="H242" t="n">
        <v>20.71</v>
      </c>
      <c r="I242" t="n">
        <v>6.94</v>
      </c>
      <c r="J242" t="n">
        <v>12.99</v>
      </c>
      <c r="K242" t="n">
        <v>17.8</v>
      </c>
      <c r="L242" t="n">
        <v>4.77</v>
      </c>
      <c r="M242" t="n">
        <v>0.91</v>
      </c>
      <c r="N242" t="n">
        <v>2.69</v>
      </c>
      <c r="O242" t="n">
        <v>15.14</v>
      </c>
      <c r="P242" t="n">
        <v>-1.04</v>
      </c>
      <c r="Q242" t="n">
        <v>1.48</v>
      </c>
      <c r="R242" t="n">
        <v>6.36</v>
      </c>
      <c r="S242" t="n">
        <v>2.21</v>
      </c>
      <c r="T242" t="n">
        <v>6.48</v>
      </c>
      <c r="U242" t="n">
        <v>0.35</v>
      </c>
      <c r="V242" t="n">
        <v>0.62</v>
      </c>
      <c r="W242" t="n">
        <v>0.32</v>
      </c>
      <c r="X242" t="n">
        <v>41.53</v>
      </c>
      <c r="Y242" t="n">
        <v>5.16</v>
      </c>
      <c r="Z242" t="n">
        <v>190754961.27</v>
      </c>
      <c r="AA242" t="n">
        <v>10.52</v>
      </c>
      <c r="AB242" t="n">
        <v>0.67</v>
      </c>
      <c r="AC242" t="n">
        <v>0.23</v>
      </c>
      <c r="AD242" t="n">
        <v>50382137737.17</v>
      </c>
    </row>
    <row r="243">
      <c r="A243" t="inlineStr">
        <is>
          <t>ENGI11</t>
        </is>
      </c>
      <c r="B243" t="n">
        <v>48.98</v>
      </c>
      <c r="C243" t="n">
        <v>3.47</v>
      </c>
      <c r="D243" t="n">
        <v>12.96</v>
      </c>
      <c r="E243" t="n">
        <v>1.26</v>
      </c>
      <c r="F243" t="n">
        <v>0.28</v>
      </c>
      <c r="G243" t="n">
        <v>24.49</v>
      </c>
      <c r="H243" t="n">
        <v>18.49</v>
      </c>
      <c r="I243" t="n">
        <v>5.29</v>
      </c>
      <c r="J243" t="n">
        <v>3.71</v>
      </c>
      <c r="K243" t="n">
        <v>8.789999999999999</v>
      </c>
      <c r="L243" t="n">
        <v>5.07</v>
      </c>
      <c r="M243" t="n">
        <v>1.72</v>
      </c>
      <c r="N243" t="n">
        <v>0.6899999999999999</v>
      </c>
      <c r="O243" t="n">
        <v>2.51</v>
      </c>
      <c r="P243" t="n">
        <v>-0.39</v>
      </c>
      <c r="Q243" t="n">
        <v>1.75</v>
      </c>
      <c r="R243" t="n">
        <v>9.69</v>
      </c>
      <c r="S243" t="n">
        <v>2.2</v>
      </c>
      <c r="T243" t="n">
        <v>9.76</v>
      </c>
      <c r="U243" t="n">
        <v>0.23</v>
      </c>
      <c r="V243" t="n">
        <v>0.75</v>
      </c>
      <c r="W243" t="n">
        <v>0.42</v>
      </c>
      <c r="X243" t="n">
        <v>11.76</v>
      </c>
      <c r="Y243" t="n">
        <v>5.33</v>
      </c>
      <c r="Z243" t="n">
        <v>134439075.05</v>
      </c>
      <c r="AA243" t="n">
        <v>39.02</v>
      </c>
      <c r="AB243" t="n">
        <v>3.78</v>
      </c>
      <c r="AC243" t="n">
        <v>-0.27</v>
      </c>
      <c r="AD243" t="n">
        <v>24735401950.86</v>
      </c>
    </row>
    <row r="244">
      <c r="A244" t="inlineStr">
        <is>
          <t>ENGI3</t>
        </is>
      </c>
      <c r="B244" t="n">
        <v>11.8</v>
      </c>
      <c r="C244" t="n">
        <v>2.88</v>
      </c>
      <c r="D244" t="n">
        <v>15.6</v>
      </c>
      <c r="E244" t="n">
        <v>1.51</v>
      </c>
      <c r="F244" t="n">
        <v>0.34</v>
      </c>
      <c r="G244" t="n">
        <v>24.49</v>
      </c>
      <c r="H244" t="n">
        <v>18.49</v>
      </c>
      <c r="I244" t="n">
        <v>5.29</v>
      </c>
      <c r="J244" t="n">
        <v>4.46</v>
      </c>
      <c r="K244" t="n">
        <v>8.789999999999999</v>
      </c>
      <c r="L244" t="n">
        <v>5.07</v>
      </c>
      <c r="M244" t="n">
        <v>1.72</v>
      </c>
      <c r="N244" t="n">
        <v>0.82</v>
      </c>
      <c r="O244" t="n">
        <v>3.02</v>
      </c>
      <c r="P244" t="n">
        <v>-0.47</v>
      </c>
      <c r="Q244" t="n">
        <v>1.75</v>
      </c>
      <c r="R244" t="n">
        <v>9.69</v>
      </c>
      <c r="S244" t="n">
        <v>2.2</v>
      </c>
      <c r="T244" t="n">
        <v>9.76</v>
      </c>
      <c r="U244" t="n">
        <v>0.23</v>
      </c>
      <c r="V244" t="n">
        <v>0.75</v>
      </c>
      <c r="W244" t="n">
        <v>0.42</v>
      </c>
      <c r="X244" t="n">
        <v>11.76</v>
      </c>
      <c r="Y244" t="n">
        <v>5.33</v>
      </c>
      <c r="Z244" t="n">
        <v>34771.82</v>
      </c>
      <c r="AA244" t="n">
        <v>7.8</v>
      </c>
      <c r="AB244" t="n">
        <v>0.76</v>
      </c>
      <c r="AC244" t="n">
        <v>-0.32</v>
      </c>
      <c r="AD244" t="n">
        <v>24735401950.86</v>
      </c>
    </row>
    <row r="245">
      <c r="A245" t="inlineStr">
        <is>
          <t>ENGI4</t>
        </is>
      </c>
      <c r="B245" t="n">
        <v>9.279999999999999</v>
      </c>
      <c r="C245" t="n">
        <v>3.67</v>
      </c>
      <c r="D245" t="n">
        <v>12.27</v>
      </c>
      <c r="E245" t="n">
        <v>1.19</v>
      </c>
      <c r="F245" t="n">
        <v>0.27</v>
      </c>
      <c r="G245" t="n">
        <v>24.49</v>
      </c>
      <c r="H245" t="n">
        <v>18.49</v>
      </c>
      <c r="I245" t="n">
        <v>5.29</v>
      </c>
      <c r="J245" t="n">
        <v>3.51</v>
      </c>
      <c r="K245" t="n">
        <v>8.789999999999999</v>
      </c>
      <c r="L245" t="n">
        <v>5.07</v>
      </c>
      <c r="M245" t="n">
        <v>1.72</v>
      </c>
      <c r="N245" t="n">
        <v>0.65</v>
      </c>
      <c r="O245" t="n">
        <v>2.38</v>
      </c>
      <c r="P245" t="n">
        <v>-0.37</v>
      </c>
      <c r="Q245" t="n">
        <v>1.75</v>
      </c>
      <c r="R245" t="n">
        <v>9.69</v>
      </c>
      <c r="S245" t="n">
        <v>2.2</v>
      </c>
      <c r="T245" t="n">
        <v>9.76</v>
      </c>
      <c r="U245" t="n">
        <v>0.23</v>
      </c>
      <c r="V245" t="n">
        <v>0.75</v>
      </c>
      <c r="W245" t="n">
        <v>0.42</v>
      </c>
      <c r="X245" t="n">
        <v>11.76</v>
      </c>
      <c r="Y245" t="n">
        <v>5.33</v>
      </c>
      <c r="Z245" t="n">
        <v>43217.32</v>
      </c>
      <c r="AA245" t="n">
        <v>7.8</v>
      </c>
      <c r="AB245" t="n">
        <v>0.76</v>
      </c>
      <c r="AC245" t="n">
        <v>-0.26</v>
      </c>
      <c r="AD245" t="n">
        <v>24735401950.86</v>
      </c>
    </row>
    <row r="246">
      <c r="A246" t="inlineStr">
        <is>
          <t>ENJU3</t>
        </is>
      </c>
      <c r="B246" t="n">
        <v>0.66</v>
      </c>
      <c r="C246" t="n">
        <v>30.55</v>
      </c>
      <c r="D246" t="n">
        <v>-7.69</v>
      </c>
      <c r="E246" t="n">
        <v>0.46</v>
      </c>
      <c r="F246" t="n">
        <v>0.3</v>
      </c>
      <c r="G246" t="n">
        <v>54.94</v>
      </c>
      <c r="H246" t="n">
        <v>-12.72</v>
      </c>
      <c r="I246" t="n">
        <v>-6.61</v>
      </c>
      <c r="J246" t="n">
        <v>-4</v>
      </c>
      <c r="K246" t="n">
        <v>1.98</v>
      </c>
      <c r="L246" t="n">
        <v>6.16</v>
      </c>
      <c r="M246" t="n">
        <v>-0.7</v>
      </c>
      <c r="N246" t="n">
        <v>0.51</v>
      </c>
      <c r="O246" t="n">
        <v>0.6899999999999999</v>
      </c>
      <c r="P246" t="n">
        <v>-1.16</v>
      </c>
      <c r="Q246" t="n">
        <v>2.42</v>
      </c>
      <c r="R246" t="n">
        <v>-5.92</v>
      </c>
      <c r="S246" t="n">
        <v>-3.9</v>
      </c>
      <c r="T246" t="n">
        <v>-11.52</v>
      </c>
      <c r="U246" t="n">
        <v>0.66</v>
      </c>
      <c r="V246" t="n">
        <v>0.34</v>
      </c>
      <c r="W246" t="n">
        <v>0.59</v>
      </c>
      <c r="X246" t="n">
        <v>27.09</v>
      </c>
      <c r="Z246" t="n">
        <v>867491.5</v>
      </c>
      <c r="AA246" t="n">
        <v>1.45</v>
      </c>
      <c r="AB246" t="n">
        <v>-0.09</v>
      </c>
      <c r="AC246" t="n">
        <v>0.49</v>
      </c>
      <c r="AD246" t="n">
        <v>141462413.1</v>
      </c>
    </row>
    <row r="247">
      <c r="A247" t="inlineStr">
        <is>
          <t>ENMA3B</t>
        </is>
      </c>
      <c r="B247" t="n">
        <v>50.49</v>
      </c>
      <c r="D247" t="n">
        <v>9.4</v>
      </c>
      <c r="E247" t="n">
        <v>1.77</v>
      </c>
      <c r="F247" t="n">
        <v>0.72</v>
      </c>
      <c r="G247" t="n">
        <v>31.42</v>
      </c>
      <c r="H247" t="n">
        <v>19.84</v>
      </c>
      <c r="I247" t="n">
        <v>12.28</v>
      </c>
      <c r="J247" t="n">
        <v>5.82</v>
      </c>
      <c r="L247" t="n">
        <v>2.51</v>
      </c>
      <c r="M247" t="n">
        <v>0.76</v>
      </c>
      <c r="N247" t="n">
        <v>1.15</v>
      </c>
      <c r="O247" t="n">
        <v>8.35</v>
      </c>
      <c r="P247" t="n">
        <v>-0.9399999999999999</v>
      </c>
      <c r="Q247" t="n">
        <v>1.57</v>
      </c>
      <c r="R247" t="n">
        <v>18.81</v>
      </c>
      <c r="S247" t="n">
        <v>7.61</v>
      </c>
      <c r="T247" t="n">
        <v>14.17</v>
      </c>
      <c r="U247" t="n">
        <v>0.4</v>
      </c>
      <c r="V247" t="n">
        <v>0.6</v>
      </c>
      <c r="W247" t="n">
        <v>0.62</v>
      </c>
      <c r="X247" t="n">
        <v>11.18</v>
      </c>
      <c r="Y247" t="n">
        <v>4.72</v>
      </c>
      <c r="AA247" t="n">
        <v>28.55</v>
      </c>
      <c r="AB247" t="n">
        <v>5.37</v>
      </c>
      <c r="AC247" t="n">
        <v>0.45</v>
      </c>
    </row>
    <row r="248">
      <c r="A248" t="inlineStr">
        <is>
          <t>ENMA6B</t>
        </is>
      </c>
      <c r="B248" t="n">
        <v>83.98999999999999</v>
      </c>
      <c r="D248" t="n">
        <v>15.64</v>
      </c>
      <c r="E248" t="n">
        <v>2.94</v>
      </c>
      <c r="F248" t="n">
        <v>1.19</v>
      </c>
      <c r="G248" t="n">
        <v>31.42</v>
      </c>
      <c r="H248" t="n">
        <v>19.84</v>
      </c>
      <c r="I248" t="n">
        <v>12.28</v>
      </c>
      <c r="J248" t="n">
        <v>9.68</v>
      </c>
      <c r="L248" t="n">
        <v>2.51</v>
      </c>
      <c r="M248" t="n">
        <v>0.76</v>
      </c>
      <c r="N248" t="n">
        <v>1.92</v>
      </c>
      <c r="O248" t="n">
        <v>13.88</v>
      </c>
      <c r="P248" t="n">
        <v>-1.56</v>
      </c>
      <c r="Q248" t="n">
        <v>1.57</v>
      </c>
      <c r="R248" t="n">
        <v>18.81</v>
      </c>
      <c r="S248" t="n">
        <v>7.61</v>
      </c>
      <c r="T248" t="n">
        <v>14.17</v>
      </c>
      <c r="U248" t="n">
        <v>0.4</v>
      </c>
      <c r="V248" t="n">
        <v>0.6</v>
      </c>
      <c r="W248" t="n">
        <v>0.62</v>
      </c>
      <c r="X248" t="n">
        <v>11.18</v>
      </c>
      <c r="Y248" t="n">
        <v>4.72</v>
      </c>
      <c r="AA248" t="n">
        <v>28.55</v>
      </c>
      <c r="AB248" t="n">
        <v>5.37</v>
      </c>
      <c r="AC248" t="n">
        <v>0.74</v>
      </c>
    </row>
    <row r="249">
      <c r="A249" t="inlineStr">
        <is>
          <t>ENMT3</t>
        </is>
      </c>
      <c r="B249" t="n">
        <v>35.15</v>
      </c>
      <c r="C249" t="n">
        <v>7.49</v>
      </c>
      <c r="D249" t="n">
        <v>10.54</v>
      </c>
      <c r="E249" t="n">
        <v>1.97</v>
      </c>
      <c r="F249" t="n">
        <v>0.46</v>
      </c>
      <c r="G249" t="n">
        <v>24.72</v>
      </c>
      <c r="H249" t="n">
        <v>17.96</v>
      </c>
      <c r="I249" t="n">
        <v>7.84</v>
      </c>
      <c r="J249" t="n">
        <v>4.6</v>
      </c>
      <c r="K249" t="n">
        <v>9.289999999999999</v>
      </c>
      <c r="L249" t="n">
        <v>4.65</v>
      </c>
      <c r="M249" t="n">
        <v>1.99</v>
      </c>
      <c r="N249" t="n">
        <v>0.83</v>
      </c>
      <c r="O249" t="n">
        <v>2.98</v>
      </c>
      <c r="P249" t="n">
        <v>-0.63</v>
      </c>
      <c r="Q249" t="n">
        <v>2.26</v>
      </c>
      <c r="R249" t="n">
        <v>18.68</v>
      </c>
      <c r="S249" t="n">
        <v>4.33</v>
      </c>
      <c r="T249" t="n">
        <v>11.7</v>
      </c>
      <c r="U249" t="n">
        <v>0.23</v>
      </c>
      <c r="V249" t="n">
        <v>0.77</v>
      </c>
      <c r="W249" t="n">
        <v>0.55</v>
      </c>
      <c r="X249" t="n">
        <v>12</v>
      </c>
      <c r="Y249" t="n">
        <v>1.5</v>
      </c>
      <c r="Z249" t="n">
        <v>48872.09</v>
      </c>
      <c r="AA249" t="n">
        <v>17.86</v>
      </c>
      <c r="AB249" t="n">
        <v>3.34</v>
      </c>
      <c r="AC249" t="n">
        <v>-0.39</v>
      </c>
      <c r="AD249" t="n">
        <v>7747437535.25</v>
      </c>
    </row>
    <row r="250">
      <c r="A250" t="inlineStr">
        <is>
          <t>ENMT4</t>
        </is>
      </c>
      <c r="B250" t="n">
        <v>35.51</v>
      </c>
      <c r="C250" t="n">
        <v>7.41</v>
      </c>
      <c r="D250" t="n">
        <v>10.64</v>
      </c>
      <c r="E250" t="n">
        <v>1.99</v>
      </c>
      <c r="F250" t="n">
        <v>0.46</v>
      </c>
      <c r="G250" t="n">
        <v>24.72</v>
      </c>
      <c r="H250" t="n">
        <v>17.96</v>
      </c>
      <c r="I250" t="n">
        <v>7.84</v>
      </c>
      <c r="J250" t="n">
        <v>4.65</v>
      </c>
      <c r="K250" t="n">
        <v>9.289999999999999</v>
      </c>
      <c r="L250" t="n">
        <v>4.65</v>
      </c>
      <c r="M250" t="n">
        <v>1.99</v>
      </c>
      <c r="N250" t="n">
        <v>0.83</v>
      </c>
      <c r="O250" t="n">
        <v>3.01</v>
      </c>
      <c r="P250" t="n">
        <v>-0.64</v>
      </c>
      <c r="Q250" t="n">
        <v>2.26</v>
      </c>
      <c r="R250" t="n">
        <v>18.68</v>
      </c>
      <c r="S250" t="n">
        <v>4.33</v>
      </c>
      <c r="T250" t="n">
        <v>11.7</v>
      </c>
      <c r="U250" t="n">
        <v>0.23</v>
      </c>
      <c r="V250" t="n">
        <v>0.77</v>
      </c>
      <c r="W250" t="n">
        <v>0.55</v>
      </c>
      <c r="X250" t="n">
        <v>12</v>
      </c>
      <c r="Y250" t="n">
        <v>1.5</v>
      </c>
      <c r="Z250" t="n">
        <v>29120.1</v>
      </c>
      <c r="AA250" t="n">
        <v>17.86</v>
      </c>
      <c r="AB250" t="n">
        <v>3.34</v>
      </c>
      <c r="AC250" t="n">
        <v>-0.39</v>
      </c>
      <c r="AD250" t="n">
        <v>7747437535.25</v>
      </c>
    </row>
    <row r="251">
      <c r="A251" t="inlineStr">
        <is>
          <t>EPAR3</t>
        </is>
      </c>
      <c r="B251" t="n">
        <v>1.34</v>
      </c>
      <c r="D251" t="n">
        <v>43.77</v>
      </c>
      <c r="E251" t="n">
        <v>0.47</v>
      </c>
      <c r="F251" t="n">
        <v>0.36</v>
      </c>
      <c r="G251" t="n">
        <v>98.76000000000001</v>
      </c>
      <c r="H251" t="n">
        <v>-11.57</v>
      </c>
      <c r="I251" t="n">
        <v>18.73</v>
      </c>
      <c r="J251" t="n">
        <v>-70.87</v>
      </c>
      <c r="K251" t="n">
        <v>-41.29</v>
      </c>
      <c r="L251" t="n">
        <v>29.57</v>
      </c>
      <c r="M251" t="n">
        <v>-0.2</v>
      </c>
      <c r="N251" t="n">
        <v>8.199999999999999</v>
      </c>
      <c r="O251" t="n">
        <v>2.29</v>
      </c>
      <c r="P251" t="n">
        <v>-0.43</v>
      </c>
      <c r="Q251" t="n">
        <v>7.54</v>
      </c>
      <c r="R251" t="n">
        <v>1.08</v>
      </c>
      <c r="S251" t="n">
        <v>0.8100000000000001</v>
      </c>
      <c r="T251" t="n">
        <v>-2.71</v>
      </c>
      <c r="U251" t="n">
        <v>0.75</v>
      </c>
      <c r="V251" t="n">
        <v>0.25</v>
      </c>
      <c r="W251" t="n">
        <v>0.04</v>
      </c>
      <c r="X251" t="n">
        <v>-64.98</v>
      </c>
      <c r="Y251" t="n">
        <v>-50.87</v>
      </c>
      <c r="Z251" t="n">
        <v>12438.27</v>
      </c>
      <c r="AA251" t="n">
        <v>2.83</v>
      </c>
      <c r="AB251" t="n">
        <v>0.03</v>
      </c>
      <c r="AC251" t="n">
        <v>-0.48</v>
      </c>
      <c r="AD251" t="n">
        <v>19913161.12</v>
      </c>
    </row>
    <row r="252">
      <c r="A252" t="inlineStr">
        <is>
          <t>EQPA3</t>
        </is>
      </c>
      <c r="B252" t="n">
        <v>5.28</v>
      </c>
      <c r="C252" t="n">
        <v>2.55</v>
      </c>
      <c r="D252" t="n">
        <v>0.61</v>
      </c>
      <c r="E252" t="n">
        <v>2.1</v>
      </c>
      <c r="F252" t="n">
        <v>0.59</v>
      </c>
      <c r="G252" t="n">
        <v>168.93</v>
      </c>
      <c r="H252" t="n">
        <v>159.68</v>
      </c>
      <c r="I252" t="n">
        <v>153.38</v>
      </c>
      <c r="J252" t="n">
        <v>0.58</v>
      </c>
      <c r="K252" t="n">
        <v>0.88</v>
      </c>
      <c r="L252" t="n">
        <v>0.29</v>
      </c>
      <c r="M252" t="n">
        <v>1.05</v>
      </c>
      <c r="N252" t="n">
        <v>0.93</v>
      </c>
      <c r="O252" t="n">
        <v>3.43</v>
      </c>
      <c r="P252" t="n">
        <v>-0.88</v>
      </c>
      <c r="Q252" t="n">
        <v>2.05</v>
      </c>
      <c r="R252" t="n">
        <v>345.77</v>
      </c>
      <c r="S252" t="n">
        <v>97.02</v>
      </c>
      <c r="T252" t="n">
        <v>136.46</v>
      </c>
      <c r="U252" t="n">
        <v>0.28</v>
      </c>
      <c r="V252" t="n">
        <v>0.72</v>
      </c>
      <c r="W252" t="n">
        <v>0.63</v>
      </c>
      <c r="X252" t="n">
        <v>15.78</v>
      </c>
      <c r="Y252" t="n">
        <v>92.98999999999999</v>
      </c>
      <c r="Z252" t="n">
        <v>149105.86</v>
      </c>
      <c r="AA252" t="n">
        <v>2.52</v>
      </c>
      <c r="AB252" t="n">
        <v>8.710000000000001</v>
      </c>
      <c r="AC252" t="n">
        <v>0</v>
      </c>
      <c r="AD252" t="n">
        <v>11669744760.74</v>
      </c>
    </row>
    <row r="253">
      <c r="A253" t="inlineStr">
        <is>
          <t>EQPA5</t>
        </is>
      </c>
      <c r="B253" t="n">
        <v>10.18</v>
      </c>
      <c r="C253" t="n">
        <v>1.32</v>
      </c>
      <c r="D253" t="n">
        <v>1.17</v>
      </c>
      <c r="E253" t="n">
        <v>4.04</v>
      </c>
      <c r="F253" t="n">
        <v>1.13</v>
      </c>
      <c r="G253" t="n">
        <v>168.93</v>
      </c>
      <c r="H253" t="n">
        <v>159.68</v>
      </c>
      <c r="I253" t="n">
        <v>153.38</v>
      </c>
      <c r="J253" t="n">
        <v>1.12</v>
      </c>
      <c r="K253" t="n">
        <v>0.88</v>
      </c>
      <c r="L253" t="n">
        <v>0.29</v>
      </c>
      <c r="M253" t="n">
        <v>1.05</v>
      </c>
      <c r="N253" t="n">
        <v>1.79</v>
      </c>
      <c r="O253" t="n">
        <v>6.6</v>
      </c>
      <c r="P253" t="n">
        <v>-1.7</v>
      </c>
      <c r="Q253" t="n">
        <v>2.05</v>
      </c>
      <c r="R253" t="n">
        <v>345.77</v>
      </c>
      <c r="S253" t="n">
        <v>97.02</v>
      </c>
      <c r="T253" t="n">
        <v>136.46</v>
      </c>
      <c r="U253" t="n">
        <v>0.28</v>
      </c>
      <c r="V253" t="n">
        <v>0.72</v>
      </c>
      <c r="W253" t="n">
        <v>0.63</v>
      </c>
      <c r="X253" t="n">
        <v>15.78</v>
      </c>
      <c r="Y253" t="n">
        <v>92.98999999999999</v>
      </c>
      <c r="Z253" t="n">
        <v>0</v>
      </c>
      <c r="AA253" t="n">
        <v>2.52</v>
      </c>
      <c r="AB253" t="n">
        <v>8.710000000000001</v>
      </c>
      <c r="AC253" t="n">
        <v>0</v>
      </c>
      <c r="AD253" t="n">
        <v>11669744760.74</v>
      </c>
    </row>
    <row r="254">
      <c r="A254" t="inlineStr">
        <is>
          <t>EQPA6</t>
        </is>
      </c>
      <c r="B254" t="n">
        <v>6.59</v>
      </c>
      <c r="C254" t="n">
        <v>2.04</v>
      </c>
      <c r="D254" t="n">
        <v>0.76</v>
      </c>
      <c r="E254" t="n">
        <v>2.62</v>
      </c>
      <c r="F254" t="n">
        <v>0.73</v>
      </c>
      <c r="G254" t="n">
        <v>168.93</v>
      </c>
      <c r="H254" t="n">
        <v>159.68</v>
      </c>
      <c r="I254" t="n">
        <v>153.38</v>
      </c>
      <c r="J254" t="n">
        <v>0.73</v>
      </c>
      <c r="K254" t="n">
        <v>0.88</v>
      </c>
      <c r="L254" t="n">
        <v>0.29</v>
      </c>
      <c r="M254" t="n">
        <v>1.05</v>
      </c>
      <c r="N254" t="n">
        <v>1.16</v>
      </c>
      <c r="O254" t="n">
        <v>4.28</v>
      </c>
      <c r="P254" t="n">
        <v>-1.1</v>
      </c>
      <c r="Q254" t="n">
        <v>2.05</v>
      </c>
      <c r="R254" t="n">
        <v>345.77</v>
      </c>
      <c r="S254" t="n">
        <v>97.02</v>
      </c>
      <c r="T254" t="n">
        <v>136.46</v>
      </c>
      <c r="U254" t="n">
        <v>0.28</v>
      </c>
      <c r="V254" t="n">
        <v>0.72</v>
      </c>
      <c r="W254" t="n">
        <v>0.63</v>
      </c>
      <c r="X254" t="n">
        <v>15.78</v>
      </c>
      <c r="Y254" t="n">
        <v>92.98999999999999</v>
      </c>
      <c r="Z254" t="n">
        <v>659</v>
      </c>
      <c r="AA254" t="n">
        <v>2.52</v>
      </c>
      <c r="AB254" t="n">
        <v>8.710000000000001</v>
      </c>
      <c r="AC254" t="n">
        <v>0</v>
      </c>
      <c r="AD254" t="n">
        <v>11669744760.74</v>
      </c>
    </row>
    <row r="255">
      <c r="A255" t="inlineStr">
        <is>
          <t>EQPA7</t>
        </is>
      </c>
      <c r="B255" t="n">
        <v>10</v>
      </c>
      <c r="C255" t="n">
        <v>1.35</v>
      </c>
      <c r="D255" t="n">
        <v>1.15</v>
      </c>
      <c r="E255" t="n">
        <v>3.97</v>
      </c>
      <c r="F255" t="n">
        <v>1.11</v>
      </c>
      <c r="G255" t="n">
        <v>168.93</v>
      </c>
      <c r="H255" t="n">
        <v>159.68</v>
      </c>
      <c r="I255" t="n">
        <v>153.38</v>
      </c>
      <c r="J255" t="n">
        <v>1.1</v>
      </c>
      <c r="K255" t="n">
        <v>0.88</v>
      </c>
      <c r="L255" t="n">
        <v>0.29</v>
      </c>
      <c r="M255" t="n">
        <v>1.05</v>
      </c>
      <c r="N255" t="n">
        <v>1.76</v>
      </c>
      <c r="O255" t="n">
        <v>6.49</v>
      </c>
      <c r="P255" t="n">
        <v>-1.67</v>
      </c>
      <c r="Q255" t="n">
        <v>2.05</v>
      </c>
      <c r="R255" t="n">
        <v>345.77</v>
      </c>
      <c r="S255" t="n">
        <v>97.02</v>
      </c>
      <c r="T255" t="n">
        <v>136.46</v>
      </c>
      <c r="U255" t="n">
        <v>0.28</v>
      </c>
      <c r="V255" t="n">
        <v>0.72</v>
      </c>
      <c r="W255" t="n">
        <v>0.63</v>
      </c>
      <c r="X255" t="n">
        <v>15.78</v>
      </c>
      <c r="Y255" t="n">
        <v>92.98999999999999</v>
      </c>
      <c r="Z255" t="n">
        <v>400</v>
      </c>
      <c r="AA255" t="n">
        <v>2.52</v>
      </c>
      <c r="AB255" t="n">
        <v>8.710000000000001</v>
      </c>
      <c r="AC255" t="n">
        <v>0</v>
      </c>
      <c r="AD255" t="n">
        <v>11669744760.74</v>
      </c>
    </row>
    <row r="256">
      <c r="A256" t="inlineStr">
        <is>
          <t>EQTL3</t>
        </is>
      </c>
      <c r="B256" t="n">
        <v>37.96</v>
      </c>
      <c r="C256" t="n">
        <v>5</v>
      </c>
      <c r="D256" t="n">
        <v>30.92</v>
      </c>
      <c r="E256" t="n">
        <v>1.86</v>
      </c>
      <c r="F256" t="n">
        <v>0.43</v>
      </c>
      <c r="G256" t="n">
        <v>25.59</v>
      </c>
      <c r="H256" t="n">
        <v>15.18</v>
      </c>
      <c r="I256" t="n">
        <v>2.91</v>
      </c>
      <c r="J256" t="n">
        <v>5.93</v>
      </c>
      <c r="K256" t="n">
        <v>11.63</v>
      </c>
      <c r="L256" t="n">
        <v>5.7</v>
      </c>
      <c r="M256" t="n">
        <v>1.79</v>
      </c>
      <c r="N256" t="n">
        <v>0.9</v>
      </c>
      <c r="O256" t="n">
        <v>4.89</v>
      </c>
      <c r="P256" t="n">
        <v>-0.57</v>
      </c>
      <c r="Q256" t="n">
        <v>1.56</v>
      </c>
      <c r="R256" t="n">
        <v>6.02</v>
      </c>
      <c r="S256" t="n">
        <v>1.38</v>
      </c>
      <c r="T256" t="n">
        <v>9.06</v>
      </c>
      <c r="U256" t="n">
        <v>0.23</v>
      </c>
      <c r="V256" t="n">
        <v>0.75</v>
      </c>
      <c r="W256" t="n">
        <v>0.48</v>
      </c>
      <c r="X256" t="n">
        <v>23.82</v>
      </c>
      <c r="Y256" t="n">
        <v>-12.26</v>
      </c>
      <c r="Z256" t="n">
        <v>246158354.14</v>
      </c>
      <c r="AA256" t="n">
        <v>20.4</v>
      </c>
      <c r="AB256" t="n">
        <v>1.23</v>
      </c>
      <c r="AC256" t="n">
        <v>-0.62</v>
      </c>
      <c r="AD256" t="n">
        <v>47806332304.12</v>
      </c>
    </row>
    <row r="257">
      <c r="A257" t="inlineStr">
        <is>
          <t>ESPA3</t>
        </is>
      </c>
      <c r="B257" t="n">
        <v>7.78</v>
      </c>
      <c r="C257" t="n">
        <v>4.89</v>
      </c>
      <c r="D257" t="n">
        <v>17.74</v>
      </c>
      <c r="E257" t="n">
        <v>0.33</v>
      </c>
      <c r="F257" t="n">
        <v>0.13</v>
      </c>
      <c r="G257" t="n">
        <v>34.3</v>
      </c>
      <c r="H257" t="n">
        <v>15.8</v>
      </c>
      <c r="I257" t="n">
        <v>1.45</v>
      </c>
      <c r="J257" t="n">
        <v>1.62</v>
      </c>
      <c r="K257" t="n">
        <v>5.21</v>
      </c>
      <c r="L257" t="n">
        <v>3.6</v>
      </c>
      <c r="M257" t="n">
        <v>0.72</v>
      </c>
      <c r="N257" t="n">
        <v>0.26</v>
      </c>
      <c r="O257" t="n">
        <v>0.64</v>
      </c>
      <c r="P257" t="n">
        <v>-0.24</v>
      </c>
      <c r="Q257" t="n">
        <v>1.73</v>
      </c>
      <c r="R257" t="n">
        <v>1.83</v>
      </c>
      <c r="S257" t="n">
        <v>0.71</v>
      </c>
      <c r="T257" t="n">
        <v>9.289999999999999</v>
      </c>
      <c r="U257" t="n">
        <v>0.39</v>
      </c>
      <c r="V257" t="n">
        <v>0.61</v>
      </c>
      <c r="W257" t="n">
        <v>0.49</v>
      </c>
      <c r="X257" t="n">
        <v>15.93</v>
      </c>
      <c r="Y257" t="n">
        <v>-23.82</v>
      </c>
      <c r="Z257" t="n">
        <v>387454.82</v>
      </c>
      <c r="AA257" t="n">
        <v>24.05</v>
      </c>
      <c r="AB257" t="n">
        <v>0.44</v>
      </c>
      <c r="AC257" t="n">
        <v>0.21</v>
      </c>
      <c r="AD257" t="n">
        <v>280825717.62</v>
      </c>
    </row>
    <row r="258">
      <c r="A258" t="inlineStr">
        <is>
          <t>ESTR3</t>
        </is>
      </c>
      <c r="B258" t="n">
        <v>3.01</v>
      </c>
      <c r="D258" t="n">
        <v>0.17</v>
      </c>
      <c r="E258" t="n">
        <v>-0.11</v>
      </c>
      <c r="F258" t="n">
        <v>0.07000000000000001</v>
      </c>
      <c r="G258" t="n">
        <v>37.72</v>
      </c>
      <c r="H258" t="n">
        <v>164.75</v>
      </c>
      <c r="I258" t="n">
        <v>94.25</v>
      </c>
      <c r="J258" t="n">
        <v>0.1</v>
      </c>
      <c r="K258" t="n">
        <v>0.58</v>
      </c>
      <c r="L258" t="n">
        <v>0.51</v>
      </c>
      <c r="N258" t="n">
        <v>0.16</v>
      </c>
      <c r="O258" t="n">
        <v>-0.07000000000000001</v>
      </c>
      <c r="P258" t="n">
        <v>-0.11</v>
      </c>
      <c r="Q258" t="n">
        <v>0.25</v>
      </c>
      <c r="R258" t="n">
        <v>-62.71</v>
      </c>
      <c r="S258" t="n">
        <v>40.26</v>
      </c>
      <c r="T258" t="n">
        <v>-247.54</v>
      </c>
      <c r="U258" t="n">
        <v>-0.64</v>
      </c>
      <c r="V258" t="n">
        <v>1.64</v>
      </c>
      <c r="W258" t="n">
        <v>0.43</v>
      </c>
      <c r="X258" t="n">
        <v>1.71</v>
      </c>
      <c r="Z258" t="n">
        <v>0</v>
      </c>
      <c r="AA258" t="n">
        <v>-28.04</v>
      </c>
      <c r="AB258" t="n">
        <v>17.58</v>
      </c>
      <c r="AC258" t="n">
        <v>0</v>
      </c>
      <c r="AD258" t="n">
        <v>17271745</v>
      </c>
    </row>
    <row r="259">
      <c r="A259" t="inlineStr">
        <is>
          <t>ESTR4</t>
        </is>
      </c>
      <c r="B259" t="n">
        <v>1.7</v>
      </c>
      <c r="D259" t="n">
        <v>0.1</v>
      </c>
      <c r="E259" t="n">
        <v>-0.06</v>
      </c>
      <c r="F259" t="n">
        <v>0.04</v>
      </c>
      <c r="G259" t="n">
        <v>37.72</v>
      </c>
      <c r="H259" t="n">
        <v>164.75</v>
      </c>
      <c r="I259" t="n">
        <v>94.25</v>
      </c>
      <c r="J259" t="n">
        <v>0.06</v>
      </c>
      <c r="K259" t="n">
        <v>0.58</v>
      </c>
      <c r="L259" t="n">
        <v>0.51</v>
      </c>
      <c r="N259" t="n">
        <v>0.09</v>
      </c>
      <c r="O259" t="n">
        <v>-0.04</v>
      </c>
      <c r="P259" t="n">
        <v>-0.06</v>
      </c>
      <c r="Q259" t="n">
        <v>0.25</v>
      </c>
      <c r="R259" t="n">
        <v>-62.71</v>
      </c>
      <c r="S259" t="n">
        <v>40.26</v>
      </c>
      <c r="T259" t="n">
        <v>-247.54</v>
      </c>
      <c r="U259" t="n">
        <v>-0.64</v>
      </c>
      <c r="V259" t="n">
        <v>1.64</v>
      </c>
      <c r="W259" t="n">
        <v>0.43</v>
      </c>
      <c r="X259" t="n">
        <v>1.71</v>
      </c>
      <c r="Z259" t="n">
        <v>1304.24</v>
      </c>
      <c r="AA259" t="n">
        <v>-28.04</v>
      </c>
      <c r="AB259" t="n">
        <v>17.58</v>
      </c>
      <c r="AC259" t="n">
        <v>0</v>
      </c>
      <c r="AD259" t="n">
        <v>17271745</v>
      </c>
    </row>
    <row r="260">
      <c r="A260" t="inlineStr">
        <is>
          <t>ETER3</t>
        </is>
      </c>
      <c r="B260" t="n">
        <v>3.75</v>
      </c>
      <c r="C260" t="n">
        <v>2.28</v>
      </c>
      <c r="D260" t="n">
        <v>4.88</v>
      </c>
      <c r="E260" t="n">
        <v>0.28</v>
      </c>
      <c r="F260" t="n">
        <v>0.17</v>
      </c>
      <c r="G260" t="n">
        <v>20.27</v>
      </c>
      <c r="H260" t="n">
        <v>4.88</v>
      </c>
      <c r="I260" t="n">
        <v>4.21</v>
      </c>
      <c r="J260" t="n">
        <v>4.2</v>
      </c>
      <c r="K260" t="n">
        <v>6.45</v>
      </c>
      <c r="L260" t="n">
        <v>2.26</v>
      </c>
      <c r="M260" t="n">
        <v>0.15</v>
      </c>
      <c r="N260" t="n">
        <v>0.21</v>
      </c>
      <c r="O260" t="n">
        <v>1.41</v>
      </c>
      <c r="P260" t="n">
        <v>-0.27</v>
      </c>
      <c r="Q260" t="n">
        <v>1.45</v>
      </c>
      <c r="R260" t="n">
        <v>5.72</v>
      </c>
      <c r="S260" t="n">
        <v>3.4</v>
      </c>
      <c r="T260" t="n">
        <v>4.64</v>
      </c>
      <c r="U260" t="n">
        <v>0.6</v>
      </c>
      <c r="V260" t="n">
        <v>0.4</v>
      </c>
      <c r="W260" t="n">
        <v>0.8100000000000001</v>
      </c>
      <c r="X260" t="n">
        <v>10.97</v>
      </c>
      <c r="Y260" t="n">
        <v>-21.45</v>
      </c>
      <c r="Z260" t="n">
        <v>193553.86</v>
      </c>
      <c r="AA260" t="n">
        <v>13.45</v>
      </c>
      <c r="AB260" t="n">
        <v>0.77</v>
      </c>
      <c r="AC260" t="n">
        <v>0.07000000000000001</v>
      </c>
      <c r="AD260" t="n">
        <v>231044390.5</v>
      </c>
    </row>
    <row r="261">
      <c r="A261" t="inlineStr">
        <is>
          <t>EUCA3</t>
        </is>
      </c>
      <c r="B261" t="n">
        <v>22.16</v>
      </c>
      <c r="C261" t="n">
        <v>4.61</v>
      </c>
      <c r="D261" t="n">
        <v>5.01</v>
      </c>
      <c r="E261" t="n">
        <v>0.7</v>
      </c>
      <c r="F261" t="n">
        <v>0.4</v>
      </c>
      <c r="G261" t="n">
        <v>36.99</v>
      </c>
      <c r="H261" t="n">
        <v>19.52</v>
      </c>
      <c r="I261" t="n">
        <v>13.03</v>
      </c>
      <c r="J261" t="n">
        <v>3.35</v>
      </c>
      <c r="K261" t="n">
        <v>4.2</v>
      </c>
      <c r="L261" t="n">
        <v>0.86</v>
      </c>
      <c r="M261" t="n">
        <v>0.18</v>
      </c>
      <c r="N261" t="n">
        <v>0.65</v>
      </c>
      <c r="O261" t="n">
        <v>1.74</v>
      </c>
      <c r="P261" t="n">
        <v>-0.66</v>
      </c>
      <c r="Q261" t="n">
        <v>2.38</v>
      </c>
      <c r="R261" t="n">
        <v>13.91</v>
      </c>
      <c r="S261" t="n">
        <v>7.99</v>
      </c>
      <c r="T261" t="n">
        <v>12.97</v>
      </c>
      <c r="U261" t="n">
        <v>0.57</v>
      </c>
      <c r="V261" t="n">
        <v>0.43</v>
      </c>
      <c r="W261" t="n">
        <v>0.61</v>
      </c>
      <c r="X261" t="n">
        <v>11.55</v>
      </c>
      <c r="Y261" t="n">
        <v>23.22</v>
      </c>
      <c r="Z261" t="n">
        <v>4518.35</v>
      </c>
      <c r="AA261" t="n">
        <v>31.79</v>
      </c>
      <c r="AB261" t="n">
        <v>4.42</v>
      </c>
      <c r="AC261" t="n">
        <v>0.07000000000000001</v>
      </c>
      <c r="AD261" t="n">
        <v>2052442712.96</v>
      </c>
    </row>
    <row r="262">
      <c r="A262" t="inlineStr">
        <is>
          <t>EUCA4</t>
        </is>
      </c>
      <c r="B262" t="n">
        <v>22.22</v>
      </c>
      <c r="C262" t="n">
        <v>5.05</v>
      </c>
      <c r="D262" t="n">
        <v>5.03</v>
      </c>
      <c r="E262" t="n">
        <v>0.7</v>
      </c>
      <c r="F262" t="n">
        <v>0.4</v>
      </c>
      <c r="G262" t="n">
        <v>36.99</v>
      </c>
      <c r="H262" t="n">
        <v>19.52</v>
      </c>
      <c r="I262" t="n">
        <v>13.03</v>
      </c>
      <c r="J262" t="n">
        <v>3.36</v>
      </c>
      <c r="K262" t="n">
        <v>4.2</v>
      </c>
      <c r="L262" t="n">
        <v>0.86</v>
      </c>
      <c r="M262" t="n">
        <v>0.18</v>
      </c>
      <c r="N262" t="n">
        <v>0.66</v>
      </c>
      <c r="O262" t="n">
        <v>1.75</v>
      </c>
      <c r="P262" t="n">
        <v>-0.67</v>
      </c>
      <c r="Q262" t="n">
        <v>2.38</v>
      </c>
      <c r="R262" t="n">
        <v>13.91</v>
      </c>
      <c r="S262" t="n">
        <v>7.99</v>
      </c>
      <c r="T262" t="n">
        <v>12.97</v>
      </c>
      <c r="U262" t="n">
        <v>0.57</v>
      </c>
      <c r="V262" t="n">
        <v>0.43</v>
      </c>
      <c r="W262" t="n">
        <v>0.61</v>
      </c>
      <c r="X262" t="n">
        <v>11.55</v>
      </c>
      <c r="Y262" t="n">
        <v>23.22</v>
      </c>
      <c r="Z262" t="n">
        <v>1650076.64</v>
      </c>
      <c r="AA262" t="n">
        <v>31.79</v>
      </c>
      <c r="AB262" t="n">
        <v>4.42</v>
      </c>
      <c r="AC262" t="n">
        <v>0.07000000000000001</v>
      </c>
      <c r="AD262" t="n">
        <v>2052442712.96</v>
      </c>
    </row>
    <row r="263">
      <c r="A263" t="inlineStr">
        <is>
          <t>EVEN3</t>
        </is>
      </c>
      <c r="B263" t="n">
        <v>4.81</v>
      </c>
      <c r="C263" t="n">
        <v>19.01</v>
      </c>
      <c r="D263" t="n">
        <v>4.46</v>
      </c>
      <c r="E263" t="n">
        <v>0.5</v>
      </c>
      <c r="F263" t="n">
        <v>0.18</v>
      </c>
      <c r="G263" t="n">
        <v>27.52</v>
      </c>
      <c r="H263" t="n">
        <v>11.99</v>
      </c>
      <c r="I263" t="n">
        <v>11.31</v>
      </c>
      <c r="J263" t="n">
        <v>4.2</v>
      </c>
      <c r="K263" t="n">
        <v>6.69</v>
      </c>
      <c r="L263" t="n">
        <v>2.49</v>
      </c>
      <c r="M263" t="n">
        <v>0.3</v>
      </c>
      <c r="N263" t="n">
        <v>0.5</v>
      </c>
      <c r="O263" t="n">
        <v>0.32</v>
      </c>
      <c r="P263" t="n">
        <v>-0.68</v>
      </c>
      <c r="Q263" t="n">
        <v>4.53</v>
      </c>
      <c r="R263" t="n">
        <v>11.22</v>
      </c>
      <c r="S263" t="n">
        <v>4.09</v>
      </c>
      <c r="T263" t="n">
        <v>4.64</v>
      </c>
      <c r="U263" t="n">
        <v>0.36</v>
      </c>
      <c r="V263" t="n">
        <v>0.5600000000000001</v>
      </c>
      <c r="W263" t="n">
        <v>0.36</v>
      </c>
      <c r="X263" t="n">
        <v>2.82</v>
      </c>
      <c r="Y263" t="n">
        <v>71.25</v>
      </c>
      <c r="Z263" t="n">
        <v>3911897.5</v>
      </c>
      <c r="AA263" t="n">
        <v>9.640000000000001</v>
      </c>
      <c r="AB263" t="n">
        <v>1.08</v>
      </c>
      <c r="AC263" t="n">
        <v>0.01</v>
      </c>
      <c r="AD263" t="n">
        <v>964000000</v>
      </c>
    </row>
    <row r="264">
      <c r="A264" t="inlineStr">
        <is>
          <t>EZTC3</t>
        </is>
      </c>
      <c r="B264" t="n">
        <v>11.18</v>
      </c>
      <c r="C264" t="n">
        <v>12.66</v>
      </c>
      <c r="D264" t="n">
        <v>5.53</v>
      </c>
      <c r="E264" t="n">
        <v>0.6</v>
      </c>
      <c r="F264" t="n">
        <v>0.42</v>
      </c>
      <c r="G264" t="n">
        <v>41.51</v>
      </c>
      <c r="H264" t="n">
        <v>30.21</v>
      </c>
      <c r="I264" t="n">
        <v>37.12</v>
      </c>
      <c r="J264" t="n">
        <v>6.8</v>
      </c>
      <c r="K264" t="n">
        <v>6.78</v>
      </c>
      <c r="L264" t="n">
        <v>-0.02</v>
      </c>
      <c r="M264" t="n">
        <v>0</v>
      </c>
      <c r="N264" t="n">
        <v>2.05</v>
      </c>
      <c r="O264" t="n">
        <v>1.05</v>
      </c>
      <c r="P264" t="n">
        <v>-0.78</v>
      </c>
      <c r="Q264" t="n">
        <v>8.52</v>
      </c>
      <c r="R264" t="n">
        <v>10.89</v>
      </c>
      <c r="S264" t="n">
        <v>7.64</v>
      </c>
      <c r="T264" t="n">
        <v>5.59</v>
      </c>
      <c r="U264" t="n">
        <v>0.7</v>
      </c>
      <c r="V264" t="n">
        <v>0.29</v>
      </c>
      <c r="W264" t="n">
        <v>0.21</v>
      </c>
      <c r="X264" t="n">
        <v>9.859999999999999</v>
      </c>
      <c r="Y264" t="n">
        <v>6.71</v>
      </c>
      <c r="Z264" t="n">
        <v>17944030.41</v>
      </c>
      <c r="AA264" t="n">
        <v>18.57</v>
      </c>
      <c r="AB264" t="n">
        <v>2.02</v>
      </c>
      <c r="AC264" t="n">
        <v>0.21</v>
      </c>
      <c r="AD264" t="n">
        <v>3098100331.59</v>
      </c>
    </row>
    <row r="265">
      <c r="A265" t="inlineStr">
        <is>
          <t>FBMC3</t>
        </is>
      </c>
      <c r="B265" t="n">
        <v>0</v>
      </c>
      <c r="D265" t="n">
        <v>0</v>
      </c>
      <c r="E265" t="n">
        <v>0</v>
      </c>
      <c r="F265" t="n">
        <v>0</v>
      </c>
      <c r="G265" t="n">
        <v>-60.76</v>
      </c>
      <c r="H265" t="n">
        <v>-92.67</v>
      </c>
      <c r="I265" t="n">
        <v>-101.97</v>
      </c>
      <c r="J265" t="n">
        <v>0</v>
      </c>
      <c r="K265" t="n">
        <v>-0.74</v>
      </c>
      <c r="L265" t="n">
        <v>-0.67</v>
      </c>
      <c r="N265" t="n">
        <v>0</v>
      </c>
      <c r="O265" t="n">
        <v>0</v>
      </c>
      <c r="P265" t="n">
        <v>0</v>
      </c>
      <c r="Q265" t="n">
        <v>0.31</v>
      </c>
      <c r="R265" t="n">
        <v>-24.19</v>
      </c>
      <c r="S265" t="n">
        <v>-36.57</v>
      </c>
      <c r="T265" t="n">
        <v>25.82</v>
      </c>
      <c r="U265" t="n">
        <v>-1.51</v>
      </c>
      <c r="V265" t="n">
        <v>2.51</v>
      </c>
      <c r="W265" t="n">
        <v>0.36</v>
      </c>
      <c r="X265" t="n">
        <v>-18.14</v>
      </c>
      <c r="AA265" t="n">
        <v>-87.48</v>
      </c>
      <c r="AB265" t="n">
        <v>-21.16</v>
      </c>
      <c r="AC265" t="n">
        <v>0</v>
      </c>
      <c r="AD265" t="n">
        <v>904253.84</v>
      </c>
    </row>
    <row r="266">
      <c r="A266" t="inlineStr">
        <is>
          <t>FBMC4</t>
        </is>
      </c>
      <c r="B266" t="n">
        <v>1.96</v>
      </c>
      <c r="D266" t="n">
        <v>-0.09</v>
      </c>
      <c r="E266" t="n">
        <v>-0.02</v>
      </c>
      <c r="F266" t="n">
        <v>0.03</v>
      </c>
      <c r="G266" t="n">
        <v>-60.76</v>
      </c>
      <c r="H266" t="n">
        <v>-92.67</v>
      </c>
      <c r="I266" t="n">
        <v>-101.97</v>
      </c>
      <c r="J266" t="n">
        <v>-0.1</v>
      </c>
      <c r="K266" t="n">
        <v>-0.74</v>
      </c>
      <c r="L266" t="n">
        <v>-0.67</v>
      </c>
      <c r="N266" t="n">
        <v>0.09</v>
      </c>
      <c r="O266" t="n">
        <v>-0.04</v>
      </c>
      <c r="P266" t="n">
        <v>-0.05</v>
      </c>
      <c r="Q266" t="n">
        <v>0.31</v>
      </c>
      <c r="R266" t="n">
        <v>-24.19</v>
      </c>
      <c r="S266" t="n">
        <v>-36.57</v>
      </c>
      <c r="T266" t="n">
        <v>25.82</v>
      </c>
      <c r="U266" t="n">
        <v>-1.51</v>
      </c>
      <c r="V266" t="n">
        <v>2.51</v>
      </c>
      <c r="W266" t="n">
        <v>0.36</v>
      </c>
      <c r="X266" t="n">
        <v>-18.14</v>
      </c>
      <c r="AA266" t="n">
        <v>-87.48</v>
      </c>
      <c r="AB266" t="n">
        <v>-21.16</v>
      </c>
      <c r="AC266" t="n">
        <v>0</v>
      </c>
      <c r="AD266" t="n">
        <v>904253.84</v>
      </c>
    </row>
    <row r="267">
      <c r="A267" t="inlineStr">
        <is>
          <t>FESA3</t>
        </is>
      </c>
      <c r="B267" t="n">
        <v>10.1</v>
      </c>
      <c r="C267" t="n">
        <v>6.32</v>
      </c>
      <c r="D267" t="n">
        <v>22.06</v>
      </c>
      <c r="E267" t="n">
        <v>1.09</v>
      </c>
      <c r="F267" t="n">
        <v>0.8100000000000001</v>
      </c>
      <c r="G267" t="n">
        <v>16.79</v>
      </c>
      <c r="H267" t="n">
        <v>1.4</v>
      </c>
      <c r="I267" t="n">
        <v>7.06</v>
      </c>
      <c r="J267" t="n">
        <v>111.14</v>
      </c>
      <c r="K267" t="n">
        <v>60.78</v>
      </c>
      <c r="L267" t="n">
        <v>-19.91</v>
      </c>
      <c r="M267" t="n">
        <v>-0.19</v>
      </c>
      <c r="N267" t="n">
        <v>1.56</v>
      </c>
      <c r="O267" t="n">
        <v>2.92</v>
      </c>
      <c r="P267" t="n">
        <v>-1.34</v>
      </c>
      <c r="Q267" t="n">
        <v>3.27</v>
      </c>
      <c r="R267" t="n">
        <v>4.93</v>
      </c>
      <c r="S267" t="n">
        <v>3.66</v>
      </c>
      <c r="T267" t="n">
        <v>-0.51</v>
      </c>
      <c r="U267" t="n">
        <v>0.74</v>
      </c>
      <c r="V267" t="n">
        <v>0.26</v>
      </c>
      <c r="W267" t="n">
        <v>0.52</v>
      </c>
      <c r="X267" t="n">
        <v>7.55</v>
      </c>
      <c r="Y267" t="n">
        <v>18.3</v>
      </c>
      <c r="Z267" t="n">
        <v>4527.14</v>
      </c>
      <c r="AA267" t="n">
        <v>9.289999999999999</v>
      </c>
      <c r="AB267" t="n">
        <v>0.46</v>
      </c>
      <c r="AC267" t="n">
        <v>-0.46</v>
      </c>
      <c r="AD267" t="n">
        <v>2589950000</v>
      </c>
    </row>
    <row r="268">
      <c r="A268" t="inlineStr">
        <is>
          <t>FESA4</t>
        </is>
      </c>
      <c r="B268" t="n">
        <v>5.95</v>
      </c>
      <c r="C268" t="n">
        <v>11.8</v>
      </c>
      <c r="D268" t="n">
        <v>13</v>
      </c>
      <c r="E268" t="n">
        <v>0.64</v>
      </c>
      <c r="F268" t="n">
        <v>0.48</v>
      </c>
      <c r="G268" t="n">
        <v>16.79</v>
      </c>
      <c r="H268" t="n">
        <v>1.4</v>
      </c>
      <c r="I268" t="n">
        <v>7.06</v>
      </c>
      <c r="J268" t="n">
        <v>65.47</v>
      </c>
      <c r="K268" t="n">
        <v>60.78</v>
      </c>
      <c r="L268" t="n">
        <v>-19.91</v>
      </c>
      <c r="M268" t="n">
        <v>-0.19</v>
      </c>
      <c r="N268" t="n">
        <v>0.92</v>
      </c>
      <c r="O268" t="n">
        <v>1.72</v>
      </c>
      <c r="P268" t="n">
        <v>-0.79</v>
      </c>
      <c r="Q268" t="n">
        <v>3.27</v>
      </c>
      <c r="R268" t="n">
        <v>4.93</v>
      </c>
      <c r="S268" t="n">
        <v>3.66</v>
      </c>
      <c r="T268" t="n">
        <v>-0.51</v>
      </c>
      <c r="U268" t="n">
        <v>0.74</v>
      </c>
      <c r="V268" t="n">
        <v>0.26</v>
      </c>
      <c r="W268" t="n">
        <v>0.52</v>
      </c>
      <c r="X268" t="n">
        <v>7.55</v>
      </c>
      <c r="Y268" t="n">
        <v>18.3</v>
      </c>
      <c r="Z268" t="n">
        <v>3629538.5</v>
      </c>
      <c r="AA268" t="n">
        <v>9.289999999999999</v>
      </c>
      <c r="AB268" t="n">
        <v>0.46</v>
      </c>
      <c r="AC268" t="n">
        <v>-0.27</v>
      </c>
      <c r="AD268" t="n">
        <v>2589950000</v>
      </c>
    </row>
    <row r="269">
      <c r="A269" t="inlineStr">
        <is>
          <t>FHER3</t>
        </is>
      </c>
      <c r="B269" t="n">
        <v>3.53</v>
      </c>
      <c r="D269" t="n">
        <v>-0.88</v>
      </c>
      <c r="E269" t="n">
        <v>-0.15</v>
      </c>
      <c r="F269" t="n">
        <v>0.1</v>
      </c>
      <c r="G269" t="n">
        <v>-0.98</v>
      </c>
      <c r="H269" t="n">
        <v>-7.41</v>
      </c>
      <c r="I269" t="n">
        <v>-5.85</v>
      </c>
      <c r="J269" t="n">
        <v>-0.6899999999999999</v>
      </c>
      <c r="K269" t="n">
        <v>-0.33</v>
      </c>
      <c r="L269" t="n">
        <v>0.36</v>
      </c>
      <c r="N269" t="n">
        <v>0.05</v>
      </c>
      <c r="O269" t="n">
        <v>-0.41</v>
      </c>
      <c r="P269" t="n">
        <v>-0.22</v>
      </c>
      <c r="Q269" t="n">
        <v>0.68</v>
      </c>
      <c r="R269" t="n">
        <v>-16.65</v>
      </c>
      <c r="S269" t="n">
        <v>-11.89</v>
      </c>
      <c r="T269" t="n">
        <v>25.94</v>
      </c>
      <c r="U269" t="n">
        <v>-0.71</v>
      </c>
      <c r="V269" t="n">
        <v>1.71</v>
      </c>
      <c r="W269" t="n">
        <v>2.03</v>
      </c>
      <c r="X269" t="n">
        <v>13.08</v>
      </c>
      <c r="Z269" t="n">
        <v>7283.18</v>
      </c>
      <c r="AA269" t="n">
        <v>-24.23</v>
      </c>
      <c r="AB269" t="n">
        <v>-4.03</v>
      </c>
      <c r="AC269" t="n">
        <v>0.01</v>
      </c>
      <c r="AD269" t="n">
        <v>190116212.52</v>
      </c>
    </row>
    <row r="270">
      <c r="A270" t="inlineStr">
        <is>
          <t>FICT3</t>
        </is>
      </c>
      <c r="B270" t="n">
        <v>0.2</v>
      </c>
      <c r="D270" t="n">
        <v>-0.37</v>
      </c>
      <c r="E270" t="n">
        <v>0.23</v>
      </c>
      <c r="F270" t="n">
        <v>0.11</v>
      </c>
      <c r="G270" t="n">
        <v>-3.58</v>
      </c>
      <c r="H270" t="n">
        <v>-29.84</v>
      </c>
      <c r="I270" t="n">
        <v>-30.38</v>
      </c>
      <c r="J270" t="n">
        <v>-0.38</v>
      </c>
      <c r="K270" t="n">
        <v>-0.93</v>
      </c>
      <c r="L270" t="n">
        <v>-0.55</v>
      </c>
      <c r="M270" t="n">
        <v>0.32</v>
      </c>
      <c r="N270" t="n">
        <v>0.11</v>
      </c>
      <c r="O270" t="n">
        <v>0.61</v>
      </c>
      <c r="P270" t="n">
        <v>-0.28</v>
      </c>
      <c r="Q270" t="n">
        <v>1.39</v>
      </c>
      <c r="R270" t="n">
        <v>-60.26</v>
      </c>
      <c r="S270" t="n">
        <v>-28.63</v>
      </c>
      <c r="T270" t="n">
        <v>-44.14</v>
      </c>
      <c r="U270" t="n">
        <v>0.48</v>
      </c>
      <c r="V270" t="n">
        <v>0.52</v>
      </c>
      <c r="W270" t="n">
        <v>0.9399999999999999</v>
      </c>
      <c r="X270" t="n">
        <v>20.13</v>
      </c>
      <c r="Z270" t="n">
        <v>4702.45</v>
      </c>
      <c r="AA270" t="n">
        <v>0.89</v>
      </c>
      <c r="AB270" t="n">
        <v>-0.53</v>
      </c>
      <c r="AC270" t="n">
        <v>0</v>
      </c>
      <c r="AD270" t="n">
        <v>8772441</v>
      </c>
    </row>
    <row r="271">
      <c r="A271" t="inlineStr">
        <is>
          <t>FIEI3</t>
        </is>
      </c>
      <c r="B271" t="n">
        <v>9.390000000000001</v>
      </c>
      <c r="D271" t="n">
        <v>-2.82</v>
      </c>
      <c r="E271" t="n">
        <v>0.32</v>
      </c>
      <c r="F271" t="n">
        <v>0.21</v>
      </c>
      <c r="G271" t="n">
        <v>129</v>
      </c>
      <c r="H271" t="n">
        <v>4635</v>
      </c>
      <c r="I271" t="n">
        <v>8052</v>
      </c>
      <c r="J271" t="n">
        <v>-4.91</v>
      </c>
      <c r="K271" t="n">
        <v>-9.130000000000001</v>
      </c>
      <c r="L271" t="n">
        <v>-4.22</v>
      </c>
      <c r="M271" t="n">
        <v>0.28</v>
      </c>
      <c r="O271" t="n">
        <v>4.49</v>
      </c>
      <c r="P271" t="n">
        <v>-0.27</v>
      </c>
      <c r="Q271" t="n">
        <v>1.26</v>
      </c>
      <c r="R271" t="n">
        <v>-11.49</v>
      </c>
      <c r="S271" t="n">
        <v>-7.35</v>
      </c>
      <c r="T271" t="n">
        <v>-5</v>
      </c>
      <c r="U271" t="n">
        <v>0.64</v>
      </c>
      <c r="V271" t="n">
        <v>0.36</v>
      </c>
      <c r="W271" t="n">
        <v>0</v>
      </c>
      <c r="Z271" t="n">
        <v>6675</v>
      </c>
      <c r="AA271" t="n">
        <v>28.92</v>
      </c>
      <c r="AB271" t="n">
        <v>-3.32</v>
      </c>
      <c r="AC271" t="n">
        <v>0</v>
      </c>
      <c r="AD271" t="n">
        <v>22744016.67</v>
      </c>
    </row>
    <row r="272">
      <c r="A272" t="inlineStr">
        <is>
          <t>FIGE3</t>
        </is>
      </c>
      <c r="B272" t="n">
        <v>33</v>
      </c>
      <c r="D272" t="n">
        <v>4.83</v>
      </c>
      <c r="E272" t="n">
        <v>0.41</v>
      </c>
      <c r="F272" t="n">
        <v>0.4</v>
      </c>
      <c r="G272" t="n">
        <v>100</v>
      </c>
      <c r="H272" t="n">
        <v>94.09999999999999</v>
      </c>
      <c r="I272" t="n">
        <v>62.34</v>
      </c>
      <c r="J272" t="n">
        <v>3.2</v>
      </c>
      <c r="K272" t="n">
        <v>1.07</v>
      </c>
      <c r="N272" t="n">
        <v>3.01</v>
      </c>
      <c r="O272" t="n">
        <v>39004.94</v>
      </c>
      <c r="P272" t="n">
        <v>-0.4</v>
      </c>
      <c r="R272" t="n">
        <v>8.460000000000001</v>
      </c>
      <c r="S272" t="n">
        <v>8.31</v>
      </c>
      <c r="U272" t="n">
        <v>0.98</v>
      </c>
      <c r="V272" t="n">
        <v>0.02</v>
      </c>
      <c r="W272" t="n">
        <v>0.13</v>
      </c>
      <c r="X272" t="n">
        <v>31.76</v>
      </c>
      <c r="Y272" t="n">
        <v>36.54</v>
      </c>
      <c r="Z272" t="n">
        <v>0</v>
      </c>
      <c r="AA272" t="n">
        <v>80.7</v>
      </c>
      <c r="AB272" t="n">
        <v>6.83</v>
      </c>
      <c r="AC272" t="n">
        <v>0.15</v>
      </c>
      <c r="AD272" t="n">
        <v>26140092</v>
      </c>
    </row>
    <row r="273">
      <c r="A273" t="inlineStr">
        <is>
          <t>FIGE4</t>
        </is>
      </c>
      <c r="B273" t="n">
        <v>0</v>
      </c>
      <c r="D273" t="n">
        <v>0</v>
      </c>
      <c r="E273" t="n">
        <v>0</v>
      </c>
      <c r="F273" t="n">
        <v>0</v>
      </c>
      <c r="G273" t="n">
        <v>100</v>
      </c>
      <c r="H273" t="n">
        <v>94.09999999999999</v>
      </c>
      <c r="I273" t="n">
        <v>62.34</v>
      </c>
      <c r="J273" t="n">
        <v>0</v>
      </c>
      <c r="K273" t="n">
        <v>1.07</v>
      </c>
      <c r="N273" t="n">
        <v>0</v>
      </c>
      <c r="O273" t="n">
        <v>0</v>
      </c>
      <c r="P273" t="n">
        <v>0</v>
      </c>
      <c r="R273" t="n">
        <v>8.460000000000001</v>
      </c>
      <c r="S273" t="n">
        <v>8.31</v>
      </c>
      <c r="U273" t="n">
        <v>0.98</v>
      </c>
      <c r="V273" t="n">
        <v>0.02</v>
      </c>
      <c r="W273" t="n">
        <v>0.13</v>
      </c>
      <c r="X273" t="n">
        <v>31.76</v>
      </c>
      <c r="Y273" t="n">
        <v>36.54</v>
      </c>
      <c r="AA273" t="n">
        <v>80.7</v>
      </c>
      <c r="AB273" t="n">
        <v>6.83</v>
      </c>
      <c r="AC273" t="n">
        <v>0</v>
      </c>
      <c r="AD273" t="n">
        <v>26140092</v>
      </c>
    </row>
    <row r="274">
      <c r="A274" t="inlineStr">
        <is>
          <t>FIQE3</t>
        </is>
      </c>
      <c r="B274" t="n">
        <v>5.31</v>
      </c>
      <c r="C274" t="n">
        <v>14.04</v>
      </c>
      <c r="D274" t="n">
        <v>9.51</v>
      </c>
      <c r="E274" t="n">
        <v>1.81</v>
      </c>
      <c r="F274" t="n">
        <v>0.7</v>
      </c>
      <c r="G274" t="n">
        <v>51.33</v>
      </c>
      <c r="H274" t="n">
        <v>28.14</v>
      </c>
      <c r="I274" t="n">
        <v>17.91</v>
      </c>
      <c r="J274" t="n">
        <v>6.05</v>
      </c>
      <c r="K274" t="n">
        <v>6.97</v>
      </c>
      <c r="L274" t="n">
        <v>0.91</v>
      </c>
      <c r="M274" t="n">
        <v>0.27</v>
      </c>
      <c r="N274" t="n">
        <v>1.7</v>
      </c>
      <c r="O274" t="n">
        <v>4.62</v>
      </c>
      <c r="P274" t="n">
        <v>-1.02</v>
      </c>
      <c r="Q274" t="n">
        <v>1.91</v>
      </c>
      <c r="R274" t="n">
        <v>19.07</v>
      </c>
      <c r="S274" t="n">
        <v>7.35</v>
      </c>
      <c r="T274" t="n">
        <v>8.220000000000001</v>
      </c>
      <c r="U274" t="n">
        <v>0.39</v>
      </c>
      <c r="V274" t="n">
        <v>0.61</v>
      </c>
      <c r="W274" t="n">
        <v>0.41</v>
      </c>
      <c r="X274" t="n">
        <v>32.89</v>
      </c>
      <c r="Y274" t="n">
        <v>34.61</v>
      </c>
      <c r="Z274" t="n">
        <v>4675798.77</v>
      </c>
      <c r="AA274" t="n">
        <v>2.93</v>
      </c>
      <c r="AB274" t="n">
        <v>0.5600000000000001</v>
      </c>
      <c r="AC274" t="n">
        <v>0.34</v>
      </c>
      <c r="AD274" t="n">
        <v>2123140956.72</v>
      </c>
    </row>
    <row r="275">
      <c r="A275" t="inlineStr">
        <is>
          <t>FLEX3</t>
        </is>
      </c>
      <c r="B275" t="n">
        <v>0</v>
      </c>
      <c r="D275" t="n">
        <v>0</v>
      </c>
      <c r="E275" t="n">
        <v>0</v>
      </c>
      <c r="F275" t="n">
        <v>0</v>
      </c>
      <c r="G275" t="n">
        <v>19.49</v>
      </c>
      <c r="H275" t="n">
        <v>-100.31</v>
      </c>
      <c r="I275" t="n">
        <v>-141.8</v>
      </c>
      <c r="J275" t="n">
        <v>0</v>
      </c>
      <c r="K275" t="n">
        <v>-0.43</v>
      </c>
      <c r="L275" t="n">
        <v>-0.43</v>
      </c>
      <c r="N275" t="n">
        <v>0</v>
      </c>
      <c r="O275" t="n">
        <v>0</v>
      </c>
      <c r="P275" t="n">
        <v>0</v>
      </c>
      <c r="Q275" t="n">
        <v>0.11</v>
      </c>
      <c r="R275" t="n">
        <v>-81</v>
      </c>
      <c r="S275" t="n">
        <v>-290.31</v>
      </c>
      <c r="T275" t="n">
        <v>83.68000000000001</v>
      </c>
      <c r="U275" t="n">
        <v>-3.58</v>
      </c>
      <c r="V275" t="n">
        <v>4.58</v>
      </c>
      <c r="W275" t="n">
        <v>2.05</v>
      </c>
      <c r="X275" t="n">
        <v>-5.08</v>
      </c>
      <c r="AA275" t="n">
        <v>-132.45</v>
      </c>
      <c r="AB275" t="n">
        <v>-107.28</v>
      </c>
      <c r="AC275" t="n">
        <v>0</v>
      </c>
      <c r="AD275" t="n">
        <v>0</v>
      </c>
    </row>
    <row r="276">
      <c r="A276" t="inlineStr">
        <is>
          <t>FLRY3</t>
        </is>
      </c>
      <c r="B276" t="n">
        <v>16.79</v>
      </c>
      <c r="C276" t="n">
        <v>6.43</v>
      </c>
      <c r="D276" t="n">
        <v>14.47</v>
      </c>
      <c r="E276" t="n">
        <v>1.77</v>
      </c>
      <c r="F276" t="n">
        <v>0.6899999999999999</v>
      </c>
      <c r="G276" t="n">
        <v>26.61</v>
      </c>
      <c r="H276" t="n">
        <v>14.77</v>
      </c>
      <c r="I276" t="n">
        <v>7.47</v>
      </c>
      <c r="J276" t="n">
        <v>7.32</v>
      </c>
      <c r="K276" t="n">
        <v>9.880000000000001</v>
      </c>
      <c r="L276" t="n">
        <v>2.55</v>
      </c>
      <c r="M276" t="n">
        <v>0.62</v>
      </c>
      <c r="N276" t="n">
        <v>1.08</v>
      </c>
      <c r="O276" t="n">
        <v>3.71</v>
      </c>
      <c r="P276" t="n">
        <v>-1.06</v>
      </c>
      <c r="Q276" t="n">
        <v>2.14</v>
      </c>
      <c r="R276" t="n">
        <v>12.25</v>
      </c>
      <c r="S276" t="n">
        <v>4.76</v>
      </c>
      <c r="T276" t="n">
        <v>10.28</v>
      </c>
      <c r="U276" t="n">
        <v>0.39</v>
      </c>
      <c r="V276" t="n">
        <v>0.6</v>
      </c>
      <c r="W276" t="n">
        <v>0.64</v>
      </c>
      <c r="X276" t="n">
        <v>22.78</v>
      </c>
      <c r="Y276" t="n">
        <v>19.83</v>
      </c>
      <c r="Z276" t="n">
        <v>31373857.82</v>
      </c>
      <c r="AA276" t="n">
        <v>9.470000000000001</v>
      </c>
      <c r="AB276" t="n">
        <v>1.16</v>
      </c>
      <c r="AC276" t="n">
        <v>12.51</v>
      </c>
      <c r="AD276" t="n">
        <v>9203753057.32</v>
      </c>
    </row>
    <row r="277">
      <c r="A277" t="inlineStr">
        <is>
          <t>FNCN3</t>
        </is>
      </c>
      <c r="B277" t="n">
        <v>14.25</v>
      </c>
      <c r="D277" t="n">
        <v>-0.04</v>
      </c>
      <c r="E277" t="n">
        <v>0.03</v>
      </c>
      <c r="F277" t="n">
        <v>0</v>
      </c>
      <c r="G277" t="n">
        <v>-82.62</v>
      </c>
      <c r="H277" t="n">
        <v>-98.66</v>
      </c>
      <c r="I277" t="n">
        <v>-59.2</v>
      </c>
      <c r="J277" t="n">
        <v>-0.02</v>
      </c>
      <c r="K277" t="n">
        <v>-0.02</v>
      </c>
      <c r="N277" t="n">
        <v>0.02</v>
      </c>
      <c r="O277" t="n">
        <v>0.01</v>
      </c>
      <c r="P277" t="n">
        <v>-0.02</v>
      </c>
      <c r="Q277" t="n">
        <v>1.56</v>
      </c>
      <c r="R277" t="n">
        <v>-65.31</v>
      </c>
      <c r="S277" t="n">
        <v>-10.62</v>
      </c>
      <c r="U277" t="n">
        <v>0.16</v>
      </c>
      <c r="V277" t="n">
        <v>0.84</v>
      </c>
      <c r="W277" t="n">
        <v>0.18</v>
      </c>
      <c r="X277" t="n">
        <v>187.45</v>
      </c>
      <c r="AA277" t="n">
        <v>555.08</v>
      </c>
      <c r="AB277" t="n">
        <v>-362.52</v>
      </c>
      <c r="AC277" t="n">
        <v>0</v>
      </c>
      <c r="AD277" t="n">
        <v>13021336.5</v>
      </c>
    </row>
    <row r="278">
      <c r="A278" t="inlineStr">
        <is>
          <t>FRAS3</t>
        </is>
      </c>
      <c r="B278" t="n">
        <v>20.51</v>
      </c>
      <c r="C278" t="n">
        <v>3.03</v>
      </c>
      <c r="D278" t="n">
        <v>22.7</v>
      </c>
      <c r="E278" t="n">
        <v>2.39</v>
      </c>
      <c r="F278" t="n">
        <v>0.82</v>
      </c>
      <c r="G278" t="n">
        <v>32.43</v>
      </c>
      <c r="H278" t="n">
        <v>12.54</v>
      </c>
      <c r="I278" t="n">
        <v>4.68</v>
      </c>
      <c r="J278" t="n">
        <v>8.48</v>
      </c>
      <c r="K278" t="n">
        <v>10.62</v>
      </c>
      <c r="L278" t="n">
        <v>2.13</v>
      </c>
      <c r="M278" t="n">
        <v>0.6</v>
      </c>
      <c r="N278" t="n">
        <v>1.06</v>
      </c>
      <c r="O278" t="n">
        <v>3.04</v>
      </c>
      <c r="P278" t="n">
        <v>-1.59</v>
      </c>
      <c r="Q278" t="n">
        <v>2.29</v>
      </c>
      <c r="R278" t="n">
        <v>10.53</v>
      </c>
      <c r="S278" t="n">
        <v>3.63</v>
      </c>
      <c r="T278" t="n">
        <v>12.35</v>
      </c>
      <c r="U278" t="n">
        <v>0.35</v>
      </c>
      <c r="V278" t="n">
        <v>0.65</v>
      </c>
      <c r="W278" t="n">
        <v>0.78</v>
      </c>
      <c r="X278" t="n">
        <v>26.87</v>
      </c>
      <c r="Y278" t="n">
        <v>6.1</v>
      </c>
      <c r="Z278" t="n">
        <v>5614140.55</v>
      </c>
      <c r="AA278" t="n">
        <v>8.58</v>
      </c>
      <c r="AB278" t="n">
        <v>0.9</v>
      </c>
      <c r="AC278" t="n">
        <v>-1</v>
      </c>
      <c r="AD278" t="n">
        <v>5760886120.05</v>
      </c>
    </row>
    <row r="279">
      <c r="A279" t="inlineStr">
        <is>
          <t>FRIO3</t>
        </is>
      </c>
      <c r="B279" t="n">
        <v>205</v>
      </c>
      <c r="D279" t="n">
        <v>22.15</v>
      </c>
      <c r="E279" t="n">
        <v>3.35</v>
      </c>
      <c r="F279" t="n">
        <v>0.66</v>
      </c>
      <c r="G279" t="n">
        <v>18.19</v>
      </c>
      <c r="H279" t="n">
        <v>8.98</v>
      </c>
      <c r="I279" t="n">
        <v>2.39</v>
      </c>
      <c r="J279" t="n">
        <v>5.91</v>
      </c>
      <c r="K279" t="n">
        <v>9.16</v>
      </c>
      <c r="L279" t="n">
        <v>3.25</v>
      </c>
      <c r="M279" t="n">
        <v>1.84</v>
      </c>
      <c r="N279" t="n">
        <v>0.53</v>
      </c>
      <c r="O279" t="n">
        <v>13.68</v>
      </c>
      <c r="P279" t="n">
        <v>-2.08</v>
      </c>
      <c r="Q279" t="n">
        <v>1.08</v>
      </c>
      <c r="R279" t="n">
        <v>15.11</v>
      </c>
      <c r="S279" t="n">
        <v>2.96</v>
      </c>
      <c r="T279" t="n">
        <v>17.22</v>
      </c>
      <c r="U279" t="n">
        <v>0.2</v>
      </c>
      <c r="V279" t="n">
        <v>0.77</v>
      </c>
      <c r="W279" t="n">
        <v>1.24</v>
      </c>
      <c r="X279" t="n">
        <v>10.7</v>
      </c>
      <c r="Z279" t="n">
        <v>0</v>
      </c>
      <c r="AA279" t="n">
        <v>61.26</v>
      </c>
      <c r="AB279" t="n">
        <v>9.25</v>
      </c>
      <c r="AC279" t="n">
        <v>-0.06</v>
      </c>
      <c r="AD279" t="n">
        <v>1308387285</v>
      </c>
    </row>
    <row r="280">
      <c r="A280" t="inlineStr">
        <is>
          <t>FRTA3</t>
        </is>
      </c>
      <c r="B280" t="n">
        <v>1.31</v>
      </c>
      <c r="D280" t="n">
        <v>-0.49</v>
      </c>
      <c r="E280" t="n">
        <v>-0.04</v>
      </c>
      <c r="F280" t="n">
        <v>0.09</v>
      </c>
      <c r="G280" t="n">
        <v>16.57</v>
      </c>
      <c r="H280" t="n">
        <v>-16.43</v>
      </c>
      <c r="I280" t="n">
        <v>-72.29000000000001</v>
      </c>
      <c r="J280" t="n">
        <v>-2.17</v>
      </c>
      <c r="K280" t="n">
        <v>-56.86</v>
      </c>
      <c r="L280" t="n">
        <v>-54.68</v>
      </c>
      <c r="N280" t="n">
        <v>0.36</v>
      </c>
      <c r="O280" t="n">
        <v>-0.03</v>
      </c>
      <c r="P280" t="n">
        <v>-0.1</v>
      </c>
      <c r="Q280" t="n">
        <v>0.03</v>
      </c>
      <c r="R280" t="n">
        <v>-7.17</v>
      </c>
      <c r="S280" t="n">
        <v>-17.77</v>
      </c>
      <c r="T280" t="n">
        <v>17.57</v>
      </c>
      <c r="U280" t="n">
        <v>-2.48</v>
      </c>
      <c r="V280" t="n">
        <v>3.48</v>
      </c>
      <c r="W280" t="n">
        <v>0.25</v>
      </c>
      <c r="X280" t="n">
        <v>7.62</v>
      </c>
      <c r="AA280" t="n">
        <v>-36.95</v>
      </c>
      <c r="AB280" t="n">
        <v>-2.65</v>
      </c>
      <c r="AC280" t="n">
        <v>-0.11</v>
      </c>
      <c r="AD280" t="n">
        <v>2690223.86</v>
      </c>
    </row>
    <row r="281">
      <c r="A281" t="inlineStr">
        <is>
          <t>FTRT3B</t>
        </is>
      </c>
      <c r="B281" t="n">
        <v>0</v>
      </c>
      <c r="D281" t="n">
        <v>0</v>
      </c>
      <c r="E281" t="n">
        <v>0</v>
      </c>
      <c r="F281" t="n">
        <v>0</v>
      </c>
      <c r="J281" t="n">
        <v>0</v>
      </c>
      <c r="K281" t="n">
        <v>0</v>
      </c>
      <c r="L281" t="n">
        <v>0</v>
      </c>
      <c r="M281" t="n">
        <v>0</v>
      </c>
      <c r="O281" t="n">
        <v>0</v>
      </c>
      <c r="P281" t="n">
        <v>0</v>
      </c>
      <c r="Q281" t="n">
        <v>0</v>
      </c>
      <c r="R281" t="n">
        <v>-0.95</v>
      </c>
      <c r="S281" t="n">
        <v>-0.9</v>
      </c>
      <c r="T281" t="n">
        <v>-2.42</v>
      </c>
      <c r="U281" t="n">
        <v>0.95</v>
      </c>
      <c r="V281" t="n">
        <v>0.05</v>
      </c>
      <c r="W281" t="n">
        <v>0</v>
      </c>
      <c r="AA281" t="n">
        <v>0.01</v>
      </c>
      <c r="AB281" t="n">
        <v>0</v>
      </c>
      <c r="AC281" t="n">
        <v>0</v>
      </c>
      <c r="AD281" t="n">
        <v>0</v>
      </c>
    </row>
    <row r="282">
      <c r="A282" t="inlineStr">
        <is>
          <t>G2DI33</t>
        </is>
      </c>
      <c r="B282" t="n">
        <v>1.13</v>
      </c>
      <c r="D282" t="n">
        <v>-1.19</v>
      </c>
      <c r="E282" t="n">
        <v>0.21</v>
      </c>
      <c r="F282" t="n">
        <v>0.19</v>
      </c>
      <c r="G282" t="n">
        <v>100</v>
      </c>
      <c r="H282" t="n">
        <v>114.25</v>
      </c>
      <c r="I282" t="n">
        <v>121.69</v>
      </c>
      <c r="J282" t="n">
        <v>-1.27</v>
      </c>
      <c r="K282" t="n">
        <v>-1.84</v>
      </c>
      <c r="L282" t="n">
        <v>-0.59</v>
      </c>
      <c r="M282" t="n">
        <v>0.1</v>
      </c>
      <c r="O282" t="n">
        <v>-8.630000000000001</v>
      </c>
      <c r="P282" t="n">
        <v>-0.19</v>
      </c>
      <c r="Q282" t="n">
        <v>0.21</v>
      </c>
      <c r="R282" t="n">
        <v>-17.98</v>
      </c>
      <c r="S282" t="n">
        <v>-16.18</v>
      </c>
      <c r="T282" t="n">
        <v>-15.27</v>
      </c>
      <c r="U282" t="n">
        <v>0.9</v>
      </c>
      <c r="V282" t="n">
        <v>0.1</v>
      </c>
      <c r="W282" t="n">
        <v>-0.13</v>
      </c>
      <c r="Z282" t="n">
        <v>24008.91</v>
      </c>
      <c r="AA282" t="n">
        <v>5.27</v>
      </c>
      <c r="AB282" t="n">
        <v>-0.95</v>
      </c>
      <c r="AC282" t="n">
        <v>-0.01</v>
      </c>
      <c r="AD282" t="n">
        <v>127712590.68</v>
      </c>
    </row>
    <row r="283">
      <c r="A283" t="inlineStr">
        <is>
          <t>GBIO33</t>
        </is>
      </c>
      <c r="B283" t="n">
        <v>10.4</v>
      </c>
      <c r="D283" t="n">
        <v>-14.97</v>
      </c>
      <c r="E283" t="n">
        <v>1.32</v>
      </c>
      <c r="F283" t="n">
        <v>0.79</v>
      </c>
      <c r="G283" t="n">
        <v>43.48</v>
      </c>
      <c r="H283" t="n">
        <v>3.79</v>
      </c>
      <c r="I283" t="n">
        <v>-10.14</v>
      </c>
      <c r="J283" t="n">
        <v>40.09</v>
      </c>
      <c r="K283" t="n">
        <v>47.57</v>
      </c>
      <c r="L283" t="n">
        <v>7.48</v>
      </c>
      <c r="M283" t="n">
        <v>0.25</v>
      </c>
      <c r="N283" t="n">
        <v>1.52</v>
      </c>
      <c r="O283" t="n">
        <v>7.57</v>
      </c>
      <c r="P283" t="n">
        <v>-1.43</v>
      </c>
      <c r="Q283" t="n">
        <v>1.31</v>
      </c>
      <c r="R283" t="n">
        <v>-8.83</v>
      </c>
      <c r="S283" t="n">
        <v>-5.29</v>
      </c>
      <c r="T283" t="n">
        <v>-0.1</v>
      </c>
      <c r="U283" t="n">
        <v>0.6</v>
      </c>
      <c r="V283" t="n">
        <v>0.4</v>
      </c>
      <c r="W283" t="n">
        <v>0.52</v>
      </c>
      <c r="X283" t="n">
        <v>12.83</v>
      </c>
      <c r="AA283" t="n">
        <v>7.86</v>
      </c>
      <c r="AB283" t="n">
        <v>-0.6899999999999999</v>
      </c>
      <c r="AC283" t="n">
        <v>0.06</v>
      </c>
      <c r="AD283" t="n">
        <v>1108871982.4</v>
      </c>
    </row>
    <row r="284">
      <c r="A284" t="inlineStr">
        <is>
          <t>GEPA3</t>
        </is>
      </c>
      <c r="B284" t="n">
        <v>32</v>
      </c>
      <c r="C284" t="n">
        <v>15.97</v>
      </c>
      <c r="D284" t="n">
        <v>9.76</v>
      </c>
      <c r="E284" t="n">
        <v>2.23</v>
      </c>
      <c r="F284" t="n">
        <v>0.73</v>
      </c>
      <c r="G284" t="n">
        <v>43.01</v>
      </c>
      <c r="H284" t="n">
        <v>39.44</v>
      </c>
      <c r="I284" t="n">
        <v>22.28</v>
      </c>
      <c r="J284" t="n">
        <v>5.51</v>
      </c>
      <c r="K284" t="n">
        <v>8.109999999999999</v>
      </c>
      <c r="L284" t="n">
        <v>1.91</v>
      </c>
      <c r="M284" t="n">
        <v>0.77</v>
      </c>
      <c r="N284" t="n">
        <v>2.17</v>
      </c>
      <c r="O284" t="n">
        <v>-2.58</v>
      </c>
      <c r="P284" t="n">
        <v>-0.84</v>
      </c>
      <c r="Q284" t="n">
        <v>0.31</v>
      </c>
      <c r="R284" t="n">
        <v>22.84</v>
      </c>
      <c r="S284" t="n">
        <v>7.52</v>
      </c>
      <c r="T284" t="n">
        <v>12.69</v>
      </c>
      <c r="U284" t="n">
        <v>0.33</v>
      </c>
      <c r="V284" t="n">
        <v>0.67</v>
      </c>
      <c r="W284" t="n">
        <v>0.34</v>
      </c>
      <c r="X284" t="n">
        <v>1.08</v>
      </c>
      <c r="Y284" t="n">
        <v>3.88</v>
      </c>
      <c r="Z284" t="n">
        <v>8634.4</v>
      </c>
      <c r="AA284" t="n">
        <v>14.35</v>
      </c>
      <c r="AB284" t="n">
        <v>3.28</v>
      </c>
      <c r="AC284" t="n">
        <v>0.68</v>
      </c>
      <c r="AD284" t="n">
        <v>3400227743.22</v>
      </c>
    </row>
    <row r="285">
      <c r="A285" t="inlineStr">
        <is>
          <t>GEPA4</t>
        </is>
      </c>
      <c r="B285" t="n">
        <v>38.01</v>
      </c>
      <c r="C285" t="n">
        <v>10.68</v>
      </c>
      <c r="D285" t="n">
        <v>11.59</v>
      </c>
      <c r="E285" t="n">
        <v>2.65</v>
      </c>
      <c r="F285" t="n">
        <v>0.87</v>
      </c>
      <c r="G285" t="n">
        <v>43.01</v>
      </c>
      <c r="H285" t="n">
        <v>39.44</v>
      </c>
      <c r="I285" t="n">
        <v>22.28</v>
      </c>
      <c r="J285" t="n">
        <v>6.55</v>
      </c>
      <c r="K285" t="n">
        <v>8.109999999999999</v>
      </c>
      <c r="L285" t="n">
        <v>1.91</v>
      </c>
      <c r="M285" t="n">
        <v>0.77</v>
      </c>
      <c r="N285" t="n">
        <v>2.58</v>
      </c>
      <c r="O285" t="n">
        <v>-3.06</v>
      </c>
      <c r="P285" t="n">
        <v>-1</v>
      </c>
      <c r="Q285" t="n">
        <v>0.31</v>
      </c>
      <c r="R285" t="n">
        <v>22.84</v>
      </c>
      <c r="S285" t="n">
        <v>7.52</v>
      </c>
      <c r="T285" t="n">
        <v>12.69</v>
      </c>
      <c r="U285" t="n">
        <v>0.33</v>
      </c>
      <c r="V285" t="n">
        <v>0.67</v>
      </c>
      <c r="W285" t="n">
        <v>0.34</v>
      </c>
      <c r="X285" t="n">
        <v>1.08</v>
      </c>
      <c r="Y285" t="n">
        <v>3.88</v>
      </c>
      <c r="Z285" t="n">
        <v>13968.16</v>
      </c>
      <c r="AA285" t="n">
        <v>14.35</v>
      </c>
      <c r="AB285" t="n">
        <v>3.28</v>
      </c>
      <c r="AC285" t="n">
        <v>0.8100000000000001</v>
      </c>
      <c r="AD285" t="n">
        <v>3400227743.22</v>
      </c>
    </row>
    <row r="286">
      <c r="A286" t="inlineStr">
        <is>
          <t>GETT11</t>
        </is>
      </c>
      <c r="B286" t="n">
        <v>10</v>
      </c>
      <c r="D286" t="n">
        <v>31.44</v>
      </c>
      <c r="E286" t="n">
        <v>5.16</v>
      </c>
      <c r="F286" t="n">
        <v>0.34</v>
      </c>
      <c r="G286" t="n">
        <v>41.43</v>
      </c>
      <c r="H286" t="n">
        <v>18.41</v>
      </c>
      <c r="I286" t="n">
        <v>17.71</v>
      </c>
      <c r="J286" t="n">
        <v>30.25</v>
      </c>
      <c r="L286" t="n">
        <v>0.99</v>
      </c>
      <c r="M286" t="n">
        <v>0.17</v>
      </c>
      <c r="N286" t="n">
        <v>5.57</v>
      </c>
      <c r="O286" t="n">
        <v>13.05</v>
      </c>
      <c r="P286" t="n">
        <v>-8.16</v>
      </c>
      <c r="Q286" t="n">
        <v>1.03</v>
      </c>
      <c r="R286" t="n">
        <v>16.41</v>
      </c>
      <c r="S286" t="n">
        <v>1.07</v>
      </c>
      <c r="T286" t="n">
        <v>7.88</v>
      </c>
      <c r="U286" t="n">
        <v>0.07000000000000001</v>
      </c>
      <c r="V286" t="n">
        <v>0.93</v>
      </c>
      <c r="W286" t="n">
        <v>0.06</v>
      </c>
      <c r="Z286" t="n">
        <v>0</v>
      </c>
      <c r="AA286" t="n">
        <v>1.94</v>
      </c>
      <c r="AB286" t="n">
        <v>0.32</v>
      </c>
      <c r="AC286" t="n">
        <v>0.28</v>
      </c>
    </row>
    <row r="287">
      <c r="A287" t="inlineStr">
        <is>
          <t>GETT3</t>
        </is>
      </c>
      <c r="B287" t="n">
        <v>2.4</v>
      </c>
      <c r="D287" t="n">
        <v>7.55</v>
      </c>
      <c r="E287" t="n">
        <v>1.24</v>
      </c>
      <c r="F287" t="n">
        <v>0.08</v>
      </c>
      <c r="G287" t="n">
        <v>41.43</v>
      </c>
      <c r="H287" t="n">
        <v>18.41</v>
      </c>
      <c r="I287" t="n">
        <v>17.71</v>
      </c>
      <c r="J287" t="n">
        <v>7.26</v>
      </c>
      <c r="L287" t="n">
        <v>0.99</v>
      </c>
      <c r="M287" t="n">
        <v>0.17</v>
      </c>
      <c r="N287" t="n">
        <v>1.34</v>
      </c>
      <c r="O287" t="n">
        <v>3.13</v>
      </c>
      <c r="P287" t="n">
        <v>-1.96</v>
      </c>
      <c r="Q287" t="n">
        <v>1.03</v>
      </c>
      <c r="R287" t="n">
        <v>16.41</v>
      </c>
      <c r="S287" t="n">
        <v>1.07</v>
      </c>
      <c r="T287" t="n">
        <v>7.88</v>
      </c>
      <c r="U287" t="n">
        <v>0.07000000000000001</v>
      </c>
      <c r="V287" t="n">
        <v>0.93</v>
      </c>
      <c r="W287" t="n">
        <v>0.06</v>
      </c>
      <c r="AA287" t="n">
        <v>1.94</v>
      </c>
      <c r="AB287" t="n">
        <v>0.32</v>
      </c>
      <c r="AC287" t="n">
        <v>0.07000000000000001</v>
      </c>
    </row>
    <row r="288">
      <c r="A288" t="inlineStr">
        <is>
          <t>GETT4</t>
        </is>
      </c>
      <c r="B288" t="n">
        <v>2.4</v>
      </c>
      <c r="D288" t="n">
        <v>7.55</v>
      </c>
      <c r="E288" t="n">
        <v>1.24</v>
      </c>
      <c r="F288" t="n">
        <v>0.08</v>
      </c>
      <c r="G288" t="n">
        <v>41.43</v>
      </c>
      <c r="H288" t="n">
        <v>18.41</v>
      </c>
      <c r="I288" t="n">
        <v>17.71</v>
      </c>
      <c r="J288" t="n">
        <v>7.26</v>
      </c>
      <c r="L288" t="n">
        <v>0.99</v>
      </c>
      <c r="M288" t="n">
        <v>0.17</v>
      </c>
      <c r="N288" t="n">
        <v>1.34</v>
      </c>
      <c r="O288" t="n">
        <v>3.13</v>
      </c>
      <c r="P288" t="n">
        <v>-1.96</v>
      </c>
      <c r="Q288" t="n">
        <v>1.03</v>
      </c>
      <c r="R288" t="n">
        <v>16.41</v>
      </c>
      <c r="S288" t="n">
        <v>1.07</v>
      </c>
      <c r="T288" t="n">
        <v>7.88</v>
      </c>
      <c r="U288" t="n">
        <v>0.07000000000000001</v>
      </c>
      <c r="V288" t="n">
        <v>0.93</v>
      </c>
      <c r="W288" t="n">
        <v>0.06</v>
      </c>
      <c r="AA288" t="n">
        <v>1.94</v>
      </c>
      <c r="AB288" t="n">
        <v>0.32</v>
      </c>
      <c r="AC288" t="n">
        <v>0.07000000000000001</v>
      </c>
    </row>
    <row r="289">
      <c r="A289" t="inlineStr">
        <is>
          <t>GFSA3</t>
        </is>
      </c>
      <c r="B289" t="n">
        <v>0.3</v>
      </c>
      <c r="D289" t="n">
        <v>-0.07000000000000001</v>
      </c>
      <c r="E289" t="n">
        <v>0.03</v>
      </c>
      <c r="F289" t="n">
        <v>0.01</v>
      </c>
      <c r="G289" t="n">
        <v>-37.28</v>
      </c>
      <c r="H289" t="n">
        <v>-81.84999999999999</v>
      </c>
      <c r="I289" t="n">
        <v>-124.05</v>
      </c>
      <c r="J289" t="n">
        <v>-0.11</v>
      </c>
      <c r="K289" t="n">
        <v>-3.7</v>
      </c>
      <c r="L289" t="n">
        <v>-3.58</v>
      </c>
      <c r="M289" t="n">
        <v>0.9399999999999999</v>
      </c>
      <c r="N289" t="n">
        <v>0.09</v>
      </c>
      <c r="O289" t="n">
        <v>0.08</v>
      </c>
      <c r="P289" t="n">
        <v>-0.02</v>
      </c>
      <c r="Q289" t="n">
        <v>1.31</v>
      </c>
      <c r="R289" t="n">
        <v>-39.87</v>
      </c>
      <c r="S289" t="n">
        <v>-12.93</v>
      </c>
      <c r="T289" t="n">
        <v>-13.56</v>
      </c>
      <c r="U289" t="n">
        <v>0.32</v>
      </c>
      <c r="V289" t="n">
        <v>0.68</v>
      </c>
      <c r="W289" t="n">
        <v>0.1</v>
      </c>
      <c r="X289" t="n">
        <v>-6.86</v>
      </c>
      <c r="Z289" t="n">
        <v>2890551.73</v>
      </c>
      <c r="AA289" t="n">
        <v>9.74</v>
      </c>
      <c r="AB289" t="n">
        <v>-3.88</v>
      </c>
      <c r="AC289" t="n">
        <v>0</v>
      </c>
      <c r="AD289" t="n">
        <v>45636994.63</v>
      </c>
    </row>
    <row r="290">
      <c r="A290" t="inlineStr">
        <is>
          <t>GGBR3</t>
        </is>
      </c>
      <c r="B290" t="n">
        <v>21.2</v>
      </c>
      <c r="C290" t="n">
        <v>3.21</v>
      </c>
      <c r="D290" t="n">
        <v>25.67</v>
      </c>
      <c r="E290" t="n">
        <v>0.8</v>
      </c>
      <c r="F290" t="n">
        <v>0.52</v>
      </c>
      <c r="G290" t="n">
        <v>12.02</v>
      </c>
      <c r="H290" t="n">
        <v>6.05</v>
      </c>
      <c r="I290" t="n">
        <v>2.37</v>
      </c>
      <c r="J290" t="n">
        <v>10.05</v>
      </c>
      <c r="K290" t="n">
        <v>13.09</v>
      </c>
      <c r="L290" t="n">
        <v>1.97</v>
      </c>
      <c r="M290" t="n">
        <v>0.16</v>
      </c>
      <c r="N290" t="n">
        <v>0.61</v>
      </c>
      <c r="O290" t="n">
        <v>2.31</v>
      </c>
      <c r="P290" t="n">
        <v>-0.8</v>
      </c>
      <c r="Q290" t="n">
        <v>2.76</v>
      </c>
      <c r="R290" t="n">
        <v>3.11</v>
      </c>
      <c r="S290" t="n">
        <v>2.02</v>
      </c>
      <c r="T290" t="n">
        <v>4.41</v>
      </c>
      <c r="U290" t="n">
        <v>0.65</v>
      </c>
      <c r="V290" t="n">
        <v>0.35</v>
      </c>
      <c r="W290" t="n">
        <v>0.85</v>
      </c>
      <c r="X290" t="n">
        <v>9.779999999999999</v>
      </c>
      <c r="Y290" t="n">
        <v>-7.07</v>
      </c>
      <c r="Z290" t="n">
        <v>502271.73</v>
      </c>
      <c r="AA290" t="n">
        <v>26.58</v>
      </c>
      <c r="AB290" t="n">
        <v>0.83</v>
      </c>
      <c r="AC290" t="n">
        <v>-0.51</v>
      </c>
      <c r="AD290" t="n">
        <v>46579600492.11</v>
      </c>
    </row>
    <row r="291">
      <c r="A291" t="inlineStr">
        <is>
          <t>GGBR4</t>
        </is>
      </c>
      <c r="B291" t="n">
        <v>24.82</v>
      </c>
      <c r="C291" t="n">
        <v>2.74</v>
      </c>
      <c r="D291" t="n">
        <v>30.05</v>
      </c>
      <c r="E291" t="n">
        <v>0.93</v>
      </c>
      <c r="F291" t="n">
        <v>0.61</v>
      </c>
      <c r="G291" t="n">
        <v>12.02</v>
      </c>
      <c r="H291" t="n">
        <v>6.05</v>
      </c>
      <c r="I291" t="n">
        <v>2.37</v>
      </c>
      <c r="J291" t="n">
        <v>11.77</v>
      </c>
      <c r="K291" t="n">
        <v>13.09</v>
      </c>
      <c r="L291" t="n">
        <v>1.97</v>
      </c>
      <c r="M291" t="n">
        <v>0.16</v>
      </c>
      <c r="N291" t="n">
        <v>0.71</v>
      </c>
      <c r="O291" t="n">
        <v>2.71</v>
      </c>
      <c r="P291" t="n">
        <v>-0.9399999999999999</v>
      </c>
      <c r="Q291" t="n">
        <v>2.76</v>
      </c>
      <c r="R291" t="n">
        <v>3.11</v>
      </c>
      <c r="S291" t="n">
        <v>2.02</v>
      </c>
      <c r="T291" t="n">
        <v>4.41</v>
      </c>
      <c r="U291" t="n">
        <v>0.65</v>
      </c>
      <c r="V291" t="n">
        <v>0.35</v>
      </c>
      <c r="W291" t="n">
        <v>0.85</v>
      </c>
      <c r="X291" t="n">
        <v>9.779999999999999</v>
      </c>
      <c r="Y291" t="n">
        <v>-7.07</v>
      </c>
      <c r="Z291" t="n">
        <v>182235678.05</v>
      </c>
      <c r="AA291" t="n">
        <v>26.58</v>
      </c>
      <c r="AB291" t="n">
        <v>0.83</v>
      </c>
      <c r="AC291" t="n">
        <v>-0.6</v>
      </c>
      <c r="AD291" t="n">
        <v>46579600492.11</v>
      </c>
    </row>
    <row r="292">
      <c r="A292" t="inlineStr">
        <is>
          <t>GGPS3</t>
        </is>
      </c>
      <c r="B292" t="n">
        <v>11.5</v>
      </c>
      <c r="C292" t="n">
        <v>2.83</v>
      </c>
      <c r="D292" t="n">
        <v>13.09</v>
      </c>
      <c r="E292" t="n">
        <v>2.1</v>
      </c>
      <c r="F292" t="n">
        <v>0.55</v>
      </c>
      <c r="G292" t="n">
        <v>14.66</v>
      </c>
      <c r="H292" t="n">
        <v>8.23</v>
      </c>
      <c r="I292" t="n">
        <v>3.74</v>
      </c>
      <c r="J292" t="n">
        <v>5.95</v>
      </c>
      <c r="K292" t="n">
        <v>7.61</v>
      </c>
      <c r="L292" t="n">
        <v>1.64</v>
      </c>
      <c r="M292" t="n">
        <v>0.58</v>
      </c>
      <c r="N292" t="n">
        <v>0.49</v>
      </c>
      <c r="O292" t="n">
        <v>1.42</v>
      </c>
      <c r="P292" t="n">
        <v>-1.27</v>
      </c>
      <c r="Q292" t="n">
        <v>3.24</v>
      </c>
      <c r="R292" t="n">
        <v>16.03</v>
      </c>
      <c r="S292" t="n">
        <v>4.23</v>
      </c>
      <c r="T292" t="n">
        <v>11.42</v>
      </c>
      <c r="U292" t="n">
        <v>0.26</v>
      </c>
      <c r="V292" t="n">
        <v>0.73</v>
      </c>
      <c r="W292" t="n">
        <v>1.13</v>
      </c>
      <c r="X292" t="n">
        <v>28.45</v>
      </c>
      <c r="Y292" t="n">
        <v>18.51</v>
      </c>
      <c r="Z292" t="n">
        <v>37364259.82</v>
      </c>
      <c r="AA292" t="n">
        <v>5.48</v>
      </c>
      <c r="AB292" t="n">
        <v>0.88</v>
      </c>
      <c r="AC292" t="n">
        <v>-15.74</v>
      </c>
      <c r="AD292" t="n">
        <v>8674601115.110001</v>
      </c>
    </row>
    <row r="293">
      <c r="A293" t="inlineStr">
        <is>
          <t>GMAT3</t>
        </is>
      </c>
      <c r="B293" t="n">
        <v>3.87</v>
      </c>
      <c r="C293" t="n">
        <v>3.07</v>
      </c>
      <c r="D293" t="n">
        <v>5.15</v>
      </c>
      <c r="E293" t="n">
        <v>0.82</v>
      </c>
      <c r="F293" t="n">
        <v>0.36</v>
      </c>
      <c r="G293" t="n">
        <v>22.39</v>
      </c>
      <c r="H293" t="n">
        <v>5.32</v>
      </c>
      <c r="I293" t="n">
        <v>4.38</v>
      </c>
      <c r="J293" t="n">
        <v>4.24</v>
      </c>
      <c r="K293" t="n">
        <v>4.6</v>
      </c>
      <c r="L293" t="n">
        <v>0.35</v>
      </c>
      <c r="M293" t="n">
        <v>0.07000000000000001</v>
      </c>
      <c r="N293" t="n">
        <v>0.23</v>
      </c>
      <c r="O293" t="n">
        <v>1.66</v>
      </c>
      <c r="P293" t="n">
        <v>-0.76</v>
      </c>
      <c r="Q293" t="n">
        <v>1.71</v>
      </c>
      <c r="R293" t="n">
        <v>15.83</v>
      </c>
      <c r="S293" t="n">
        <v>7</v>
      </c>
      <c r="T293" t="n">
        <v>10.52</v>
      </c>
      <c r="U293" t="n">
        <v>0.44</v>
      </c>
      <c r="V293" t="n">
        <v>0.52</v>
      </c>
      <c r="W293" t="n">
        <v>1.6</v>
      </c>
      <c r="X293" t="n">
        <v>25.39</v>
      </c>
      <c r="Y293" t="n">
        <v>18.99</v>
      </c>
      <c r="Z293" t="n">
        <v>19566739.91</v>
      </c>
      <c r="AA293" t="n">
        <v>4.75</v>
      </c>
      <c r="AB293" t="n">
        <v>0.75</v>
      </c>
      <c r="AC293" t="n">
        <v>0.21</v>
      </c>
      <c r="AD293" t="n">
        <v>8938327163.84</v>
      </c>
    </row>
    <row r="294">
      <c r="A294" t="inlineStr">
        <is>
          <t>GNDI3</t>
        </is>
      </c>
      <c r="B294" t="n">
        <v>66.95</v>
      </c>
      <c r="D294" t="n">
        <v>-3584.81</v>
      </c>
      <c r="E294" t="n">
        <v>5.84</v>
      </c>
      <c r="F294" t="n">
        <v>2.38</v>
      </c>
      <c r="G294" t="n">
        <v>18.55</v>
      </c>
      <c r="H294" t="n">
        <v>3.28</v>
      </c>
      <c r="I294" t="n">
        <v>-0.1</v>
      </c>
      <c r="J294" t="n">
        <v>104.45</v>
      </c>
      <c r="K294" t="n">
        <v>109.34</v>
      </c>
      <c r="L294" t="n">
        <v>4.9</v>
      </c>
      <c r="M294" t="n">
        <v>0.27</v>
      </c>
      <c r="N294" t="n">
        <v>3.42</v>
      </c>
      <c r="O294" t="n">
        <v>79.65000000000001</v>
      </c>
      <c r="P294" t="n">
        <v>-3.01</v>
      </c>
      <c r="Q294" t="n">
        <v>1.17</v>
      </c>
      <c r="R294" t="n">
        <v>-0.16</v>
      </c>
      <c r="S294" t="n">
        <v>-0.07000000000000001</v>
      </c>
      <c r="T294" t="n">
        <v>2.22</v>
      </c>
      <c r="U294" t="n">
        <v>0.41</v>
      </c>
      <c r="V294" t="n">
        <v>0.59</v>
      </c>
      <c r="W294" t="n">
        <v>0.6899999999999999</v>
      </c>
      <c r="X294" t="n">
        <v>29.03</v>
      </c>
      <c r="AA294" t="n">
        <v>11.47</v>
      </c>
      <c r="AB294" t="n">
        <v>-0.02</v>
      </c>
      <c r="AC294" t="n">
        <v>35.34</v>
      </c>
      <c r="AD294" t="n">
        <v>41526443086.05</v>
      </c>
    </row>
    <row r="295">
      <c r="A295" t="inlineStr">
        <is>
          <t>GOAU3</t>
        </is>
      </c>
      <c r="B295" t="n">
        <v>9.76</v>
      </c>
      <c r="C295" t="n">
        <v>4.1</v>
      </c>
      <c r="D295" t="n">
        <v>22.48</v>
      </c>
      <c r="E295" t="n">
        <v>0.68</v>
      </c>
      <c r="F295" t="n">
        <v>0.16</v>
      </c>
      <c r="G295" t="n">
        <v>12.02</v>
      </c>
      <c r="H295" t="n">
        <v>6.04</v>
      </c>
      <c r="I295" t="n">
        <v>0.83</v>
      </c>
      <c r="J295" t="n">
        <v>3.1</v>
      </c>
      <c r="K295" t="n">
        <v>5.26</v>
      </c>
      <c r="L295" t="n">
        <v>1.97</v>
      </c>
      <c r="M295" t="n">
        <v>0.43</v>
      </c>
      <c r="N295" t="n">
        <v>0.19</v>
      </c>
      <c r="O295" t="n">
        <v>0.71</v>
      </c>
      <c r="P295" t="n">
        <v>-0.25</v>
      </c>
      <c r="Q295" t="n">
        <v>2.76</v>
      </c>
      <c r="R295" t="n">
        <v>3.04</v>
      </c>
      <c r="S295" t="n">
        <v>0.71</v>
      </c>
      <c r="T295" t="n">
        <v>4.32</v>
      </c>
      <c r="U295" t="n">
        <v>0.23</v>
      </c>
      <c r="V295" t="n">
        <v>0.35</v>
      </c>
      <c r="W295" t="n">
        <v>0.85</v>
      </c>
      <c r="X295" t="n">
        <v>9.779999999999999</v>
      </c>
      <c r="Y295" t="n">
        <v>-8.01</v>
      </c>
      <c r="Z295" t="n">
        <v>267732.32</v>
      </c>
      <c r="AA295" t="n">
        <v>14.28</v>
      </c>
      <c r="AB295" t="n">
        <v>0.43</v>
      </c>
      <c r="AC295" t="n">
        <v>-0.46</v>
      </c>
      <c r="AD295" t="n">
        <v>13747576625.16</v>
      </c>
    </row>
    <row r="296">
      <c r="A296" t="inlineStr">
        <is>
          <t>GOAU4</t>
        </is>
      </c>
      <c r="B296" t="n">
        <v>10.74</v>
      </c>
      <c r="C296" t="n">
        <v>3.73</v>
      </c>
      <c r="D296" t="n">
        <v>24.72</v>
      </c>
      <c r="E296" t="n">
        <v>0.75</v>
      </c>
      <c r="F296" t="n">
        <v>0.18</v>
      </c>
      <c r="G296" t="n">
        <v>12.02</v>
      </c>
      <c r="H296" t="n">
        <v>6.04</v>
      </c>
      <c r="I296" t="n">
        <v>0.83</v>
      </c>
      <c r="J296" t="n">
        <v>3.4</v>
      </c>
      <c r="K296" t="n">
        <v>5.26</v>
      </c>
      <c r="L296" t="n">
        <v>1.97</v>
      </c>
      <c r="M296" t="n">
        <v>0.43</v>
      </c>
      <c r="N296" t="n">
        <v>0.21</v>
      </c>
      <c r="O296" t="n">
        <v>0.78</v>
      </c>
      <c r="P296" t="n">
        <v>-0.27</v>
      </c>
      <c r="Q296" t="n">
        <v>2.76</v>
      </c>
      <c r="R296" t="n">
        <v>3.04</v>
      </c>
      <c r="S296" t="n">
        <v>0.71</v>
      </c>
      <c r="T296" t="n">
        <v>4.32</v>
      </c>
      <c r="U296" t="n">
        <v>0.23</v>
      </c>
      <c r="V296" t="n">
        <v>0.35</v>
      </c>
      <c r="W296" t="n">
        <v>0.85</v>
      </c>
      <c r="X296" t="n">
        <v>9.779999999999999</v>
      </c>
      <c r="Y296" t="n">
        <v>-8.01</v>
      </c>
      <c r="Z296" t="n">
        <v>47836449.23</v>
      </c>
      <c r="AA296" t="n">
        <v>14.28</v>
      </c>
      <c r="AB296" t="n">
        <v>0.43</v>
      </c>
      <c r="AC296" t="n">
        <v>-0.51</v>
      </c>
      <c r="AD296" t="n">
        <v>13747576625.16</v>
      </c>
    </row>
    <row r="297">
      <c r="A297" t="inlineStr">
        <is>
          <t>GOLL54</t>
        </is>
      </c>
      <c r="B297" t="n">
        <v>9.75</v>
      </c>
      <c r="D297" t="n">
        <v>-68484.87</v>
      </c>
      <c r="E297" t="n">
        <v>-5256.2</v>
      </c>
      <c r="F297" t="n">
        <v>3349.3</v>
      </c>
      <c r="G297" t="n">
        <v>27.24</v>
      </c>
      <c r="H297" t="n">
        <v>8.33</v>
      </c>
      <c r="I297" t="n">
        <v>-5.9</v>
      </c>
      <c r="J297" t="n">
        <v>48540.32</v>
      </c>
      <c r="K297" t="n">
        <v>6379.51</v>
      </c>
      <c r="L297" t="n">
        <v>6.88</v>
      </c>
      <c r="N297" t="n">
        <v>4043.2</v>
      </c>
      <c r="O297" t="n">
        <v>-16688.97</v>
      </c>
      <c r="P297" t="n">
        <v>-4976.66</v>
      </c>
      <c r="Q297" t="n">
        <v>0.62</v>
      </c>
      <c r="R297" t="n">
        <v>-7.67</v>
      </c>
      <c r="S297" t="n">
        <v>-4.89</v>
      </c>
      <c r="T297" t="n">
        <v>-171.09</v>
      </c>
      <c r="U297" t="n">
        <v>-0.64</v>
      </c>
      <c r="V297" t="n">
        <v>1.64</v>
      </c>
      <c r="W297" t="n">
        <v>0.83</v>
      </c>
      <c r="X297" t="n">
        <v>28.24</v>
      </c>
      <c r="Z297" t="n">
        <v>20388</v>
      </c>
      <c r="AA297" t="n">
        <v>0</v>
      </c>
      <c r="AB297" t="n">
        <v>0</v>
      </c>
      <c r="AC297" t="n">
        <v>872.51</v>
      </c>
      <c r="AD297" t="n">
        <v>11732704010232.77</v>
      </c>
    </row>
    <row r="298">
      <c r="A298" t="inlineStr">
        <is>
          <t>GPAR3</t>
        </is>
      </c>
      <c r="B298" t="n">
        <v>10.51</v>
      </c>
      <c r="C298" t="n">
        <v>14.42</v>
      </c>
      <c r="D298" t="n">
        <v>-28.35</v>
      </c>
      <c r="E298" t="n">
        <v>1.42</v>
      </c>
      <c r="F298" t="n">
        <v>1.12</v>
      </c>
      <c r="G298" t="n">
        <v>53.48</v>
      </c>
      <c r="H298" t="n">
        <v>-314.84</v>
      </c>
      <c r="I298" t="n">
        <v>-84.31</v>
      </c>
      <c r="J298" t="n">
        <v>-7.59</v>
      </c>
      <c r="K298" t="n">
        <v>-5.62</v>
      </c>
      <c r="L298" t="n">
        <v>1.98</v>
      </c>
      <c r="M298" t="n">
        <v>-0.37</v>
      </c>
      <c r="N298" t="n">
        <v>23.9</v>
      </c>
      <c r="O298" t="n">
        <v>8.1</v>
      </c>
      <c r="P298" t="n">
        <v>-1.71</v>
      </c>
      <c r="Q298" t="n">
        <v>1.66</v>
      </c>
      <c r="R298" t="n">
        <v>-5</v>
      </c>
      <c r="S298" t="n">
        <v>-3.94</v>
      </c>
      <c r="T298" t="n">
        <v>-27.43</v>
      </c>
      <c r="U298" t="n">
        <v>0.79</v>
      </c>
      <c r="V298" t="n">
        <v>0.21</v>
      </c>
      <c r="W298" t="n">
        <v>0.05</v>
      </c>
      <c r="X298" t="n">
        <v>-31.17</v>
      </c>
      <c r="Z298" t="n">
        <v>150.14</v>
      </c>
      <c r="AA298" t="n">
        <v>7.41</v>
      </c>
      <c r="AB298" t="n">
        <v>-0.37</v>
      </c>
      <c r="AC298" t="n">
        <v>0.25</v>
      </c>
      <c r="AD298" t="n">
        <v>837400036.02</v>
      </c>
    </row>
    <row r="299">
      <c r="A299" t="inlineStr">
        <is>
          <t>GPIV33</t>
        </is>
      </c>
      <c r="B299" t="n">
        <v>4.42</v>
      </c>
      <c r="D299" t="n">
        <v>-2.31</v>
      </c>
      <c r="E299" t="n">
        <v>0.23</v>
      </c>
      <c r="F299" t="n">
        <v>0.12</v>
      </c>
      <c r="G299" t="n">
        <v>100</v>
      </c>
      <c r="H299" t="n">
        <v>346.8</v>
      </c>
      <c r="I299" t="n">
        <v>157.05</v>
      </c>
      <c r="J299" t="n">
        <v>-1.04</v>
      </c>
      <c r="K299" t="n">
        <v>0.25</v>
      </c>
      <c r="L299" t="n">
        <v>1.29</v>
      </c>
      <c r="M299" t="n">
        <v>-0.28</v>
      </c>
      <c r="O299" t="n">
        <v>0.89</v>
      </c>
      <c r="P299" t="n">
        <v>-0.15</v>
      </c>
      <c r="Q299" t="n">
        <v>3.34</v>
      </c>
      <c r="R299" t="n">
        <v>-9.85</v>
      </c>
      <c r="S299" t="n">
        <v>-5.19</v>
      </c>
      <c r="T299" t="n">
        <v>-13.2</v>
      </c>
      <c r="U299" t="n">
        <v>0.53</v>
      </c>
      <c r="V299" t="n">
        <v>0.14</v>
      </c>
      <c r="W299" t="n">
        <v>-0.03</v>
      </c>
      <c r="Z299" t="n">
        <v>308564</v>
      </c>
      <c r="AA299" t="n">
        <v>19.47</v>
      </c>
      <c r="AB299" t="n">
        <v>-1.92</v>
      </c>
      <c r="AC299" t="n">
        <v>0.01</v>
      </c>
      <c r="AD299" t="n">
        <v>299388200.54</v>
      </c>
    </row>
    <row r="300">
      <c r="A300" t="inlineStr">
        <is>
          <t>GRAO3</t>
        </is>
      </c>
      <c r="B300" t="n">
        <v>0</v>
      </c>
      <c r="D300" t="n">
        <v>0</v>
      </c>
      <c r="E300" t="n">
        <v>0</v>
      </c>
      <c r="F300" t="n">
        <v>0</v>
      </c>
      <c r="G300" t="n">
        <v>4.4</v>
      </c>
      <c r="H300" t="n">
        <v>3.89</v>
      </c>
      <c r="I300" t="n">
        <v>1.28</v>
      </c>
      <c r="J300" t="n">
        <v>0</v>
      </c>
      <c r="K300" t="n">
        <v>1.51</v>
      </c>
      <c r="L300" t="n">
        <v>1.51</v>
      </c>
      <c r="M300" t="n">
        <v>1.18</v>
      </c>
      <c r="N300" t="n">
        <v>0</v>
      </c>
      <c r="O300" t="n">
        <v>0</v>
      </c>
      <c r="P300" t="n">
        <v>0</v>
      </c>
      <c r="Q300" t="n">
        <v>0.92</v>
      </c>
      <c r="R300" t="n">
        <v>25.93</v>
      </c>
      <c r="S300" t="n">
        <v>4.44</v>
      </c>
      <c r="T300" t="n">
        <v>21.91</v>
      </c>
      <c r="U300" t="n">
        <v>0.17</v>
      </c>
      <c r="V300" t="n">
        <v>0.76</v>
      </c>
      <c r="W300" t="n">
        <v>3.46</v>
      </c>
      <c r="X300" t="n">
        <v>41.49</v>
      </c>
      <c r="Y300" t="n">
        <v>84.79000000000001</v>
      </c>
      <c r="AA300" t="n">
        <v>1.82</v>
      </c>
      <c r="AB300" t="n">
        <v>0.47</v>
      </c>
      <c r="AC300" t="n">
        <v>0</v>
      </c>
      <c r="AD300" t="n">
        <v>0</v>
      </c>
    </row>
    <row r="301">
      <c r="A301" t="inlineStr">
        <is>
          <t>GRND3</t>
        </is>
      </c>
      <c r="B301" t="n">
        <v>3.67</v>
      </c>
      <c r="C301" t="n">
        <v>35.86</v>
      </c>
      <c r="D301" t="n">
        <v>5.23</v>
      </c>
      <c r="E301" t="n">
        <v>1.04</v>
      </c>
      <c r="F301" t="n">
        <v>0.8100000000000001</v>
      </c>
      <c r="G301" t="n">
        <v>44.46</v>
      </c>
      <c r="H301" t="n">
        <v>12.47</v>
      </c>
      <c r="I301" t="n">
        <v>24.8</v>
      </c>
      <c r="J301" t="n">
        <v>10.39</v>
      </c>
      <c r="K301" t="n">
        <v>8.35</v>
      </c>
      <c r="L301" t="n">
        <v>-2.04</v>
      </c>
      <c r="M301" t="n">
        <v>-0.2</v>
      </c>
      <c r="N301" t="n">
        <v>1.3</v>
      </c>
      <c r="O301" t="n">
        <v>2.37</v>
      </c>
      <c r="P301" t="n">
        <v>-1.84</v>
      </c>
      <c r="Q301" t="n">
        <v>2.55</v>
      </c>
      <c r="R301" t="n">
        <v>19.96</v>
      </c>
      <c r="S301" t="n">
        <v>15.43</v>
      </c>
      <c r="T301" t="n">
        <v>8.210000000000001</v>
      </c>
      <c r="U301" t="n">
        <v>0.77</v>
      </c>
      <c r="V301" t="n">
        <v>0.23</v>
      </c>
      <c r="W301" t="n">
        <v>0.62</v>
      </c>
      <c r="X301" t="n">
        <v>6.38</v>
      </c>
      <c r="Y301" t="n">
        <v>9.35</v>
      </c>
      <c r="Z301" t="n">
        <v>8388589.91</v>
      </c>
      <c r="AA301" t="n">
        <v>3.52</v>
      </c>
      <c r="AB301" t="n">
        <v>0.7</v>
      </c>
      <c r="AC301" t="n">
        <v>-0.49</v>
      </c>
      <c r="AD301" t="n">
        <v>3310927200</v>
      </c>
    </row>
    <row r="302">
      <c r="A302" t="inlineStr">
        <is>
          <t>GSHP3</t>
        </is>
      </c>
      <c r="B302" t="n">
        <v>3.6</v>
      </c>
      <c r="D302" t="n">
        <v>-0.02</v>
      </c>
      <c r="E302" t="n">
        <v>0</v>
      </c>
      <c r="F302" t="n">
        <v>0.01</v>
      </c>
      <c r="G302" t="n">
        <v>67.55</v>
      </c>
      <c r="H302" t="n">
        <v>-189.89</v>
      </c>
      <c r="I302" t="n">
        <v>-200.33</v>
      </c>
      <c r="J302" t="n">
        <v>-0.02</v>
      </c>
      <c r="K302" t="n">
        <v>-5.74</v>
      </c>
      <c r="L302" t="n">
        <v>-5.72</v>
      </c>
      <c r="N302" t="n">
        <v>0.04</v>
      </c>
      <c r="O302" t="n">
        <v>-0.05</v>
      </c>
      <c r="P302" t="n">
        <v>-0.01</v>
      </c>
      <c r="Q302" t="n">
        <v>0.46</v>
      </c>
      <c r="R302" t="n">
        <v>-21.44</v>
      </c>
      <c r="S302" t="n">
        <v>-37.61</v>
      </c>
      <c r="T302" t="n">
        <v>-109.9</v>
      </c>
      <c r="U302" t="n">
        <v>-1.75</v>
      </c>
      <c r="V302" t="n">
        <v>2.75</v>
      </c>
      <c r="W302" t="n">
        <v>0.19</v>
      </c>
      <c r="X302" t="n">
        <v>15.69</v>
      </c>
      <c r="Z302" t="n">
        <v>195.29</v>
      </c>
      <c r="AA302" t="n">
        <v>-930.4299999999999</v>
      </c>
      <c r="AB302" t="n">
        <v>-199.51</v>
      </c>
      <c r="AC302" t="n">
        <v>0</v>
      </c>
      <c r="AD302" t="n">
        <v>6943568.4</v>
      </c>
    </row>
    <row r="303">
      <c r="A303" t="inlineStr">
        <is>
          <t>HAGA3</t>
        </is>
      </c>
      <c r="B303" t="n">
        <v>2.55</v>
      </c>
      <c r="D303" t="n">
        <v>11.63</v>
      </c>
      <c r="E303" t="n">
        <v>-0.63</v>
      </c>
      <c r="F303" t="n">
        <v>0.42</v>
      </c>
      <c r="G303" t="n">
        <v>24.34</v>
      </c>
      <c r="H303" t="n">
        <v>-3.04</v>
      </c>
      <c r="I303" t="n">
        <v>8.92</v>
      </c>
      <c r="J303" t="n">
        <v>-34.06</v>
      </c>
      <c r="K303" t="n">
        <v>9.109999999999999</v>
      </c>
      <c r="L303" t="n">
        <v>34.18</v>
      </c>
      <c r="N303" t="n">
        <v>1.04</v>
      </c>
      <c r="O303" t="n">
        <v>0.75</v>
      </c>
      <c r="P303" t="n">
        <v>-4.06</v>
      </c>
      <c r="Q303" t="n">
        <v>2.61</v>
      </c>
      <c r="R303" t="n">
        <v>-5.42</v>
      </c>
      <c r="S303" t="n">
        <v>3.57</v>
      </c>
      <c r="T303" t="n">
        <v>4.82</v>
      </c>
      <c r="U303" t="n">
        <v>-0.66</v>
      </c>
      <c r="V303" t="n">
        <v>1.66</v>
      </c>
      <c r="W303" t="n">
        <v>0.4</v>
      </c>
      <c r="X303" t="n">
        <v>-0.92</v>
      </c>
      <c r="Y303" t="n">
        <v>-14.1</v>
      </c>
      <c r="Z303" t="n">
        <v>10323.14</v>
      </c>
      <c r="AA303" t="n">
        <v>-4.05</v>
      </c>
      <c r="AB303" t="n">
        <v>0.22</v>
      </c>
      <c r="AC303" t="n">
        <v>0.37</v>
      </c>
      <c r="AD303" t="n">
        <v>22332333.67</v>
      </c>
    </row>
    <row r="304">
      <c r="A304" t="inlineStr">
        <is>
          <t>HAGA4</t>
        </is>
      </c>
      <c r="B304" t="n">
        <v>1.54</v>
      </c>
      <c r="D304" t="n">
        <v>7.02</v>
      </c>
      <c r="E304" t="n">
        <v>-0.38</v>
      </c>
      <c r="F304" t="n">
        <v>0.25</v>
      </c>
      <c r="G304" t="n">
        <v>24.34</v>
      </c>
      <c r="H304" t="n">
        <v>-3.04</v>
      </c>
      <c r="I304" t="n">
        <v>8.92</v>
      </c>
      <c r="J304" t="n">
        <v>-20.57</v>
      </c>
      <c r="K304" t="n">
        <v>9.109999999999999</v>
      </c>
      <c r="L304" t="n">
        <v>34.18</v>
      </c>
      <c r="N304" t="n">
        <v>0.63</v>
      </c>
      <c r="O304" t="n">
        <v>0.45</v>
      </c>
      <c r="P304" t="n">
        <v>-2.45</v>
      </c>
      <c r="Q304" t="n">
        <v>2.61</v>
      </c>
      <c r="R304" t="n">
        <v>-5.42</v>
      </c>
      <c r="S304" t="n">
        <v>3.57</v>
      </c>
      <c r="T304" t="n">
        <v>4.82</v>
      </c>
      <c r="U304" t="n">
        <v>-0.66</v>
      </c>
      <c r="V304" t="n">
        <v>1.66</v>
      </c>
      <c r="W304" t="n">
        <v>0.4</v>
      </c>
      <c r="X304" t="n">
        <v>-0.92</v>
      </c>
      <c r="Y304" t="n">
        <v>-14.1</v>
      </c>
      <c r="Z304" t="n">
        <v>19673.64</v>
      </c>
      <c r="AA304" t="n">
        <v>-4.05</v>
      </c>
      <c r="AB304" t="n">
        <v>0.22</v>
      </c>
      <c r="AC304" t="n">
        <v>0.22</v>
      </c>
      <c r="AD304" t="n">
        <v>22332333.67</v>
      </c>
    </row>
    <row r="305">
      <c r="A305" t="inlineStr">
        <is>
          <t>HAPV3</t>
        </is>
      </c>
      <c r="B305" t="n">
        <v>10.57</v>
      </c>
      <c r="D305" t="n">
        <v>-12.38</v>
      </c>
      <c r="E305" t="n">
        <v>0.11</v>
      </c>
      <c r="F305" t="n">
        <v>0.07000000000000001</v>
      </c>
      <c r="G305" t="n">
        <v>11.65</v>
      </c>
      <c r="H305" t="n">
        <v>4.19</v>
      </c>
      <c r="I305" t="n">
        <v>-1.36</v>
      </c>
      <c r="J305" t="n">
        <v>4.02</v>
      </c>
      <c r="K305" t="n">
        <v>7.78</v>
      </c>
      <c r="L305" t="n">
        <v>3.77</v>
      </c>
      <c r="M305" t="n">
        <v>0.1</v>
      </c>
      <c r="N305" t="n">
        <v>0.17</v>
      </c>
      <c r="O305" t="n">
        <v>1.07</v>
      </c>
      <c r="P305" t="n">
        <v>-0.09</v>
      </c>
      <c r="Q305" t="n">
        <v>1.79</v>
      </c>
      <c r="R305" t="n">
        <v>-0.89</v>
      </c>
      <c r="S305" t="n">
        <v>-0.59</v>
      </c>
      <c r="T305" t="n">
        <v>1.57</v>
      </c>
      <c r="U305" t="n">
        <v>0.66</v>
      </c>
      <c r="V305" t="n">
        <v>0.34</v>
      </c>
      <c r="W305" t="n">
        <v>0.43</v>
      </c>
      <c r="X305" t="n">
        <v>29.85</v>
      </c>
      <c r="Z305" t="n">
        <v>43812988.73</v>
      </c>
      <c r="AA305" t="n">
        <v>95.8</v>
      </c>
      <c r="AB305" t="n">
        <v>-0.85</v>
      </c>
      <c r="AC305" t="n">
        <v>0.66</v>
      </c>
      <c r="AD305" t="n">
        <v>5292703208.52</v>
      </c>
    </row>
    <row r="306">
      <c r="A306" t="inlineStr">
        <is>
          <t>HBOR3</t>
        </is>
      </c>
      <c r="B306" t="n">
        <v>1.85</v>
      </c>
      <c r="C306" t="n">
        <v>1.1</v>
      </c>
      <c r="D306" t="n">
        <v>43.83</v>
      </c>
      <c r="E306" t="n">
        <v>0.17</v>
      </c>
      <c r="F306" t="n">
        <v>0.04</v>
      </c>
      <c r="G306" t="n">
        <v>30.22</v>
      </c>
      <c r="H306" t="n">
        <v>10.57</v>
      </c>
      <c r="I306" t="n">
        <v>0.48</v>
      </c>
      <c r="J306" t="n">
        <v>1.98</v>
      </c>
      <c r="K306" t="n">
        <v>15.41</v>
      </c>
      <c r="L306" t="n">
        <v>13.42</v>
      </c>
      <c r="M306" t="n">
        <v>1.15</v>
      </c>
      <c r="N306" t="n">
        <v>0.21</v>
      </c>
      <c r="O306" t="n">
        <v>0.14</v>
      </c>
      <c r="P306" t="n">
        <v>-0.07000000000000001</v>
      </c>
      <c r="Q306" t="n">
        <v>2.34</v>
      </c>
      <c r="R306" t="n">
        <v>0.39</v>
      </c>
      <c r="S306" t="n">
        <v>0.08</v>
      </c>
      <c r="T306" t="n">
        <v>2.12</v>
      </c>
      <c r="U306" t="n">
        <v>0.22</v>
      </c>
      <c r="V306" t="n">
        <v>0.58</v>
      </c>
      <c r="W306" t="n">
        <v>0.18</v>
      </c>
      <c r="X306" t="n">
        <v>2.99</v>
      </c>
      <c r="Y306" t="n">
        <v>-26.68</v>
      </c>
      <c r="Z306" t="n">
        <v>3369704.18</v>
      </c>
      <c r="AA306" t="n">
        <v>10.82</v>
      </c>
      <c r="AB306" t="n">
        <v>0.04</v>
      </c>
      <c r="AC306" t="n">
        <v>-0.49</v>
      </c>
      <c r="AD306" t="n">
        <v>246285972.48</v>
      </c>
    </row>
    <row r="307">
      <c r="A307" t="inlineStr">
        <is>
          <t>HBRE3</t>
        </is>
      </c>
      <c r="B307" t="n">
        <v>2.03</v>
      </c>
      <c r="C307" t="n">
        <v>57.41</v>
      </c>
      <c r="D307" t="n">
        <v>6.99</v>
      </c>
      <c r="E307" t="n">
        <v>0.12</v>
      </c>
      <c r="F307" t="n">
        <v>0.04</v>
      </c>
      <c r="G307" t="n">
        <v>39.39</v>
      </c>
      <c r="H307" t="n">
        <v>64.13</v>
      </c>
      <c r="I307" t="n">
        <v>5.43</v>
      </c>
      <c r="J307" t="n">
        <v>0.59</v>
      </c>
      <c r="K307" t="n">
        <v>4.37</v>
      </c>
      <c r="L307" t="n">
        <v>3.77</v>
      </c>
      <c r="M307" t="n">
        <v>0.74</v>
      </c>
      <c r="N307" t="n">
        <v>0.38</v>
      </c>
      <c r="O307" t="n">
        <v>-1.26</v>
      </c>
      <c r="P307" t="n">
        <v>-0.05</v>
      </c>
      <c r="Q307" t="n">
        <v>0.72</v>
      </c>
      <c r="R307" t="n">
        <v>1.66</v>
      </c>
      <c r="S307" t="n">
        <v>0.61</v>
      </c>
      <c r="T307" t="n">
        <v>7.06</v>
      </c>
      <c r="U307" t="n">
        <v>0.37</v>
      </c>
      <c r="V307" t="n">
        <v>0.46</v>
      </c>
      <c r="W307" t="n">
        <v>0.11</v>
      </c>
      <c r="X307" t="n">
        <v>47.1</v>
      </c>
      <c r="Z307" t="n">
        <v>1834903.59</v>
      </c>
      <c r="AA307" t="n">
        <v>17.54</v>
      </c>
      <c r="AB307" t="n">
        <v>0.29</v>
      </c>
      <c r="AC307" t="n">
        <v>-0.45</v>
      </c>
      <c r="AD307" t="n">
        <v>210505521.24</v>
      </c>
    </row>
    <row r="308">
      <c r="A308" t="inlineStr">
        <is>
          <t>HBSA3</t>
        </is>
      </c>
      <c r="B308" t="n">
        <v>3.17</v>
      </c>
      <c r="D308" t="n">
        <v>-21.75</v>
      </c>
      <c r="E308" t="n">
        <v>2.15</v>
      </c>
      <c r="F308" t="n">
        <v>0.7</v>
      </c>
      <c r="G308" t="n">
        <v>37.96</v>
      </c>
      <c r="H308" t="n">
        <v>24.58</v>
      </c>
      <c r="I308" t="n">
        <v>-8.99</v>
      </c>
      <c r="J308" t="n">
        <v>7.96</v>
      </c>
      <c r="K308" t="n">
        <v>13.12</v>
      </c>
      <c r="L308" t="n">
        <v>5.17</v>
      </c>
      <c r="M308" t="n">
        <v>1.4</v>
      </c>
      <c r="N308" t="n">
        <v>1.96</v>
      </c>
      <c r="O308" t="n">
        <v>3.87</v>
      </c>
      <c r="P308" t="n">
        <v>-0.93</v>
      </c>
      <c r="Q308" t="n">
        <v>3.59</v>
      </c>
      <c r="R308" t="n">
        <v>-9.880000000000001</v>
      </c>
      <c r="S308" t="n">
        <v>-3.2</v>
      </c>
      <c r="T308" t="n">
        <v>7.09</v>
      </c>
      <c r="U308" t="n">
        <v>0.32</v>
      </c>
      <c r="V308" t="n">
        <v>0.68</v>
      </c>
      <c r="W308" t="n">
        <v>0.36</v>
      </c>
      <c r="X308" t="n">
        <v>8.92</v>
      </c>
      <c r="Z308" t="n">
        <v>3714744.09</v>
      </c>
      <c r="AA308" t="n">
        <v>1.47</v>
      </c>
      <c r="AB308" t="n">
        <v>-0.15</v>
      </c>
      <c r="AC308" t="n">
        <v>0.35</v>
      </c>
      <c r="AD308" t="n">
        <v>4312412978.31</v>
      </c>
    </row>
    <row r="309">
      <c r="A309" t="inlineStr">
        <is>
          <t>HBTS3</t>
        </is>
      </c>
      <c r="B309" t="n">
        <v>0</v>
      </c>
      <c r="D309" t="n">
        <v>0</v>
      </c>
      <c r="E309" t="n">
        <v>0</v>
      </c>
      <c r="F309" t="n">
        <v>0</v>
      </c>
      <c r="G309" t="n">
        <v>46.94</v>
      </c>
      <c r="H309" t="n">
        <v>150.33</v>
      </c>
      <c r="I309" t="n">
        <v>158.41</v>
      </c>
      <c r="J309" t="n">
        <v>0</v>
      </c>
      <c r="L309" t="n">
        <v>2.17</v>
      </c>
      <c r="M309" t="n">
        <v>0.26</v>
      </c>
      <c r="N309" t="n">
        <v>0</v>
      </c>
      <c r="O309" t="n">
        <v>0</v>
      </c>
      <c r="P309" t="n">
        <v>0</v>
      </c>
      <c r="Q309" t="n">
        <v>0.75</v>
      </c>
      <c r="R309" t="n">
        <v>12.79</v>
      </c>
      <c r="S309" t="n">
        <v>5.03</v>
      </c>
      <c r="T309" t="n">
        <v>7.39</v>
      </c>
      <c r="U309" t="n">
        <v>0.39</v>
      </c>
      <c r="V309" t="n">
        <v>0.61</v>
      </c>
      <c r="W309" t="n">
        <v>0.03</v>
      </c>
      <c r="X309" t="n">
        <v>-7.82</v>
      </c>
      <c r="Y309" t="n">
        <v>124.83</v>
      </c>
      <c r="AA309" t="n">
        <v>71.98</v>
      </c>
      <c r="AB309" t="n">
        <v>9.210000000000001</v>
      </c>
      <c r="AC309" t="n">
        <v>0</v>
      </c>
    </row>
    <row r="310">
      <c r="A310" t="inlineStr">
        <is>
          <t>HBTS5</t>
        </is>
      </c>
      <c r="B310" t="n">
        <v>32.38</v>
      </c>
      <c r="C310" t="n">
        <v>6.23</v>
      </c>
      <c r="D310" t="n">
        <v>3.52</v>
      </c>
      <c r="E310" t="n">
        <v>0.45</v>
      </c>
      <c r="F310" t="n">
        <v>0.18</v>
      </c>
      <c r="G310" t="n">
        <v>46.94</v>
      </c>
      <c r="H310" t="n">
        <v>150.33</v>
      </c>
      <c r="I310" t="n">
        <v>158.41</v>
      </c>
      <c r="J310" t="n">
        <v>3.71</v>
      </c>
      <c r="L310" t="n">
        <v>2.17</v>
      </c>
      <c r="M310" t="n">
        <v>0.26</v>
      </c>
      <c r="N310" t="n">
        <v>5.57</v>
      </c>
      <c r="O310" t="n">
        <v>-6.49</v>
      </c>
      <c r="P310" t="n">
        <v>-0.19</v>
      </c>
      <c r="Q310" t="n">
        <v>0.75</v>
      </c>
      <c r="R310" t="n">
        <v>12.79</v>
      </c>
      <c r="S310" t="n">
        <v>5.03</v>
      </c>
      <c r="T310" t="n">
        <v>7.39</v>
      </c>
      <c r="U310" t="n">
        <v>0.39</v>
      </c>
      <c r="V310" t="n">
        <v>0.61</v>
      </c>
      <c r="W310" t="n">
        <v>0.03</v>
      </c>
      <c r="X310" t="n">
        <v>-7.82</v>
      </c>
      <c r="Y310" t="n">
        <v>124.83</v>
      </c>
      <c r="Z310" t="n">
        <v>0</v>
      </c>
      <c r="AA310" t="n">
        <v>71.98</v>
      </c>
      <c r="AB310" t="n">
        <v>9.210000000000001</v>
      </c>
      <c r="AC310" t="n">
        <v>0.01</v>
      </c>
    </row>
    <row r="311">
      <c r="A311" t="inlineStr">
        <is>
          <t>HBTS6</t>
        </is>
      </c>
      <c r="B311" t="n">
        <v>0</v>
      </c>
      <c r="D311" t="n">
        <v>0</v>
      </c>
      <c r="E311" t="n">
        <v>0</v>
      </c>
      <c r="F311" t="n">
        <v>0</v>
      </c>
      <c r="G311" t="n">
        <v>46.94</v>
      </c>
      <c r="H311" t="n">
        <v>150.33</v>
      </c>
      <c r="I311" t="n">
        <v>158.41</v>
      </c>
      <c r="J311" t="n">
        <v>0</v>
      </c>
      <c r="L311" t="n">
        <v>2.17</v>
      </c>
      <c r="M311" t="n">
        <v>0.26</v>
      </c>
      <c r="N311" t="n">
        <v>0</v>
      </c>
      <c r="O311" t="n">
        <v>0</v>
      </c>
      <c r="P311" t="n">
        <v>0</v>
      </c>
      <c r="Q311" t="n">
        <v>0.75</v>
      </c>
      <c r="R311" t="n">
        <v>12.79</v>
      </c>
      <c r="S311" t="n">
        <v>5.03</v>
      </c>
      <c r="T311" t="n">
        <v>7.39</v>
      </c>
      <c r="U311" t="n">
        <v>0.39</v>
      </c>
      <c r="V311" t="n">
        <v>0.61</v>
      </c>
      <c r="W311" t="n">
        <v>0.03</v>
      </c>
      <c r="X311" t="n">
        <v>-7.82</v>
      </c>
      <c r="Y311" t="n">
        <v>124.83</v>
      </c>
      <c r="AA311" t="n">
        <v>71.98</v>
      </c>
      <c r="AB311" t="n">
        <v>9.210000000000001</v>
      </c>
      <c r="AC311" t="n">
        <v>0</v>
      </c>
    </row>
    <row r="312">
      <c r="A312" t="inlineStr">
        <is>
          <t>HETA3</t>
        </is>
      </c>
      <c r="B312" t="n">
        <v>96</v>
      </c>
      <c r="D312" t="n">
        <v>63.42</v>
      </c>
      <c r="E312" t="n">
        <v>-0.14</v>
      </c>
      <c r="F312" t="n">
        <v>4.71</v>
      </c>
      <c r="G312" t="n">
        <v>100</v>
      </c>
      <c r="H312" t="n">
        <v>87.45999999999999</v>
      </c>
      <c r="I312" t="n">
        <v>17.01</v>
      </c>
      <c r="J312" t="n">
        <v>12.33</v>
      </c>
      <c r="K312" t="n">
        <v>86.3</v>
      </c>
      <c r="L312" t="n">
        <v>81.76000000000001</v>
      </c>
      <c r="N312" t="n">
        <v>10.79</v>
      </c>
      <c r="O312" t="n">
        <v>-10.69</v>
      </c>
      <c r="P312" t="n">
        <v>-5.25</v>
      </c>
      <c r="Q312" t="n">
        <v>0.19</v>
      </c>
      <c r="R312" t="n">
        <v>-0.22</v>
      </c>
      <c r="S312" t="n">
        <v>7.43</v>
      </c>
      <c r="T312" t="n">
        <v>-14.56</v>
      </c>
      <c r="U312" t="n">
        <v>-33.69</v>
      </c>
      <c r="V312" t="n">
        <v>34.69</v>
      </c>
      <c r="W312" t="n">
        <v>0.44</v>
      </c>
      <c r="X312" t="n">
        <v>24.64</v>
      </c>
      <c r="AA312" t="n">
        <v>-686.23</v>
      </c>
      <c r="AB312" t="n">
        <v>1.51</v>
      </c>
      <c r="AC312" t="n">
        <v>-5.09</v>
      </c>
      <c r="AD312" t="n">
        <v>18061252.8</v>
      </c>
    </row>
    <row r="313">
      <c r="A313" t="inlineStr">
        <is>
          <t>HETA4</t>
        </is>
      </c>
      <c r="B313" t="n">
        <v>4.8</v>
      </c>
      <c r="D313" t="n">
        <v>3.17</v>
      </c>
      <c r="E313" t="n">
        <v>-0.01</v>
      </c>
      <c r="F313" t="n">
        <v>0.24</v>
      </c>
      <c r="G313" t="n">
        <v>100</v>
      </c>
      <c r="H313" t="n">
        <v>87.45999999999999</v>
      </c>
      <c r="I313" t="n">
        <v>17.01</v>
      </c>
      <c r="J313" t="n">
        <v>0.62</v>
      </c>
      <c r="K313" t="n">
        <v>86.3</v>
      </c>
      <c r="L313" t="n">
        <v>81.76000000000001</v>
      </c>
      <c r="N313" t="n">
        <v>0.54</v>
      </c>
      <c r="O313" t="n">
        <v>-0.53</v>
      </c>
      <c r="P313" t="n">
        <v>-0.26</v>
      </c>
      <c r="Q313" t="n">
        <v>0.19</v>
      </c>
      <c r="R313" t="n">
        <v>-0.22</v>
      </c>
      <c r="S313" t="n">
        <v>7.43</v>
      </c>
      <c r="T313" t="n">
        <v>-14.56</v>
      </c>
      <c r="U313" t="n">
        <v>-33.69</v>
      </c>
      <c r="V313" t="n">
        <v>34.69</v>
      </c>
      <c r="W313" t="n">
        <v>0.44</v>
      </c>
      <c r="X313" t="n">
        <v>24.64</v>
      </c>
      <c r="Z313" t="n">
        <v>274.32</v>
      </c>
      <c r="AA313" t="n">
        <v>-686.23</v>
      </c>
      <c r="AB313" t="n">
        <v>1.51</v>
      </c>
      <c r="AC313" t="n">
        <v>-0.25</v>
      </c>
      <c r="AD313" t="n">
        <v>18061252.8</v>
      </c>
    </row>
    <row r="314">
      <c r="A314" t="inlineStr">
        <is>
          <t>HGTX3</t>
        </is>
      </c>
      <c r="B314" t="n">
        <v>37.5</v>
      </c>
      <c r="D314" t="n">
        <v>101.99</v>
      </c>
      <c r="E314" t="n">
        <v>3.57</v>
      </c>
      <c r="F314" t="n">
        <v>2.48</v>
      </c>
      <c r="G314" t="n">
        <v>40.58</v>
      </c>
      <c r="H314" t="n">
        <v>-0.59</v>
      </c>
      <c r="I314" t="n">
        <v>4.1</v>
      </c>
      <c r="J314" t="n">
        <v>-707.65</v>
      </c>
      <c r="K314" t="n">
        <v>-713.65</v>
      </c>
      <c r="L314" t="n">
        <v>-5.99</v>
      </c>
      <c r="M314" t="n">
        <v>0.03</v>
      </c>
      <c r="N314" t="n">
        <v>4.18</v>
      </c>
      <c r="O314" t="n">
        <v>7.5</v>
      </c>
      <c r="P314" t="n">
        <v>-5.59</v>
      </c>
      <c r="Q314" t="n">
        <v>2.47</v>
      </c>
      <c r="R314" t="n">
        <v>3.51</v>
      </c>
      <c r="S314" t="n">
        <v>2.43</v>
      </c>
      <c r="T314" t="n">
        <v>-13.6</v>
      </c>
      <c r="U314" t="n">
        <v>0.6899999999999999</v>
      </c>
      <c r="V314" t="n">
        <v>0.31</v>
      </c>
      <c r="W314" t="n">
        <v>0.59</v>
      </c>
      <c r="X314" t="n">
        <v>-7.54</v>
      </c>
      <c r="Y314" t="n">
        <v>-26.63</v>
      </c>
      <c r="AA314" t="n">
        <v>10.49</v>
      </c>
      <c r="AB314" t="n">
        <v>0.37</v>
      </c>
      <c r="AC314" t="n">
        <v>-1.23</v>
      </c>
      <c r="AD314" t="n">
        <v>6095022637.5</v>
      </c>
    </row>
    <row r="315">
      <c r="A315" t="inlineStr">
        <is>
          <t>HOOT3</t>
        </is>
      </c>
      <c r="B315" t="n">
        <v>0</v>
      </c>
      <c r="D315" t="n">
        <v>0</v>
      </c>
      <c r="E315" t="n">
        <v>0</v>
      </c>
      <c r="F315" t="n">
        <v>0</v>
      </c>
      <c r="G315" t="n">
        <v>64.95999999999999</v>
      </c>
      <c r="H315" t="n">
        <v>40.17</v>
      </c>
      <c r="I315" t="n">
        <v>17.19</v>
      </c>
      <c r="J315" t="n">
        <v>0</v>
      </c>
      <c r="K315" t="n">
        <v>-0.02</v>
      </c>
      <c r="L315" t="n">
        <v>-0.66</v>
      </c>
      <c r="N315" t="n">
        <v>0</v>
      </c>
      <c r="O315" t="n">
        <v>0</v>
      </c>
      <c r="P315" t="n">
        <v>0</v>
      </c>
      <c r="Q315" t="n">
        <v>0.89</v>
      </c>
      <c r="R315" t="n">
        <v>-266.14</v>
      </c>
      <c r="S315" t="n">
        <v>6.32</v>
      </c>
      <c r="T315" t="n">
        <v>-93.2</v>
      </c>
      <c r="U315" t="n">
        <v>-0.02</v>
      </c>
      <c r="V315" t="n">
        <v>1.08</v>
      </c>
      <c r="W315" t="n">
        <v>0.37</v>
      </c>
      <c r="X315" t="n">
        <v>39.8</v>
      </c>
      <c r="AA315" t="n">
        <v>-0.71</v>
      </c>
      <c r="AB315" t="n">
        <v>1.89</v>
      </c>
      <c r="AC315" t="n">
        <v>0</v>
      </c>
      <c r="AD315" t="n">
        <v>52656274.98</v>
      </c>
    </row>
    <row r="316">
      <c r="A316" t="inlineStr">
        <is>
          <t>HOOT4</t>
        </is>
      </c>
      <c r="B316" t="n">
        <v>6.67</v>
      </c>
      <c r="D316" t="n">
        <v>3.52</v>
      </c>
      <c r="E316" t="n">
        <v>-9.369999999999999</v>
      </c>
      <c r="F316" t="n">
        <v>0.22</v>
      </c>
      <c r="G316" t="n">
        <v>64.95999999999999</v>
      </c>
      <c r="H316" t="n">
        <v>40.17</v>
      </c>
      <c r="I316" t="n">
        <v>17.19</v>
      </c>
      <c r="J316" t="n">
        <v>1.51</v>
      </c>
      <c r="K316" t="n">
        <v>-0.02</v>
      </c>
      <c r="L316" t="n">
        <v>-0.66</v>
      </c>
      <c r="N316" t="n">
        <v>0.61</v>
      </c>
      <c r="O316" t="n">
        <v>-7.08</v>
      </c>
      <c r="P316" t="n">
        <v>-0.29</v>
      </c>
      <c r="Q316" t="n">
        <v>0.89</v>
      </c>
      <c r="R316" t="n">
        <v>-266.14</v>
      </c>
      <c r="S316" t="n">
        <v>6.32</v>
      </c>
      <c r="T316" t="n">
        <v>-93.2</v>
      </c>
      <c r="U316" t="n">
        <v>-0.02</v>
      </c>
      <c r="V316" t="n">
        <v>1.08</v>
      </c>
      <c r="W316" t="n">
        <v>0.37</v>
      </c>
      <c r="X316" t="n">
        <v>39.8</v>
      </c>
      <c r="Z316" t="n">
        <v>33359.24</v>
      </c>
      <c r="AA316" t="n">
        <v>-0.71</v>
      </c>
      <c r="AB316" t="n">
        <v>1.89</v>
      </c>
      <c r="AC316" t="n">
        <v>-0.06</v>
      </c>
      <c r="AD316" t="n">
        <v>52656274.98</v>
      </c>
    </row>
    <row r="317">
      <c r="A317" t="inlineStr">
        <is>
          <t>HYPE3</t>
        </is>
      </c>
      <c r="B317" t="n">
        <v>21.14</v>
      </c>
      <c r="C317" t="n">
        <v>4.01</v>
      </c>
      <c r="D317" t="n">
        <v>8.84</v>
      </c>
      <c r="E317" t="n">
        <v>1.05</v>
      </c>
      <c r="F317" t="n">
        <v>0.57</v>
      </c>
      <c r="G317" t="n">
        <v>60.74</v>
      </c>
      <c r="H317" t="n">
        <v>28.87</v>
      </c>
      <c r="I317" t="n">
        <v>19.48</v>
      </c>
      <c r="J317" t="n">
        <v>5.97</v>
      </c>
      <c r="K317" t="n">
        <v>8.48</v>
      </c>
      <c r="L317" t="n">
        <v>2.5</v>
      </c>
      <c r="M317" t="n">
        <v>0.44</v>
      </c>
      <c r="N317" t="n">
        <v>1.72</v>
      </c>
      <c r="O317" t="n">
        <v>4.54</v>
      </c>
      <c r="P317" t="n">
        <v>-0.77</v>
      </c>
      <c r="Q317" t="n">
        <v>1.95</v>
      </c>
      <c r="R317" t="n">
        <v>11.91</v>
      </c>
      <c r="S317" t="n">
        <v>6.47</v>
      </c>
      <c r="T317" t="n">
        <v>9.119999999999999</v>
      </c>
      <c r="U317" t="n">
        <v>0.54</v>
      </c>
      <c r="V317" t="n">
        <v>0.46</v>
      </c>
      <c r="W317" t="n">
        <v>0.33</v>
      </c>
      <c r="X317" t="n">
        <v>13.49</v>
      </c>
      <c r="Y317" t="n">
        <v>5.38</v>
      </c>
      <c r="Z317" t="n">
        <v>55764849.73</v>
      </c>
      <c r="AA317" t="n">
        <v>20.06</v>
      </c>
      <c r="AB317" t="n">
        <v>2.39</v>
      </c>
      <c r="AC317" t="n">
        <v>0.08</v>
      </c>
      <c r="AD317" t="n">
        <v>14910911869.62</v>
      </c>
    </row>
    <row r="318">
      <c r="A318" t="inlineStr">
        <is>
          <t>IDVL3</t>
        </is>
      </c>
      <c r="B318" t="n">
        <v>2.16</v>
      </c>
      <c r="D318" t="n">
        <v>-0.99</v>
      </c>
      <c r="E318" t="n">
        <v>0.93</v>
      </c>
      <c r="F318" t="n">
        <v>0.06</v>
      </c>
      <c r="G318" t="n">
        <v>-18.91</v>
      </c>
      <c r="H318" t="n">
        <v>-40.19</v>
      </c>
      <c r="I318" t="n">
        <v>-154.6</v>
      </c>
      <c r="J318" t="n">
        <v>-3.81</v>
      </c>
      <c r="K318" t="n">
        <v>-3.84</v>
      </c>
      <c r="N318" t="n">
        <v>1.53</v>
      </c>
      <c r="O318" t="n">
        <v>0.48</v>
      </c>
      <c r="P318" t="n">
        <v>-0.13</v>
      </c>
      <c r="Q318" t="n">
        <v>1.26</v>
      </c>
      <c r="R318" t="n">
        <v>-94.38</v>
      </c>
      <c r="S318" t="n">
        <v>-5.67</v>
      </c>
      <c r="U318" t="n">
        <v>0.06</v>
      </c>
      <c r="V318" t="n">
        <v>0.9399999999999999</v>
      </c>
      <c r="W318" t="n">
        <v>0.04</v>
      </c>
      <c r="X318" t="n">
        <v>-32.17</v>
      </c>
      <c r="AA318" t="n">
        <v>2.31</v>
      </c>
      <c r="AB318" t="n">
        <v>-2.18</v>
      </c>
      <c r="AC318" t="n">
        <v>0</v>
      </c>
      <c r="AD318" t="n">
        <v>224007574.38</v>
      </c>
    </row>
    <row r="319">
      <c r="A319" t="inlineStr">
        <is>
          <t>IDVL4</t>
        </is>
      </c>
      <c r="B319" t="n">
        <v>2.67</v>
      </c>
      <c r="D319" t="n">
        <v>-1.22</v>
      </c>
      <c r="E319" t="n">
        <v>1.16</v>
      </c>
      <c r="F319" t="n">
        <v>0.07000000000000001</v>
      </c>
      <c r="G319" t="n">
        <v>-18.91</v>
      </c>
      <c r="H319" t="n">
        <v>-40.19</v>
      </c>
      <c r="I319" t="n">
        <v>-154.6</v>
      </c>
      <c r="J319" t="n">
        <v>-4.71</v>
      </c>
      <c r="K319" t="n">
        <v>-3.84</v>
      </c>
      <c r="N319" t="n">
        <v>1.89</v>
      </c>
      <c r="O319" t="n">
        <v>0.59</v>
      </c>
      <c r="P319" t="n">
        <v>-0.16</v>
      </c>
      <c r="Q319" t="n">
        <v>1.26</v>
      </c>
      <c r="R319" t="n">
        <v>-94.38</v>
      </c>
      <c r="S319" t="n">
        <v>-5.67</v>
      </c>
      <c r="U319" t="n">
        <v>0.06</v>
      </c>
      <c r="V319" t="n">
        <v>0.9399999999999999</v>
      </c>
      <c r="W319" t="n">
        <v>0.04</v>
      </c>
      <c r="X319" t="n">
        <v>-32.17</v>
      </c>
      <c r="AA319" t="n">
        <v>2.31</v>
      </c>
      <c r="AB319" t="n">
        <v>-2.18</v>
      </c>
      <c r="AC319" t="n">
        <v>0</v>
      </c>
      <c r="AD319" t="n">
        <v>224007574.38</v>
      </c>
    </row>
    <row r="320">
      <c r="A320" t="inlineStr">
        <is>
          <t>IFCM3</t>
        </is>
      </c>
      <c r="B320" t="n">
        <v>1.43</v>
      </c>
      <c r="D320" t="n">
        <v>-0.11</v>
      </c>
      <c r="E320" t="n">
        <v>0.26</v>
      </c>
      <c r="F320" t="n">
        <v>0.03</v>
      </c>
      <c r="G320" t="n">
        <v>20.39</v>
      </c>
      <c r="H320" t="n">
        <v>-18.36</v>
      </c>
      <c r="I320" t="n">
        <v>-53.78</v>
      </c>
      <c r="J320" t="n">
        <v>-0.32</v>
      </c>
      <c r="K320" t="n">
        <v>-3.46</v>
      </c>
      <c r="L320" t="n">
        <v>-3.14</v>
      </c>
      <c r="M320" t="n">
        <v>2.51</v>
      </c>
      <c r="N320" t="n">
        <v>0.06</v>
      </c>
      <c r="O320" t="n">
        <v>0.16</v>
      </c>
      <c r="P320" t="n">
        <v>-0.06</v>
      </c>
      <c r="Q320" t="n">
        <v>1.67</v>
      </c>
      <c r="R320" t="n">
        <v>-234.17</v>
      </c>
      <c r="S320" t="n">
        <v>-28.01</v>
      </c>
      <c r="T320" t="n">
        <v>-19.56</v>
      </c>
      <c r="U320" t="n">
        <v>0.12</v>
      </c>
      <c r="V320" t="n">
        <v>0.88</v>
      </c>
      <c r="W320" t="n">
        <v>0.52</v>
      </c>
      <c r="X320" t="n">
        <v>24.65</v>
      </c>
      <c r="Z320" t="n">
        <v>108026.32</v>
      </c>
      <c r="AA320" t="n">
        <v>5.53</v>
      </c>
      <c r="AB320" t="n">
        <v>-12.94</v>
      </c>
      <c r="AC320" t="n">
        <v>0</v>
      </c>
      <c r="AD320" t="n">
        <v>39684598.56</v>
      </c>
    </row>
    <row r="321">
      <c r="A321" t="inlineStr">
        <is>
          <t>IGBR3</t>
        </is>
      </c>
      <c r="B321" t="n">
        <v>175.99</v>
      </c>
      <c r="D321" t="n">
        <v>0.5600000000000001</v>
      </c>
      <c r="E321" t="n">
        <v>-0.34</v>
      </c>
      <c r="F321" t="n">
        <v>1.04</v>
      </c>
      <c r="G321" t="n">
        <v>100</v>
      </c>
      <c r="H321" t="n">
        <v>6032.01</v>
      </c>
      <c r="I321" t="n">
        <v>5379.32</v>
      </c>
      <c r="J321" t="n">
        <v>0.5</v>
      </c>
      <c r="K321" t="n">
        <v>1.06</v>
      </c>
      <c r="L321" t="n">
        <v>0.5600000000000001</v>
      </c>
      <c r="N321" t="n">
        <v>30.26</v>
      </c>
      <c r="O321" t="n">
        <v>-0.99</v>
      </c>
      <c r="P321" t="n">
        <v>-2.15</v>
      </c>
      <c r="Q321" t="n">
        <v>0.33</v>
      </c>
      <c r="R321" t="n">
        <v>-60.1</v>
      </c>
      <c r="S321" t="n">
        <v>184.1</v>
      </c>
      <c r="T321" t="n">
        <v>-146.75</v>
      </c>
      <c r="U321" t="n">
        <v>-3.06</v>
      </c>
      <c r="V321" t="n">
        <v>4.06</v>
      </c>
      <c r="W321" t="n">
        <v>0.03</v>
      </c>
      <c r="X321" t="n">
        <v>-7.98</v>
      </c>
      <c r="AA321" t="n">
        <v>-520.5599999999999</v>
      </c>
      <c r="AB321" t="n">
        <v>312.87</v>
      </c>
      <c r="AC321" t="n">
        <v>0</v>
      </c>
      <c r="AD321" t="n">
        <v>220074791.04</v>
      </c>
    </row>
    <row r="322">
      <c r="A322" t="inlineStr">
        <is>
          <t>IGSN3</t>
        </is>
      </c>
      <c r="B322" t="n">
        <v>0</v>
      </c>
      <c r="D322" t="n">
        <v>0</v>
      </c>
      <c r="E322" t="n">
        <v>0</v>
      </c>
      <c r="F322" t="n">
        <v>0</v>
      </c>
      <c r="G322" t="n">
        <v>30.75</v>
      </c>
      <c r="H322" t="n">
        <v>18.95</v>
      </c>
      <c r="I322" t="n">
        <v>-16.35</v>
      </c>
      <c r="J322" t="n">
        <v>0</v>
      </c>
      <c r="K322" t="n">
        <v>17.38</v>
      </c>
      <c r="L322" t="n">
        <v>17.38</v>
      </c>
      <c r="M322" t="n">
        <v>3.84</v>
      </c>
      <c r="N322" t="n">
        <v>0</v>
      </c>
      <c r="O322" t="n">
        <v>0</v>
      </c>
      <c r="P322" t="n">
        <v>0</v>
      </c>
      <c r="Q322" t="n">
        <v>0.7</v>
      </c>
      <c r="R322" t="n">
        <v>-19.08</v>
      </c>
      <c r="S322" t="n">
        <v>-3.37</v>
      </c>
      <c r="T322" t="n">
        <v>2.41</v>
      </c>
      <c r="U322" t="n">
        <v>0.18</v>
      </c>
      <c r="V322" t="n">
        <v>0.82</v>
      </c>
      <c r="W322" t="n">
        <v>0.21</v>
      </c>
      <c r="X322" t="n">
        <v>35.48</v>
      </c>
      <c r="AA322" t="n">
        <v>5.3</v>
      </c>
      <c r="AB322" t="n">
        <v>-1.01</v>
      </c>
      <c r="AC322" t="n">
        <v>0</v>
      </c>
      <c r="AD322" t="n">
        <v>0</v>
      </c>
    </row>
    <row r="323">
      <c r="A323" t="inlineStr">
        <is>
          <t>IGTA3</t>
        </is>
      </c>
      <c r="B323" t="n">
        <v>33</v>
      </c>
      <c r="D323" t="n">
        <v>7.56</v>
      </c>
      <c r="E323" t="n">
        <v>1.31</v>
      </c>
      <c r="F323" t="n">
        <v>0.7</v>
      </c>
      <c r="G323" t="n">
        <v>70.78</v>
      </c>
      <c r="H323" t="n">
        <v>84.98999999999999</v>
      </c>
      <c r="I323" t="n">
        <v>58.6</v>
      </c>
      <c r="J323" t="n">
        <v>5.22</v>
      </c>
      <c r="K323" t="n">
        <v>6.22</v>
      </c>
      <c r="L323" t="n">
        <v>1.01</v>
      </c>
      <c r="M323" t="n">
        <v>0.25</v>
      </c>
      <c r="N323" t="n">
        <v>4.43</v>
      </c>
      <c r="O323" t="n">
        <v>3.72</v>
      </c>
      <c r="P323" t="n">
        <v>-0.98</v>
      </c>
      <c r="Q323" t="n">
        <v>2.88</v>
      </c>
      <c r="R323" t="n">
        <v>17.38</v>
      </c>
      <c r="S323" t="n">
        <v>9.220000000000001</v>
      </c>
      <c r="T323" t="n">
        <v>13.06</v>
      </c>
      <c r="U323" t="n">
        <v>0.53</v>
      </c>
      <c r="V323" t="n">
        <v>0.47</v>
      </c>
      <c r="W323" t="n">
        <v>0.16</v>
      </c>
      <c r="X323" t="n">
        <v>11.96</v>
      </c>
      <c r="Y323" t="n">
        <v>28.91</v>
      </c>
      <c r="AA323" t="n">
        <v>25.11</v>
      </c>
      <c r="AB323" t="n">
        <v>4.36</v>
      </c>
      <c r="AC323" t="n">
        <v>0.08</v>
      </c>
      <c r="AD323" t="n">
        <v>5444903277</v>
      </c>
    </row>
    <row r="324">
      <c r="A324" t="inlineStr">
        <is>
          <t>IGTI11</t>
        </is>
      </c>
      <c r="B324" t="n">
        <v>24.57</v>
      </c>
      <c r="C324" t="n">
        <v>2.06</v>
      </c>
      <c r="D324" t="n">
        <v>13.86</v>
      </c>
      <c r="E324" t="n">
        <v>2.03</v>
      </c>
      <c r="F324" t="n">
        <v>1.02</v>
      </c>
      <c r="G324" t="n">
        <v>74.31</v>
      </c>
      <c r="H324" t="n">
        <v>83.56999999999999</v>
      </c>
      <c r="I324" t="n">
        <v>46.51</v>
      </c>
      <c r="J324" t="n">
        <v>7.72</v>
      </c>
      <c r="K324" t="n">
        <v>6.57</v>
      </c>
      <c r="L324" t="n">
        <v>1.49</v>
      </c>
      <c r="M324" t="n">
        <v>0.39</v>
      </c>
      <c r="N324" t="n">
        <v>6.45</v>
      </c>
      <c r="O324" t="n">
        <v>5.97</v>
      </c>
      <c r="P324" t="n">
        <v>-1.39</v>
      </c>
      <c r="Q324" t="n">
        <v>2.82</v>
      </c>
      <c r="R324" t="n">
        <v>14.63</v>
      </c>
      <c r="S324" t="n">
        <v>7.36</v>
      </c>
      <c r="T324" t="n">
        <v>13.37</v>
      </c>
      <c r="U324" t="n">
        <v>0.5</v>
      </c>
      <c r="V324" t="n">
        <v>0.5</v>
      </c>
      <c r="W324" t="n">
        <v>0.16</v>
      </c>
      <c r="X324" t="n">
        <v>17.05</v>
      </c>
      <c r="Y324" t="n">
        <v>56.26</v>
      </c>
      <c r="Z324" t="n">
        <v>41086723.73</v>
      </c>
      <c r="AA324" t="n">
        <v>12.11</v>
      </c>
      <c r="AB324" t="n">
        <v>1.77</v>
      </c>
      <c r="AC324" t="n">
        <v>0.21</v>
      </c>
      <c r="AD324" t="n">
        <v>6502364318.6</v>
      </c>
    </row>
    <row r="325">
      <c r="A325" t="inlineStr">
        <is>
          <t>IGTI3</t>
        </is>
      </c>
      <c r="B325" t="n">
        <v>3.14</v>
      </c>
      <c r="C325" t="n">
        <v>2.3</v>
      </c>
      <c r="D325" t="n">
        <v>5.32</v>
      </c>
      <c r="E325" t="n">
        <v>0.78</v>
      </c>
      <c r="F325" t="n">
        <v>0.39</v>
      </c>
      <c r="G325" t="n">
        <v>74.31</v>
      </c>
      <c r="H325" t="n">
        <v>83.56999999999999</v>
      </c>
      <c r="I325" t="n">
        <v>46.51</v>
      </c>
      <c r="J325" t="n">
        <v>2.96</v>
      </c>
      <c r="K325" t="n">
        <v>6.57</v>
      </c>
      <c r="L325" t="n">
        <v>1.49</v>
      </c>
      <c r="M325" t="n">
        <v>0.39</v>
      </c>
      <c r="N325" t="n">
        <v>2.47</v>
      </c>
      <c r="O325" t="n">
        <v>2.29</v>
      </c>
      <c r="P325" t="n">
        <v>-0.53</v>
      </c>
      <c r="Q325" t="n">
        <v>2.82</v>
      </c>
      <c r="R325" t="n">
        <v>14.63</v>
      </c>
      <c r="S325" t="n">
        <v>7.36</v>
      </c>
      <c r="T325" t="n">
        <v>13.37</v>
      </c>
      <c r="U325" t="n">
        <v>0.5</v>
      </c>
      <c r="V325" t="n">
        <v>0.5</v>
      </c>
      <c r="W325" t="n">
        <v>0.16</v>
      </c>
      <c r="X325" t="n">
        <v>17.05</v>
      </c>
      <c r="Y325" t="n">
        <v>56.26</v>
      </c>
      <c r="Z325" t="n">
        <v>173419</v>
      </c>
      <c r="AA325" t="n">
        <v>4.04</v>
      </c>
      <c r="AB325" t="n">
        <v>0.59</v>
      </c>
      <c r="AC325" t="n">
        <v>0.08</v>
      </c>
      <c r="AD325" t="n">
        <v>6502364318.6</v>
      </c>
    </row>
    <row r="326">
      <c r="A326" t="inlineStr">
        <is>
          <t>IGTI4</t>
        </is>
      </c>
      <c r="B326" t="n">
        <v>11.11</v>
      </c>
      <c r="C326" t="n">
        <v>1.95</v>
      </c>
      <c r="D326" t="n">
        <v>18.81</v>
      </c>
      <c r="E326" t="n">
        <v>2.75</v>
      </c>
      <c r="F326" t="n">
        <v>1.39</v>
      </c>
      <c r="G326" t="n">
        <v>74.31</v>
      </c>
      <c r="H326" t="n">
        <v>83.56999999999999</v>
      </c>
      <c r="I326" t="n">
        <v>46.51</v>
      </c>
      <c r="J326" t="n">
        <v>10.47</v>
      </c>
      <c r="K326" t="n">
        <v>6.57</v>
      </c>
      <c r="L326" t="n">
        <v>1.49</v>
      </c>
      <c r="M326" t="n">
        <v>0.39</v>
      </c>
      <c r="N326" t="n">
        <v>8.75</v>
      </c>
      <c r="O326" t="n">
        <v>8.1</v>
      </c>
      <c r="P326" t="n">
        <v>-1.88</v>
      </c>
      <c r="Q326" t="n">
        <v>2.82</v>
      </c>
      <c r="R326" t="n">
        <v>14.63</v>
      </c>
      <c r="S326" t="n">
        <v>7.36</v>
      </c>
      <c r="T326" t="n">
        <v>13.37</v>
      </c>
      <c r="U326" t="n">
        <v>0.5</v>
      </c>
      <c r="V326" t="n">
        <v>0.5</v>
      </c>
      <c r="W326" t="n">
        <v>0.16</v>
      </c>
      <c r="X326" t="n">
        <v>17.05</v>
      </c>
      <c r="Y326" t="n">
        <v>56.26</v>
      </c>
      <c r="Z326" t="n">
        <v>19549.14</v>
      </c>
      <c r="AA326" t="n">
        <v>4.04</v>
      </c>
      <c r="AB326" t="n">
        <v>0.59</v>
      </c>
      <c r="AC326" t="n">
        <v>0.28</v>
      </c>
      <c r="AD326" t="n">
        <v>6502364318.6</v>
      </c>
    </row>
    <row r="327">
      <c r="A327" t="inlineStr">
        <is>
          <t>INEP3</t>
        </is>
      </c>
      <c r="B327" t="n">
        <v>1.65</v>
      </c>
      <c r="D327" t="n">
        <v>-0.17</v>
      </c>
      <c r="E327" t="n">
        <v>-0.05</v>
      </c>
      <c r="F327" t="n">
        <v>0.26</v>
      </c>
      <c r="G327" t="n">
        <v>-13.66</v>
      </c>
      <c r="H327" t="n">
        <v>-4468.19</v>
      </c>
      <c r="I327" t="n">
        <v>-5950.49</v>
      </c>
      <c r="J327" t="n">
        <v>-0.23</v>
      </c>
      <c r="K327" t="n">
        <v>-2.4</v>
      </c>
      <c r="L327" t="n">
        <v>-2.17</v>
      </c>
      <c r="N327" t="n">
        <v>10.37</v>
      </c>
      <c r="O327" t="n">
        <v>-0.11</v>
      </c>
      <c r="P327" t="n">
        <v>-0.39</v>
      </c>
      <c r="Q327" t="n">
        <v>0.13</v>
      </c>
      <c r="R327" t="n">
        <v>-29.15</v>
      </c>
      <c r="S327" t="n">
        <v>-147.59</v>
      </c>
      <c r="T327" t="n">
        <v>41.84</v>
      </c>
      <c r="U327" t="n">
        <v>-5.06</v>
      </c>
      <c r="V327" t="n">
        <v>6.06</v>
      </c>
      <c r="W327" t="n">
        <v>0.02</v>
      </c>
      <c r="X327" t="n">
        <v>-3.27</v>
      </c>
      <c r="Z327" t="n">
        <v>174890.27</v>
      </c>
      <c r="AA327" t="n">
        <v>-32.47</v>
      </c>
      <c r="AB327" t="n">
        <v>-9.460000000000001</v>
      </c>
      <c r="AC327" t="n">
        <v>0</v>
      </c>
      <c r="AD327" t="n">
        <v>89720197.12</v>
      </c>
    </row>
    <row r="328">
      <c r="A328" t="inlineStr">
        <is>
          <t>INEP4</t>
        </is>
      </c>
      <c r="B328" t="n">
        <v>1.72</v>
      </c>
      <c r="D328" t="n">
        <v>-0.18</v>
      </c>
      <c r="E328" t="n">
        <v>-0.05</v>
      </c>
      <c r="F328" t="n">
        <v>0.27</v>
      </c>
      <c r="G328" t="n">
        <v>-13.66</v>
      </c>
      <c r="H328" t="n">
        <v>-4468.19</v>
      </c>
      <c r="I328" t="n">
        <v>-5950.49</v>
      </c>
      <c r="J328" t="n">
        <v>-0.24</v>
      </c>
      <c r="K328" t="n">
        <v>-2.4</v>
      </c>
      <c r="L328" t="n">
        <v>-2.17</v>
      </c>
      <c r="N328" t="n">
        <v>10.81</v>
      </c>
      <c r="O328" t="n">
        <v>-0.12</v>
      </c>
      <c r="P328" t="n">
        <v>-0.4</v>
      </c>
      <c r="Q328" t="n">
        <v>0.13</v>
      </c>
      <c r="R328" t="n">
        <v>-29.15</v>
      </c>
      <c r="S328" t="n">
        <v>-147.59</v>
      </c>
      <c r="T328" t="n">
        <v>41.84</v>
      </c>
      <c r="U328" t="n">
        <v>-5.06</v>
      </c>
      <c r="V328" t="n">
        <v>6.06</v>
      </c>
      <c r="W328" t="n">
        <v>0.02</v>
      </c>
      <c r="X328" t="n">
        <v>-3.27</v>
      </c>
      <c r="Z328" t="n">
        <v>28758.91</v>
      </c>
      <c r="AA328" t="n">
        <v>-32.47</v>
      </c>
      <c r="AB328" t="n">
        <v>-9.460000000000001</v>
      </c>
      <c r="AC328" t="n">
        <v>0</v>
      </c>
      <c r="AD328" t="n">
        <v>89720197.12</v>
      </c>
    </row>
    <row r="329">
      <c r="A329" t="inlineStr">
        <is>
          <t>INNT3</t>
        </is>
      </c>
      <c r="B329" t="n">
        <v>0</v>
      </c>
      <c r="D329" t="n">
        <v>0</v>
      </c>
      <c r="E329" t="n">
        <v>0</v>
      </c>
      <c r="F329" t="n">
        <v>0</v>
      </c>
      <c r="G329" t="n">
        <v>33.54</v>
      </c>
      <c r="H329" t="n">
        <v>10.5</v>
      </c>
      <c r="I329" t="n">
        <v>12.74</v>
      </c>
      <c r="J329" t="n">
        <v>0</v>
      </c>
      <c r="K329" t="n">
        <v>5.97</v>
      </c>
      <c r="L329" t="n">
        <v>5.97</v>
      </c>
      <c r="M329" t="n">
        <v>1.43</v>
      </c>
      <c r="N329" t="n">
        <v>0</v>
      </c>
      <c r="O329" t="n">
        <v>0</v>
      </c>
      <c r="P329" t="n">
        <v>0</v>
      </c>
      <c r="Q329" t="n">
        <v>2</v>
      </c>
      <c r="R329" t="n">
        <v>29.15</v>
      </c>
      <c r="S329" t="n">
        <v>4.56</v>
      </c>
      <c r="T329" t="n">
        <v>-1.5</v>
      </c>
      <c r="U329" t="n">
        <v>0.16</v>
      </c>
      <c r="V329" t="n">
        <v>0.84</v>
      </c>
      <c r="W329" t="n">
        <v>0.36</v>
      </c>
      <c r="X329" t="n">
        <v>20.14</v>
      </c>
      <c r="AA329" t="n">
        <v>3.23</v>
      </c>
      <c r="AB329" t="n">
        <v>0.9399999999999999</v>
      </c>
      <c r="AC329" t="n">
        <v>0</v>
      </c>
      <c r="AD329" t="n">
        <v>0</v>
      </c>
    </row>
    <row r="330">
      <c r="A330" t="inlineStr">
        <is>
          <t>INTB3</t>
        </is>
      </c>
      <c r="B330" t="n">
        <v>13.45</v>
      </c>
      <c r="C330" t="n">
        <v>8.390000000000001</v>
      </c>
      <c r="D330" t="n">
        <v>7.67</v>
      </c>
      <c r="E330" t="n">
        <v>1.4</v>
      </c>
      <c r="F330" t="n">
        <v>0.82</v>
      </c>
      <c r="G330" t="n">
        <v>30.38</v>
      </c>
      <c r="H330" t="n">
        <v>10.76</v>
      </c>
      <c r="I330" t="n">
        <v>12.36</v>
      </c>
      <c r="J330" t="n">
        <v>8.81</v>
      </c>
      <c r="K330" t="n">
        <v>8.16</v>
      </c>
      <c r="L330" t="n">
        <v>-0.68</v>
      </c>
      <c r="M330" t="n">
        <v>-0.11</v>
      </c>
      <c r="N330" t="n">
        <v>0.95</v>
      </c>
      <c r="O330" t="n">
        <v>1.79</v>
      </c>
      <c r="P330" t="n">
        <v>-3.05</v>
      </c>
      <c r="Q330" t="n">
        <v>2.65</v>
      </c>
      <c r="R330" t="n">
        <v>18.29</v>
      </c>
      <c r="S330" t="n">
        <v>10.64</v>
      </c>
      <c r="T330" t="n">
        <v>11.86</v>
      </c>
      <c r="U330" t="n">
        <v>0.58</v>
      </c>
      <c r="V330" t="n">
        <v>0.41</v>
      </c>
      <c r="W330" t="n">
        <v>0.86</v>
      </c>
      <c r="X330" t="n">
        <v>15.88</v>
      </c>
      <c r="Y330" t="n">
        <v>11.88</v>
      </c>
      <c r="Z330" t="n">
        <v>19220500.45</v>
      </c>
      <c r="AA330" t="n">
        <v>9.6</v>
      </c>
      <c r="AB330" t="n">
        <v>1.75</v>
      </c>
      <c r="AC330" t="n">
        <v>0.24</v>
      </c>
      <c r="AD330" t="n">
        <v>4422749985</v>
      </c>
    </row>
    <row r="331">
      <c r="A331" t="inlineStr">
        <is>
          <t>IRBR3</t>
        </is>
      </c>
      <c r="B331" t="n">
        <v>53.33</v>
      </c>
      <c r="C331" t="n">
        <v>2.92</v>
      </c>
      <c r="D331" t="n">
        <v>12.45</v>
      </c>
      <c r="E331" t="n">
        <v>0.82</v>
      </c>
      <c r="F331" t="n">
        <v>0.28</v>
      </c>
      <c r="G331" t="n">
        <v>8.449999999999999</v>
      </c>
      <c r="H331" t="n">
        <v>8.01</v>
      </c>
      <c r="I331" t="n">
        <v>7.08</v>
      </c>
      <c r="J331" t="n">
        <v>10.99</v>
      </c>
      <c r="K331" t="n">
        <v>10.98</v>
      </c>
      <c r="N331" t="n">
        <v>0.88</v>
      </c>
      <c r="O331" t="n">
        <v>2.07</v>
      </c>
      <c r="P331" t="n">
        <v>-0.46</v>
      </c>
      <c r="Q331" t="n">
        <v>1.56</v>
      </c>
      <c r="R331" t="n">
        <v>6.59</v>
      </c>
      <c r="S331" t="n">
        <v>2.27</v>
      </c>
      <c r="U331" t="n">
        <v>0.34</v>
      </c>
      <c r="V331" t="n">
        <v>0.66</v>
      </c>
      <c r="W331" t="n">
        <v>0.32</v>
      </c>
      <c r="X331" t="n">
        <v>-9.279999999999999</v>
      </c>
      <c r="Z331" t="n">
        <v>20969873.64</v>
      </c>
      <c r="AA331" t="n">
        <v>64.94</v>
      </c>
      <c r="AB331" t="n">
        <v>4.28</v>
      </c>
      <c r="AC331" t="n">
        <v>-0.25</v>
      </c>
      <c r="AD331" t="n">
        <v>4358133679.5</v>
      </c>
    </row>
    <row r="332">
      <c r="A332" t="inlineStr">
        <is>
          <t>ISAE3</t>
        </is>
      </c>
      <c r="B332" t="n">
        <v>31.58</v>
      </c>
      <c r="C332" t="n">
        <v>4.52</v>
      </c>
      <c r="D332" t="n">
        <v>9.48</v>
      </c>
      <c r="E332" t="n">
        <v>1.04</v>
      </c>
      <c r="F332" t="n">
        <v>0.46</v>
      </c>
      <c r="G332" t="n">
        <v>38.81</v>
      </c>
      <c r="H332" t="n">
        <v>43.1</v>
      </c>
      <c r="I332" t="n">
        <v>24.65</v>
      </c>
      <c r="J332" t="n">
        <v>5.42</v>
      </c>
      <c r="K332" t="n">
        <v>8.51</v>
      </c>
      <c r="L332" t="n">
        <v>3.66</v>
      </c>
      <c r="M332" t="n">
        <v>0.7</v>
      </c>
      <c r="N332" t="n">
        <v>2.34</v>
      </c>
      <c r="O332" t="n">
        <v>4.59</v>
      </c>
      <c r="P332" t="n">
        <v>-0.54</v>
      </c>
      <c r="Q332" t="n">
        <v>4</v>
      </c>
      <c r="R332" t="n">
        <v>10.94</v>
      </c>
      <c r="S332" t="n">
        <v>4.89</v>
      </c>
      <c r="T332" t="n">
        <v>9.83</v>
      </c>
      <c r="U332" t="n">
        <v>0.45</v>
      </c>
      <c r="V332" t="n">
        <v>0.54</v>
      </c>
      <c r="W332" t="n">
        <v>0.2</v>
      </c>
      <c r="X332" t="n">
        <v>20.55</v>
      </c>
      <c r="Y332" t="n">
        <v>-6.96</v>
      </c>
      <c r="Z332" t="n">
        <v>72562.17999999999</v>
      </c>
      <c r="AA332" t="n">
        <v>30.46</v>
      </c>
      <c r="AB332" t="n">
        <v>3.33</v>
      </c>
      <c r="AC332" t="n">
        <v>-0.28</v>
      </c>
      <c r="AD332" t="n">
        <v>19894604716.72</v>
      </c>
    </row>
    <row r="333">
      <c r="A333" t="inlineStr">
        <is>
          <t>ISAE4</t>
        </is>
      </c>
      <c r="B333" t="n">
        <v>26.53</v>
      </c>
      <c r="C333" t="n">
        <v>6.97</v>
      </c>
      <c r="D333" t="n">
        <v>7.96</v>
      </c>
      <c r="E333" t="n">
        <v>0.87</v>
      </c>
      <c r="F333" t="n">
        <v>0.39</v>
      </c>
      <c r="G333" t="n">
        <v>38.81</v>
      </c>
      <c r="H333" t="n">
        <v>43.1</v>
      </c>
      <c r="I333" t="n">
        <v>24.65</v>
      </c>
      <c r="J333" t="n">
        <v>4.55</v>
      </c>
      <c r="K333" t="n">
        <v>8.51</v>
      </c>
      <c r="L333" t="n">
        <v>3.66</v>
      </c>
      <c r="M333" t="n">
        <v>0.7</v>
      </c>
      <c r="N333" t="n">
        <v>1.96</v>
      </c>
      <c r="O333" t="n">
        <v>3.86</v>
      </c>
      <c r="P333" t="n">
        <v>-0.45</v>
      </c>
      <c r="Q333" t="n">
        <v>4</v>
      </c>
      <c r="R333" t="n">
        <v>10.94</v>
      </c>
      <c r="S333" t="n">
        <v>4.89</v>
      </c>
      <c r="T333" t="n">
        <v>9.83</v>
      </c>
      <c r="U333" t="n">
        <v>0.45</v>
      </c>
      <c r="V333" t="n">
        <v>0.54</v>
      </c>
      <c r="W333" t="n">
        <v>0.2</v>
      </c>
      <c r="X333" t="n">
        <v>20.55</v>
      </c>
      <c r="Y333" t="n">
        <v>-6.96</v>
      </c>
      <c r="Z333" t="n">
        <v>105098790.27</v>
      </c>
      <c r="AA333" t="n">
        <v>30.46</v>
      </c>
      <c r="AB333" t="n">
        <v>3.33</v>
      </c>
      <c r="AC333" t="n">
        <v>-0.23</v>
      </c>
      <c r="AD333" t="n">
        <v>19894604716.72</v>
      </c>
    </row>
    <row r="334">
      <c r="A334" t="inlineStr">
        <is>
          <t>ITEC3</t>
        </is>
      </c>
      <c r="B334" t="n">
        <v>40.1</v>
      </c>
      <c r="D334" t="n">
        <v>-35.12</v>
      </c>
      <c r="E334" t="n">
        <v>22.04</v>
      </c>
      <c r="F334" t="n">
        <v>9.220000000000001</v>
      </c>
      <c r="G334" t="n">
        <v>-121.18</v>
      </c>
      <c r="H334" t="n">
        <v>-18852.94</v>
      </c>
      <c r="I334" t="n">
        <v>-7435.88</v>
      </c>
      <c r="J334" t="n">
        <v>-13.85</v>
      </c>
      <c r="K334" t="n">
        <v>-13.21</v>
      </c>
      <c r="L334" t="n">
        <v>0.64</v>
      </c>
      <c r="M334" t="n">
        <v>-1.02</v>
      </c>
      <c r="N334" t="n">
        <v>2611.73</v>
      </c>
      <c r="O334" t="n">
        <v>25.42</v>
      </c>
      <c r="P334" t="n">
        <v>-16.7</v>
      </c>
      <c r="Q334" t="n">
        <v>5.23</v>
      </c>
      <c r="R334" t="n">
        <v>-62.76</v>
      </c>
      <c r="S334" t="n">
        <v>-26.24</v>
      </c>
      <c r="T334" t="n">
        <v>-174.07</v>
      </c>
      <c r="U334" t="n">
        <v>0.42</v>
      </c>
      <c r="V334" t="n">
        <v>0.58</v>
      </c>
      <c r="W334" t="n">
        <v>0</v>
      </c>
      <c r="X334" t="n">
        <v>-75.29000000000001</v>
      </c>
      <c r="AA334" t="n">
        <v>1.82</v>
      </c>
      <c r="AB334" t="n">
        <v>-1.14</v>
      </c>
      <c r="AC334" t="n">
        <v>1.36</v>
      </c>
      <c r="AD334" t="n">
        <v>443994658.6</v>
      </c>
    </row>
    <row r="335">
      <c r="A335" t="inlineStr">
        <is>
          <t>ITSA3</t>
        </is>
      </c>
      <c r="B335" t="n">
        <v>13.63</v>
      </c>
      <c r="C335" t="n">
        <v>9.710000000000001</v>
      </c>
      <c r="D335" t="n">
        <v>9</v>
      </c>
      <c r="E335" t="n">
        <v>1.69</v>
      </c>
      <c r="F335" t="n">
        <v>1.33</v>
      </c>
      <c r="G335" t="n">
        <v>25.32</v>
      </c>
      <c r="H335" t="n">
        <v>221.97</v>
      </c>
      <c r="I335" t="n">
        <v>203.02</v>
      </c>
      <c r="J335" t="n">
        <v>8.23</v>
      </c>
      <c r="K335" t="n">
        <v>8.41</v>
      </c>
      <c r="L335" t="n">
        <v>0.23</v>
      </c>
      <c r="M335" t="n">
        <v>0.05</v>
      </c>
      <c r="N335" t="n">
        <v>18.27</v>
      </c>
      <c r="O335" t="n">
        <v>20.72</v>
      </c>
      <c r="P335" t="n">
        <v>-1.5</v>
      </c>
      <c r="Q335" t="n">
        <v>2.38</v>
      </c>
      <c r="R335" t="n">
        <v>18.83</v>
      </c>
      <c r="S335" t="n">
        <v>14.83</v>
      </c>
      <c r="T335" t="n">
        <v>17.44</v>
      </c>
      <c r="U335" t="n">
        <v>0.79</v>
      </c>
      <c r="V335" t="n">
        <v>0.17</v>
      </c>
      <c r="W335" t="n">
        <v>0.07000000000000001</v>
      </c>
      <c r="X335" t="n">
        <v>7.01</v>
      </c>
      <c r="Y335" t="n">
        <v>19.2</v>
      </c>
      <c r="Z335" t="n">
        <v>1410456.95</v>
      </c>
      <c r="AA335" t="n">
        <v>8.039999999999999</v>
      </c>
      <c r="AB335" t="n">
        <v>1.51</v>
      </c>
      <c r="AC335" t="n">
        <v>0.78</v>
      </c>
      <c r="AD335" t="n">
        <v>151882272677.15</v>
      </c>
    </row>
    <row r="336">
      <c r="A336" t="inlineStr">
        <is>
          <t>ITSA4</t>
        </is>
      </c>
      <c r="B336" t="n">
        <v>13.53</v>
      </c>
      <c r="C336" t="n">
        <v>9.779999999999999</v>
      </c>
      <c r="D336" t="n">
        <v>8.93</v>
      </c>
      <c r="E336" t="n">
        <v>1.68</v>
      </c>
      <c r="F336" t="n">
        <v>1.33</v>
      </c>
      <c r="G336" t="n">
        <v>25.32</v>
      </c>
      <c r="H336" t="n">
        <v>221.97</v>
      </c>
      <c r="I336" t="n">
        <v>203.02</v>
      </c>
      <c r="J336" t="n">
        <v>8.17</v>
      </c>
      <c r="K336" t="n">
        <v>8.41</v>
      </c>
      <c r="L336" t="n">
        <v>0.23</v>
      </c>
      <c r="M336" t="n">
        <v>0.05</v>
      </c>
      <c r="N336" t="n">
        <v>18.14</v>
      </c>
      <c r="O336" t="n">
        <v>20.57</v>
      </c>
      <c r="P336" t="n">
        <v>-1.49</v>
      </c>
      <c r="Q336" t="n">
        <v>2.38</v>
      </c>
      <c r="R336" t="n">
        <v>18.83</v>
      </c>
      <c r="S336" t="n">
        <v>14.83</v>
      </c>
      <c r="T336" t="n">
        <v>17.44</v>
      </c>
      <c r="U336" t="n">
        <v>0.79</v>
      </c>
      <c r="V336" t="n">
        <v>0.17</v>
      </c>
      <c r="W336" t="n">
        <v>0.07000000000000001</v>
      </c>
      <c r="X336" t="n">
        <v>7.01</v>
      </c>
      <c r="Y336" t="n">
        <v>19.2</v>
      </c>
      <c r="Z336" t="n">
        <v>248125125.73</v>
      </c>
      <c r="AA336" t="n">
        <v>8.039999999999999</v>
      </c>
      <c r="AB336" t="n">
        <v>1.51</v>
      </c>
      <c r="AC336" t="n">
        <v>0.77</v>
      </c>
      <c r="AD336" t="n">
        <v>151882272677.15</v>
      </c>
    </row>
    <row r="337">
      <c r="A337" t="inlineStr">
        <is>
          <t>ITUB3</t>
        </is>
      </c>
      <c r="B337" t="n">
        <v>44.56</v>
      </c>
      <c r="C337" t="n">
        <v>7.17</v>
      </c>
      <c r="D337" t="n">
        <v>10.69</v>
      </c>
      <c r="E337" t="n">
        <v>2.35</v>
      </c>
      <c r="F337" t="n">
        <v>0.16</v>
      </c>
      <c r="G337" t="n">
        <v>35.55</v>
      </c>
      <c r="H337" t="n">
        <v>12.88</v>
      </c>
      <c r="I337" t="n">
        <v>11.83</v>
      </c>
      <c r="J337" t="n">
        <v>9.82</v>
      </c>
      <c r="K337" t="n">
        <v>9.529999999999999</v>
      </c>
      <c r="N337" t="n">
        <v>1.27</v>
      </c>
      <c r="O337" t="n">
        <v>-2.07</v>
      </c>
      <c r="P337" t="n">
        <v>-0.16</v>
      </c>
      <c r="Q337" t="n">
        <v>0.14</v>
      </c>
      <c r="R337" t="n">
        <v>21.93</v>
      </c>
      <c r="S337" t="n">
        <v>1.45</v>
      </c>
      <c r="U337" t="n">
        <v>0.07000000000000001</v>
      </c>
      <c r="V337" t="n">
        <v>0.93</v>
      </c>
      <c r="W337" t="n">
        <v>0.12</v>
      </c>
      <c r="X337" t="n">
        <v>17.38</v>
      </c>
      <c r="Y337" t="n">
        <v>19.47</v>
      </c>
      <c r="Z337" t="n">
        <v>79895332.59</v>
      </c>
      <c r="AA337" t="n">
        <v>19.02</v>
      </c>
      <c r="AB337" t="n">
        <v>4.17</v>
      </c>
      <c r="AC337" t="n">
        <v>1.06</v>
      </c>
      <c r="AD337" t="n">
        <v>477241557941.99</v>
      </c>
    </row>
    <row r="338">
      <c r="A338" t="inlineStr">
        <is>
          <t>ITUB4</t>
        </is>
      </c>
      <c r="B338" t="n">
        <v>41.96</v>
      </c>
      <c r="C338" t="n">
        <v>7.62</v>
      </c>
      <c r="D338" t="n">
        <v>10.06</v>
      </c>
      <c r="E338" t="n">
        <v>2.21</v>
      </c>
      <c r="F338" t="n">
        <v>0.15</v>
      </c>
      <c r="G338" t="n">
        <v>35.55</v>
      </c>
      <c r="H338" t="n">
        <v>12.88</v>
      </c>
      <c r="I338" t="n">
        <v>11.83</v>
      </c>
      <c r="J338" t="n">
        <v>9.24</v>
      </c>
      <c r="K338" t="n">
        <v>9.529999999999999</v>
      </c>
      <c r="N338" t="n">
        <v>1.19</v>
      </c>
      <c r="O338" t="n">
        <v>-1.95</v>
      </c>
      <c r="P338" t="n">
        <v>-0.15</v>
      </c>
      <c r="Q338" t="n">
        <v>0.14</v>
      </c>
      <c r="R338" t="n">
        <v>21.93</v>
      </c>
      <c r="S338" t="n">
        <v>1.45</v>
      </c>
      <c r="U338" t="n">
        <v>0.07000000000000001</v>
      </c>
      <c r="V338" t="n">
        <v>0.93</v>
      </c>
      <c r="W338" t="n">
        <v>0.12</v>
      </c>
      <c r="X338" t="n">
        <v>17.38</v>
      </c>
      <c r="Y338" t="n">
        <v>19.47</v>
      </c>
      <c r="Z338" t="n">
        <v>814090548.09</v>
      </c>
      <c r="AA338" t="n">
        <v>19.02</v>
      </c>
      <c r="AB338" t="n">
        <v>4.17</v>
      </c>
      <c r="AC338" t="n">
        <v>1</v>
      </c>
      <c r="AD338" t="n">
        <v>477241557941.99</v>
      </c>
    </row>
    <row r="339">
      <c r="A339" t="inlineStr">
        <is>
          <t>JALL3</t>
        </is>
      </c>
      <c r="B339" t="n">
        <v>1.99</v>
      </c>
      <c r="C339" t="n">
        <v>0.4</v>
      </c>
      <c r="D339" t="n">
        <v>63.29</v>
      </c>
      <c r="E339" t="n">
        <v>0.3</v>
      </c>
      <c r="F339" t="n">
        <v>0.08</v>
      </c>
      <c r="G339" t="n">
        <v>1.93</v>
      </c>
      <c r="H339" t="n">
        <v>-5.99</v>
      </c>
      <c r="I339" t="n">
        <v>0.44</v>
      </c>
      <c r="J339" t="n">
        <v>-4.67</v>
      </c>
      <c r="K339" t="n">
        <v>-28.74</v>
      </c>
      <c r="L339" t="n">
        <v>-24.06</v>
      </c>
      <c r="M339" t="n">
        <v>1.54</v>
      </c>
      <c r="N339" t="n">
        <v>0.28</v>
      </c>
      <c r="O339" t="n">
        <v>0.28</v>
      </c>
      <c r="P339" t="n">
        <v>-0.13</v>
      </c>
      <c r="Q339" t="n">
        <v>4.85</v>
      </c>
      <c r="R339" t="n">
        <v>0.47</v>
      </c>
      <c r="S339" t="n">
        <v>0.13</v>
      </c>
      <c r="T339" t="n">
        <v>-3.46</v>
      </c>
      <c r="U339" t="n">
        <v>0.27</v>
      </c>
      <c r="V339" t="n">
        <v>0.73</v>
      </c>
      <c r="W339" t="n">
        <v>0.29</v>
      </c>
      <c r="X339" t="n">
        <v>14.64</v>
      </c>
      <c r="Y339" t="n">
        <v>-43.87</v>
      </c>
      <c r="Z339" t="n">
        <v>2658884.91</v>
      </c>
      <c r="AA339" t="n">
        <v>6.62</v>
      </c>
      <c r="AB339" t="n">
        <v>0.03</v>
      </c>
      <c r="AC339" t="n">
        <v>-0.54</v>
      </c>
      <c r="AD339" t="n">
        <v>601012890.72</v>
      </c>
    </row>
    <row r="340">
      <c r="A340" t="inlineStr">
        <is>
          <t>JBSS3</t>
        </is>
      </c>
      <c r="B340" t="n">
        <v>71.84999999999999</v>
      </c>
      <c r="D340" t="n">
        <v>6.8</v>
      </c>
      <c r="E340" t="n">
        <v>1.56</v>
      </c>
      <c r="F340" t="n">
        <v>0.27</v>
      </c>
      <c r="G340" t="n">
        <v>12.49</v>
      </c>
      <c r="H340" t="n">
        <v>4.32</v>
      </c>
      <c r="I340" t="n">
        <v>1.91</v>
      </c>
      <c r="J340" t="n">
        <v>3.01</v>
      </c>
      <c r="K340" t="n">
        <v>7.52</v>
      </c>
      <c r="L340" t="n">
        <v>4.51</v>
      </c>
      <c r="M340" t="n">
        <v>2.33</v>
      </c>
      <c r="N340" t="n">
        <v>0.13</v>
      </c>
      <c r="O340" t="n">
        <v>1.72</v>
      </c>
      <c r="P340" t="n">
        <v>-0.44</v>
      </c>
      <c r="Q340" t="n">
        <v>1.65</v>
      </c>
      <c r="R340" t="n">
        <v>22.87</v>
      </c>
      <c r="S340" t="n">
        <v>3.91</v>
      </c>
      <c r="T340" t="n">
        <v>13.18</v>
      </c>
      <c r="U340" t="n">
        <v>0.17</v>
      </c>
      <c r="V340" t="n">
        <v>0.8100000000000001</v>
      </c>
      <c r="W340" t="n">
        <v>2.05</v>
      </c>
      <c r="X340" t="n">
        <v>12.21</v>
      </c>
      <c r="Y340" t="n">
        <v>14.81</v>
      </c>
      <c r="Z340" t="n">
        <v>80878878</v>
      </c>
      <c r="AA340" t="n">
        <v>46.2</v>
      </c>
      <c r="AB340" t="n">
        <v>10.57</v>
      </c>
      <c r="AC340" t="n">
        <v>-0.43</v>
      </c>
      <c r="AD340" t="n">
        <v>62380473709.95</v>
      </c>
    </row>
    <row r="341">
      <c r="A341" t="inlineStr">
        <is>
          <t>JFEN3</t>
        </is>
      </c>
      <c r="B341" t="n">
        <v>0.57</v>
      </c>
      <c r="D341" t="n">
        <v>-0.04</v>
      </c>
      <c r="E341" t="n">
        <v>-0.03</v>
      </c>
      <c r="F341" t="n">
        <v>0.01</v>
      </c>
      <c r="G341" t="n">
        <v>-39.87</v>
      </c>
      <c r="H341" t="n">
        <v>-143.86</v>
      </c>
      <c r="I341" t="n">
        <v>-152.8</v>
      </c>
      <c r="J341" t="n">
        <v>-0.04</v>
      </c>
      <c r="K341" t="n">
        <v>-2</v>
      </c>
      <c r="L341" t="n">
        <v>-1.96</v>
      </c>
      <c r="N341" t="n">
        <v>0.06</v>
      </c>
      <c r="O341" t="n">
        <v>0.22</v>
      </c>
      <c r="P341" t="n">
        <v>-0.07000000000000001</v>
      </c>
      <c r="Q341" t="n">
        <v>1.06</v>
      </c>
      <c r="R341" t="n">
        <v>-64.98</v>
      </c>
      <c r="S341" t="n">
        <v>-26</v>
      </c>
      <c r="T341" t="n">
        <v>-356.46</v>
      </c>
      <c r="U341" t="n">
        <v>-0.4</v>
      </c>
      <c r="V341" t="n">
        <v>1.39</v>
      </c>
      <c r="W341" t="n">
        <v>0.17</v>
      </c>
      <c r="X341" t="n">
        <v>43.27</v>
      </c>
      <c r="Z341" t="n">
        <v>7627.55</v>
      </c>
      <c r="AA341" t="n">
        <v>-22.41</v>
      </c>
      <c r="AB341" t="n">
        <v>-14.56</v>
      </c>
      <c r="AC341" t="n">
        <v>0</v>
      </c>
      <c r="AD341" t="n">
        <v>7041509.75</v>
      </c>
    </row>
    <row r="342">
      <c r="A342" t="inlineStr">
        <is>
          <t>JHSF3</t>
        </is>
      </c>
      <c r="B342" t="n">
        <v>10.61</v>
      </c>
      <c r="C342" t="n">
        <v>6</v>
      </c>
      <c r="D342" t="n">
        <v>3.79</v>
      </c>
      <c r="E342" t="n">
        <v>1.03</v>
      </c>
      <c r="F342" t="n">
        <v>0.4</v>
      </c>
      <c r="G342" t="n">
        <v>63.21</v>
      </c>
      <c r="H342" t="n">
        <v>65.84</v>
      </c>
      <c r="I342" t="n">
        <v>53.01</v>
      </c>
      <c r="J342" t="n">
        <v>3.05</v>
      </c>
      <c r="K342" t="n">
        <v>3.52</v>
      </c>
      <c r="L342" t="n">
        <v>0.49</v>
      </c>
      <c r="M342" t="n">
        <v>0.16</v>
      </c>
      <c r="N342" t="n">
        <v>2.01</v>
      </c>
      <c r="O342" t="n">
        <v>2.12</v>
      </c>
      <c r="P342" t="n">
        <v>-0.66</v>
      </c>
      <c r="Q342" t="n">
        <v>1.92</v>
      </c>
      <c r="R342" t="n">
        <v>27.12</v>
      </c>
      <c r="S342" t="n">
        <v>10.55</v>
      </c>
      <c r="T342" t="n">
        <v>17.45</v>
      </c>
      <c r="U342" t="n">
        <v>0.39</v>
      </c>
      <c r="V342" t="n">
        <v>0.59</v>
      </c>
      <c r="W342" t="n">
        <v>0.2</v>
      </c>
      <c r="X342" t="n">
        <v>24.34</v>
      </c>
      <c r="Y342" t="n">
        <v>24.37</v>
      </c>
      <c r="Z342" t="n">
        <v>33232072.41</v>
      </c>
      <c r="AA342" t="n">
        <v>10.33</v>
      </c>
      <c r="AB342" t="n">
        <v>2.8</v>
      </c>
      <c r="AC342" t="n">
        <v>0.05</v>
      </c>
      <c r="AD342" t="n">
        <v>7227302061.56</v>
      </c>
    </row>
    <row r="343">
      <c r="A343" t="inlineStr">
        <is>
          <t>JOPA3</t>
        </is>
      </c>
      <c r="B343" t="n">
        <v>17.46</v>
      </c>
      <c r="C343" t="n">
        <v>1.83</v>
      </c>
      <c r="D343" t="n">
        <v>14.22</v>
      </c>
      <c r="E343" t="n">
        <v>0.3</v>
      </c>
      <c r="F343" t="n">
        <v>0.08</v>
      </c>
      <c r="G343" t="n">
        <v>25.28</v>
      </c>
      <c r="H343" t="n">
        <v>5.08</v>
      </c>
      <c r="I343" t="n">
        <v>0.74</v>
      </c>
      <c r="J343" t="n">
        <v>2.08</v>
      </c>
      <c r="K343" t="n">
        <v>6.91</v>
      </c>
      <c r="L343" t="n">
        <v>4.83</v>
      </c>
      <c r="M343" t="n">
        <v>0.7</v>
      </c>
      <c r="N343" t="n">
        <v>0.11</v>
      </c>
      <c r="O343" t="n">
        <v>0.19</v>
      </c>
      <c r="P343" t="n">
        <v>-0.31</v>
      </c>
      <c r="Q343" t="n">
        <v>2.47</v>
      </c>
      <c r="R343" t="n">
        <v>2.12</v>
      </c>
      <c r="S343" t="n">
        <v>0.57</v>
      </c>
      <c r="T343" t="n">
        <v>3.03</v>
      </c>
      <c r="U343" t="n">
        <v>0.27</v>
      </c>
      <c r="V343" t="n">
        <v>0.66</v>
      </c>
      <c r="W343" t="n">
        <v>0.77</v>
      </c>
      <c r="X343" t="n">
        <v>2.87</v>
      </c>
      <c r="Y343" t="n">
        <v>-16.4</v>
      </c>
      <c r="Z343" t="n">
        <v>12884.11</v>
      </c>
      <c r="AA343" t="n">
        <v>57.96</v>
      </c>
      <c r="AB343" t="n">
        <v>1.23</v>
      </c>
      <c r="AC343" t="n">
        <v>-0.4</v>
      </c>
      <c r="AD343" t="n">
        <v>184838961.78</v>
      </c>
    </row>
    <row r="344">
      <c r="A344" t="inlineStr">
        <is>
          <t>JOPA4</t>
        </is>
      </c>
      <c r="B344" t="n">
        <v>18</v>
      </c>
      <c r="C344" t="n">
        <v>1.95</v>
      </c>
      <c r="D344" t="n">
        <v>14.66</v>
      </c>
      <c r="E344" t="n">
        <v>0.31</v>
      </c>
      <c r="F344" t="n">
        <v>0.08</v>
      </c>
      <c r="G344" t="n">
        <v>25.28</v>
      </c>
      <c r="H344" t="n">
        <v>5.08</v>
      </c>
      <c r="I344" t="n">
        <v>0.74</v>
      </c>
      <c r="J344" t="n">
        <v>2.15</v>
      </c>
      <c r="K344" t="n">
        <v>6.91</v>
      </c>
      <c r="L344" t="n">
        <v>4.83</v>
      </c>
      <c r="M344" t="n">
        <v>0.7</v>
      </c>
      <c r="N344" t="n">
        <v>0.11</v>
      </c>
      <c r="O344" t="n">
        <v>0.19</v>
      </c>
      <c r="P344" t="n">
        <v>-0.32</v>
      </c>
      <c r="Q344" t="n">
        <v>2.47</v>
      </c>
      <c r="R344" t="n">
        <v>2.12</v>
      </c>
      <c r="S344" t="n">
        <v>0.57</v>
      </c>
      <c r="T344" t="n">
        <v>3.03</v>
      </c>
      <c r="U344" t="n">
        <v>0.27</v>
      </c>
      <c r="V344" t="n">
        <v>0.66</v>
      </c>
      <c r="W344" t="n">
        <v>0.77</v>
      </c>
      <c r="X344" t="n">
        <v>2.87</v>
      </c>
      <c r="Y344" t="n">
        <v>-16.4</v>
      </c>
      <c r="Z344" t="n">
        <v>529.47</v>
      </c>
      <c r="AA344" t="n">
        <v>57.96</v>
      </c>
      <c r="AB344" t="n">
        <v>1.23</v>
      </c>
      <c r="AC344" t="n">
        <v>-0.42</v>
      </c>
      <c r="AD344" t="n">
        <v>184838961.78</v>
      </c>
    </row>
    <row r="345">
      <c r="A345" t="inlineStr">
        <is>
          <t>JSLG3</t>
        </is>
      </c>
      <c r="B345" t="n">
        <v>5.59</v>
      </c>
      <c r="C345" t="n">
        <v>34.26</v>
      </c>
      <c r="D345" t="n">
        <v>-16.74</v>
      </c>
      <c r="E345" t="n">
        <v>1.37</v>
      </c>
      <c r="F345" t="n">
        <v>0.13</v>
      </c>
      <c r="G345" t="n">
        <v>15.45</v>
      </c>
      <c r="H345" t="n">
        <v>9.69</v>
      </c>
      <c r="I345" t="n">
        <v>-0.98</v>
      </c>
      <c r="J345" t="n">
        <v>1.7</v>
      </c>
      <c r="K345" t="n">
        <v>8.539999999999999</v>
      </c>
      <c r="L345" t="n">
        <v>6.83</v>
      </c>
      <c r="M345" t="n">
        <v>5.5</v>
      </c>
      <c r="N345" t="n">
        <v>0.16</v>
      </c>
      <c r="O345" t="n">
        <v>1.66</v>
      </c>
      <c r="P345" t="n">
        <v>-0.21</v>
      </c>
      <c r="Q345" t="n">
        <v>1.28</v>
      </c>
      <c r="R345" t="n">
        <v>-8.15</v>
      </c>
      <c r="S345" t="n">
        <v>-0.79</v>
      </c>
      <c r="T345" t="n">
        <v>6.97</v>
      </c>
      <c r="U345" t="n">
        <v>0.1</v>
      </c>
      <c r="V345" t="n">
        <v>0.9</v>
      </c>
      <c r="W345" t="n">
        <v>0.8100000000000001</v>
      </c>
      <c r="X345" t="n">
        <v>27.81</v>
      </c>
      <c r="Z345" t="n">
        <v>4394270.23</v>
      </c>
      <c r="AA345" t="n">
        <v>4.09</v>
      </c>
      <c r="AB345" t="n">
        <v>-0.33</v>
      </c>
      <c r="AC345" t="n">
        <v>0.11</v>
      </c>
      <c r="AD345" t="n">
        <v>1598065935.2</v>
      </c>
    </row>
    <row r="346">
      <c r="A346" t="inlineStr">
        <is>
          <t>KEPL3</t>
        </is>
      </c>
      <c r="B346" t="n">
        <v>6.42</v>
      </c>
      <c r="C346" t="n">
        <v>6.74</v>
      </c>
      <c r="D346" t="n">
        <v>7.8</v>
      </c>
      <c r="E346" t="n">
        <v>1.46</v>
      </c>
      <c r="F346" t="n">
        <v>0.76</v>
      </c>
      <c r="G346" t="n">
        <v>23.66</v>
      </c>
      <c r="H346" t="n">
        <v>11.94</v>
      </c>
      <c r="I346" t="n">
        <v>10.19</v>
      </c>
      <c r="J346" t="n">
        <v>6.66</v>
      </c>
      <c r="K346" t="n">
        <v>6.42</v>
      </c>
      <c r="L346" t="n">
        <v>-0.23</v>
      </c>
      <c r="M346" t="n">
        <v>-0.05</v>
      </c>
      <c r="N346" t="n">
        <v>0.8</v>
      </c>
      <c r="O346" t="n">
        <v>2.27</v>
      </c>
      <c r="P346" t="n">
        <v>-2.24</v>
      </c>
      <c r="Q346" t="n">
        <v>2.03</v>
      </c>
      <c r="R346" t="n">
        <v>18.67</v>
      </c>
      <c r="S346" t="n">
        <v>9.75</v>
      </c>
      <c r="T346" t="n">
        <v>13.03</v>
      </c>
      <c r="U346" t="n">
        <v>0.52</v>
      </c>
      <c r="V346" t="n">
        <v>0.48</v>
      </c>
      <c r="W346" t="n">
        <v>0.96</v>
      </c>
      <c r="X346" t="n">
        <v>17.29</v>
      </c>
      <c r="Y346" t="n">
        <v>16.93</v>
      </c>
      <c r="Z346" t="n">
        <v>4270621.36</v>
      </c>
      <c r="AA346" t="n">
        <v>4.41</v>
      </c>
      <c r="AB346" t="n">
        <v>0.82</v>
      </c>
      <c r="AC346" t="n">
        <v>-0.54</v>
      </c>
      <c r="AD346" t="n">
        <v>1152006033.3</v>
      </c>
    </row>
    <row r="347">
      <c r="A347" t="inlineStr">
        <is>
          <t>KLBN11</t>
        </is>
      </c>
      <c r="B347" t="n">
        <v>18.03</v>
      </c>
      <c r="C347" t="n">
        <v>7.9</v>
      </c>
      <c r="D347" t="n">
        <v>30.13</v>
      </c>
      <c r="E347" t="n">
        <v>2.49</v>
      </c>
      <c r="F347" t="n">
        <v>0.36</v>
      </c>
      <c r="G347" t="n">
        <v>29.8</v>
      </c>
      <c r="H347" t="n">
        <v>16.18</v>
      </c>
      <c r="I347" t="n">
        <v>3.59</v>
      </c>
      <c r="J347" t="n">
        <v>6.69</v>
      </c>
      <c r="K347" t="n">
        <v>14.05</v>
      </c>
      <c r="L347" t="n">
        <v>7.34</v>
      </c>
      <c r="M347" t="n">
        <v>2.73</v>
      </c>
      <c r="N347" t="n">
        <v>1.08</v>
      </c>
      <c r="O347" t="n">
        <v>3.19</v>
      </c>
      <c r="P347" t="n">
        <v>-0.49</v>
      </c>
      <c r="Q347" t="n">
        <v>1.78</v>
      </c>
      <c r="R347" t="n">
        <v>8.26</v>
      </c>
      <c r="S347" t="n">
        <v>1.2</v>
      </c>
      <c r="T347" t="n">
        <v>6.8</v>
      </c>
      <c r="U347" t="n">
        <v>0.15</v>
      </c>
      <c r="V347" t="n">
        <v>0.75</v>
      </c>
      <c r="W347" t="n">
        <v>0.33</v>
      </c>
      <c r="X347" t="n">
        <v>11.61</v>
      </c>
      <c r="Z347" t="n">
        <v>69618171.73</v>
      </c>
      <c r="AA347" t="n">
        <v>7.25</v>
      </c>
      <c r="AB347" t="n">
        <v>0.6</v>
      </c>
      <c r="AC347" t="n">
        <v>-0.51</v>
      </c>
      <c r="AD347" t="n">
        <v>22569187521.6</v>
      </c>
    </row>
    <row r="348">
      <c r="A348" t="inlineStr">
        <is>
          <t>KLBN3</t>
        </is>
      </c>
      <c r="B348" t="n">
        <v>3.63</v>
      </c>
      <c r="C348" t="n">
        <v>7.84</v>
      </c>
      <c r="D348" t="n">
        <v>30.33</v>
      </c>
      <c r="E348" t="n">
        <v>2.5</v>
      </c>
      <c r="F348" t="n">
        <v>0.36</v>
      </c>
      <c r="G348" t="n">
        <v>29.8</v>
      </c>
      <c r="H348" t="n">
        <v>16.18</v>
      </c>
      <c r="I348" t="n">
        <v>3.59</v>
      </c>
      <c r="J348" t="n">
        <v>6.74</v>
      </c>
      <c r="K348" t="n">
        <v>14.05</v>
      </c>
      <c r="L348" t="n">
        <v>7.34</v>
      </c>
      <c r="M348" t="n">
        <v>2.73</v>
      </c>
      <c r="N348" t="n">
        <v>1.09</v>
      </c>
      <c r="O348" t="n">
        <v>3.22</v>
      </c>
      <c r="P348" t="n">
        <v>-0.49</v>
      </c>
      <c r="Q348" t="n">
        <v>1.78</v>
      </c>
      <c r="R348" t="n">
        <v>8.26</v>
      </c>
      <c r="S348" t="n">
        <v>1.2</v>
      </c>
      <c r="T348" t="n">
        <v>6.8</v>
      </c>
      <c r="U348" t="n">
        <v>0.15</v>
      </c>
      <c r="V348" t="n">
        <v>0.75</v>
      </c>
      <c r="W348" t="n">
        <v>0.33</v>
      </c>
      <c r="X348" t="n">
        <v>11.61</v>
      </c>
      <c r="Z348" t="n">
        <v>2243813.23</v>
      </c>
      <c r="AA348" t="n">
        <v>1.45</v>
      </c>
      <c r="AB348" t="n">
        <v>0.12</v>
      </c>
      <c r="AC348" t="n">
        <v>-0.52</v>
      </c>
      <c r="AD348" t="n">
        <v>22569187521.6</v>
      </c>
    </row>
    <row r="349">
      <c r="A349" t="inlineStr">
        <is>
          <t>KLBN4</t>
        </is>
      </c>
      <c r="B349" t="n">
        <v>3.6</v>
      </c>
      <c r="C349" t="n">
        <v>7.93</v>
      </c>
      <c r="D349" t="n">
        <v>30</v>
      </c>
      <c r="E349" t="n">
        <v>2.48</v>
      </c>
      <c r="F349" t="n">
        <v>0.36</v>
      </c>
      <c r="G349" t="n">
        <v>29.8</v>
      </c>
      <c r="H349" t="n">
        <v>16.18</v>
      </c>
      <c r="I349" t="n">
        <v>3.59</v>
      </c>
      <c r="J349" t="n">
        <v>6.66</v>
      </c>
      <c r="K349" t="n">
        <v>14.05</v>
      </c>
      <c r="L349" t="n">
        <v>7.34</v>
      </c>
      <c r="M349" t="n">
        <v>2.73</v>
      </c>
      <c r="N349" t="n">
        <v>1.08</v>
      </c>
      <c r="O349" t="n">
        <v>3.18</v>
      </c>
      <c r="P349" t="n">
        <v>-0.49</v>
      </c>
      <c r="Q349" t="n">
        <v>1.78</v>
      </c>
      <c r="R349" t="n">
        <v>8.26</v>
      </c>
      <c r="S349" t="n">
        <v>1.2</v>
      </c>
      <c r="T349" t="n">
        <v>6.8</v>
      </c>
      <c r="U349" t="n">
        <v>0.15</v>
      </c>
      <c r="V349" t="n">
        <v>0.75</v>
      </c>
      <c r="W349" t="n">
        <v>0.33</v>
      </c>
      <c r="X349" t="n">
        <v>11.61</v>
      </c>
      <c r="Z349" t="n">
        <v>13235890.68</v>
      </c>
      <c r="AA349" t="n">
        <v>1.45</v>
      </c>
      <c r="AB349" t="n">
        <v>0.12</v>
      </c>
      <c r="AC349" t="n">
        <v>-0.51</v>
      </c>
      <c r="AD349" t="n">
        <v>22569187521.6</v>
      </c>
    </row>
    <row r="350">
      <c r="A350" t="inlineStr">
        <is>
          <t>KRSA3</t>
        </is>
      </c>
      <c r="B350" t="n">
        <v>8.869999999999999</v>
      </c>
      <c r="D350" t="n">
        <v>-1.53</v>
      </c>
      <c r="E350" t="n">
        <v>2.53</v>
      </c>
      <c r="F350" t="n">
        <v>0.14</v>
      </c>
      <c r="G350" t="n">
        <v>18.32</v>
      </c>
      <c r="H350" t="n">
        <v>8</v>
      </c>
      <c r="I350" t="n">
        <v>-18.4</v>
      </c>
      <c r="J350" t="n">
        <v>3.52</v>
      </c>
      <c r="K350" t="n">
        <v>19.84</v>
      </c>
      <c r="L350" t="n">
        <v>16.33</v>
      </c>
      <c r="M350" t="n">
        <v>11.75</v>
      </c>
      <c r="N350" t="n">
        <v>0.28</v>
      </c>
      <c r="O350" t="n">
        <v>1.23</v>
      </c>
      <c r="P350" t="n">
        <v>-0.2</v>
      </c>
      <c r="Q350" t="n">
        <v>1.6</v>
      </c>
      <c r="R350" t="n">
        <v>-165.61</v>
      </c>
      <c r="S350" t="n">
        <v>-9.17</v>
      </c>
      <c r="T350" t="n">
        <v>5.27</v>
      </c>
      <c r="U350" t="n">
        <v>0.06</v>
      </c>
      <c r="V350" t="n">
        <v>0.93</v>
      </c>
      <c r="W350" t="n">
        <v>0.5</v>
      </c>
      <c r="X350" t="n">
        <v>31.24</v>
      </c>
      <c r="AA350" t="n">
        <v>3.5</v>
      </c>
      <c r="AB350" t="n">
        <v>-5.8</v>
      </c>
      <c r="AC350" t="n">
        <v>-0.02</v>
      </c>
      <c r="AD350" t="n">
        <v>685959729.22</v>
      </c>
    </row>
    <row r="351">
      <c r="A351" t="inlineStr">
        <is>
          <t>LAME3</t>
        </is>
      </c>
      <c r="B351" t="n">
        <v>6.6</v>
      </c>
      <c r="D351" t="n">
        <v>21.15</v>
      </c>
      <c r="E351" t="n">
        <v>1.91</v>
      </c>
      <c r="F351" t="n">
        <v>0.28</v>
      </c>
      <c r="G351" t="n">
        <v>32.9</v>
      </c>
      <c r="H351" t="n">
        <v>4.35</v>
      </c>
      <c r="I351" t="n">
        <v>2.27</v>
      </c>
      <c r="J351" t="n">
        <v>11.03</v>
      </c>
      <c r="K351" t="n">
        <v>16.86</v>
      </c>
      <c r="L351" t="n">
        <v>5.87</v>
      </c>
      <c r="M351" t="n">
        <v>1.01</v>
      </c>
      <c r="N351" t="n">
        <v>0.48</v>
      </c>
      <c r="O351" t="n">
        <v>1.2</v>
      </c>
      <c r="P351" t="n">
        <v>-0.66</v>
      </c>
      <c r="Q351" t="n">
        <v>1.72</v>
      </c>
      <c r="R351" t="n">
        <v>9.02</v>
      </c>
      <c r="S351" t="n">
        <v>1.34</v>
      </c>
      <c r="T351" t="n">
        <v>3.37</v>
      </c>
      <c r="U351" t="n">
        <v>0.15</v>
      </c>
      <c r="V351" t="n">
        <v>0.63</v>
      </c>
      <c r="W351" t="n">
        <v>0.59</v>
      </c>
      <c r="X351" t="n">
        <v>3.5</v>
      </c>
      <c r="Y351" t="n">
        <v>18.61</v>
      </c>
      <c r="AA351" t="n">
        <v>3.46</v>
      </c>
      <c r="AB351" t="n">
        <v>0.31</v>
      </c>
      <c r="AC351" t="n">
        <v>-46.97</v>
      </c>
      <c r="AD351" t="n">
        <v>12391135396.59</v>
      </c>
    </row>
    <row r="352">
      <c r="A352" t="inlineStr">
        <is>
          <t>LAME4</t>
        </is>
      </c>
      <c r="B352" t="n">
        <v>6.57</v>
      </c>
      <c r="D352" t="n">
        <v>21.06</v>
      </c>
      <c r="E352" t="n">
        <v>1.9</v>
      </c>
      <c r="F352" t="n">
        <v>0.28</v>
      </c>
      <c r="G352" t="n">
        <v>32.9</v>
      </c>
      <c r="H352" t="n">
        <v>4.35</v>
      </c>
      <c r="I352" t="n">
        <v>2.27</v>
      </c>
      <c r="J352" t="n">
        <v>10.98</v>
      </c>
      <c r="K352" t="n">
        <v>16.86</v>
      </c>
      <c r="L352" t="n">
        <v>5.87</v>
      </c>
      <c r="M352" t="n">
        <v>1.01</v>
      </c>
      <c r="N352" t="n">
        <v>0.48</v>
      </c>
      <c r="O352" t="n">
        <v>1.19</v>
      </c>
      <c r="P352" t="n">
        <v>-0.65</v>
      </c>
      <c r="Q352" t="n">
        <v>1.72</v>
      </c>
      <c r="R352" t="n">
        <v>9.02</v>
      </c>
      <c r="S352" t="n">
        <v>1.34</v>
      </c>
      <c r="T352" t="n">
        <v>3.37</v>
      </c>
      <c r="U352" t="n">
        <v>0.15</v>
      </c>
      <c r="V352" t="n">
        <v>0.63</v>
      </c>
      <c r="W352" t="n">
        <v>0.59</v>
      </c>
      <c r="X352" t="n">
        <v>3.5</v>
      </c>
      <c r="Y352" t="n">
        <v>18.61</v>
      </c>
      <c r="AA352" t="n">
        <v>3.46</v>
      </c>
      <c r="AB352" t="n">
        <v>0.31</v>
      </c>
      <c r="AC352" t="n">
        <v>-46.75</v>
      </c>
      <c r="AD352" t="n">
        <v>12391135396.59</v>
      </c>
    </row>
    <row r="353">
      <c r="A353" t="inlineStr">
        <is>
          <t>LAND3</t>
        </is>
      </c>
      <c r="B353" t="n">
        <v>8.369999999999999</v>
      </c>
      <c r="D353" t="n">
        <v>244.66</v>
      </c>
      <c r="E353" t="n">
        <v>1.21</v>
      </c>
      <c r="F353" t="n">
        <v>0.83</v>
      </c>
      <c r="G353" t="n">
        <v>95.65000000000001</v>
      </c>
      <c r="H353" t="n">
        <v>-1.71</v>
      </c>
      <c r="I353" t="n">
        <v>3.39</v>
      </c>
      <c r="J353" t="n">
        <v>-485.78</v>
      </c>
      <c r="K353" t="n">
        <v>-531.4299999999999</v>
      </c>
      <c r="L353" t="n">
        <v>-42.17</v>
      </c>
      <c r="M353" t="n">
        <v>0.1</v>
      </c>
      <c r="N353" t="n">
        <v>8.289999999999999</v>
      </c>
      <c r="O353" t="n">
        <v>14.39</v>
      </c>
      <c r="P353" t="n">
        <v>-0.96</v>
      </c>
      <c r="Q353" t="n">
        <v>1.76</v>
      </c>
      <c r="R353" t="n">
        <v>0.49</v>
      </c>
      <c r="S353" t="n">
        <v>0.34</v>
      </c>
      <c r="T353" t="n">
        <v>-7.04</v>
      </c>
      <c r="U353" t="n">
        <v>0.6899999999999999</v>
      </c>
      <c r="V353" t="n">
        <v>0.31</v>
      </c>
      <c r="W353" t="n">
        <v>0.1</v>
      </c>
      <c r="X353" t="n">
        <v>13.15</v>
      </c>
      <c r="Y353" t="n">
        <v>-38.27</v>
      </c>
      <c r="Z353" t="n">
        <v>1811766</v>
      </c>
      <c r="AA353" t="n">
        <v>6.93</v>
      </c>
      <c r="AB353" t="n">
        <v>0.03</v>
      </c>
      <c r="AC353" t="n">
        <v>-3.55</v>
      </c>
      <c r="AD353" t="n">
        <v>811193289.66</v>
      </c>
    </row>
    <row r="354">
      <c r="A354" t="inlineStr">
        <is>
          <t>LAVV3</t>
        </is>
      </c>
      <c r="B354" t="n">
        <v>9.92</v>
      </c>
      <c r="C354" t="n">
        <v>25.97</v>
      </c>
      <c r="D354" t="n">
        <v>4.88</v>
      </c>
      <c r="E354" t="n">
        <v>1.42</v>
      </c>
      <c r="F354" t="n">
        <v>0.42</v>
      </c>
      <c r="G354" t="n">
        <v>33.83</v>
      </c>
      <c r="H354" t="n">
        <v>25.07</v>
      </c>
      <c r="I354" t="n">
        <v>22.06</v>
      </c>
      <c r="J354" t="n">
        <v>4.29</v>
      </c>
      <c r="K354" t="n">
        <v>5.34</v>
      </c>
      <c r="L354" t="n">
        <v>1.06</v>
      </c>
      <c r="M354" t="n">
        <v>0.35</v>
      </c>
      <c r="N354" t="n">
        <v>1.08</v>
      </c>
      <c r="O354" t="n">
        <v>0.63</v>
      </c>
      <c r="P354" t="n">
        <v>-3.19</v>
      </c>
      <c r="Q354" t="n">
        <v>4.22</v>
      </c>
      <c r="R354" t="n">
        <v>29.03</v>
      </c>
      <c r="S354" t="n">
        <v>8.56</v>
      </c>
      <c r="T354" t="n">
        <v>13.59</v>
      </c>
      <c r="U354" t="n">
        <v>0.29</v>
      </c>
      <c r="V354" t="n">
        <v>0.65</v>
      </c>
      <c r="W354" t="n">
        <v>0.39</v>
      </c>
      <c r="X354" t="n">
        <v>37.41</v>
      </c>
      <c r="Y354" t="n">
        <v>33.53</v>
      </c>
      <c r="Z354" t="n">
        <v>5305011.68</v>
      </c>
      <c r="AA354" t="n">
        <v>7</v>
      </c>
      <c r="AB354" t="n">
        <v>2.03</v>
      </c>
      <c r="AC354" t="n">
        <v>0.47</v>
      </c>
      <c r="AD354" t="n">
        <v>1932845741.28</v>
      </c>
    </row>
    <row r="355">
      <c r="A355" t="inlineStr">
        <is>
          <t>LCAM3</t>
        </is>
      </c>
      <c r="B355" t="n">
        <v>24.15</v>
      </c>
      <c r="D355" t="n">
        <v>8.390000000000001</v>
      </c>
      <c r="E355" t="n">
        <v>1.13</v>
      </c>
      <c r="F355" t="n">
        <v>0.79</v>
      </c>
      <c r="G355" t="n">
        <v>21.34</v>
      </c>
      <c r="H355" t="n">
        <v>14.36</v>
      </c>
      <c r="I355" t="n">
        <v>18.4</v>
      </c>
      <c r="J355" t="n">
        <v>10.75</v>
      </c>
      <c r="K355" t="n">
        <v>8.49</v>
      </c>
      <c r="L355" t="n">
        <v>-2.27</v>
      </c>
      <c r="M355" t="n">
        <v>-0.24</v>
      </c>
      <c r="N355" t="n">
        <v>1.54</v>
      </c>
      <c r="O355" t="n">
        <v>2.97</v>
      </c>
      <c r="P355" t="n">
        <v>-1.15</v>
      </c>
      <c r="Q355" t="n">
        <v>6.45</v>
      </c>
      <c r="R355" t="n">
        <v>13.49</v>
      </c>
      <c r="S355" t="n">
        <v>9.380000000000001</v>
      </c>
      <c r="T355" t="n">
        <v>-11.87</v>
      </c>
      <c r="U355" t="n">
        <v>0.7</v>
      </c>
      <c r="V355" t="n">
        <v>0.18</v>
      </c>
      <c r="W355" t="n">
        <v>0.51</v>
      </c>
      <c r="X355" t="n">
        <v>12.12</v>
      </c>
      <c r="Y355" t="n">
        <v>34.05</v>
      </c>
      <c r="AA355" t="n">
        <v>21.32</v>
      </c>
      <c r="AB355" t="n">
        <v>2.88</v>
      </c>
      <c r="AC355" t="n">
        <v>0.11</v>
      </c>
      <c r="AD355" t="n">
        <v>12285815275.65</v>
      </c>
    </row>
    <row r="356">
      <c r="A356" t="inlineStr">
        <is>
          <t>LEVE3</t>
        </is>
      </c>
      <c r="B356" t="n">
        <v>31.24</v>
      </c>
      <c r="C356" t="n">
        <v>9.119999999999999</v>
      </c>
      <c r="D356" t="n">
        <v>6.38</v>
      </c>
      <c r="E356" t="n">
        <v>3.96</v>
      </c>
      <c r="F356" t="n">
        <v>1.11</v>
      </c>
      <c r="G356" t="n">
        <v>27.06</v>
      </c>
      <c r="H356" t="n">
        <v>17.26</v>
      </c>
      <c r="I356" t="n">
        <v>12.31</v>
      </c>
      <c r="J356" t="n">
        <v>4.55</v>
      </c>
      <c r="K356" t="n">
        <v>5.62</v>
      </c>
      <c r="L356" t="n">
        <v>1.07</v>
      </c>
      <c r="M356" t="n">
        <v>0.93</v>
      </c>
      <c r="N356" t="n">
        <v>0.79</v>
      </c>
      <c r="O356" t="n">
        <v>6.64</v>
      </c>
      <c r="P356" t="n">
        <v>-2.87</v>
      </c>
      <c r="Q356" t="n">
        <v>1.37</v>
      </c>
      <c r="R356" t="n">
        <v>62.01</v>
      </c>
      <c r="S356" t="n">
        <v>17.34</v>
      </c>
      <c r="T356" t="n">
        <v>21.45</v>
      </c>
      <c r="U356" t="n">
        <v>0.28</v>
      </c>
      <c r="V356" t="n">
        <v>0.72</v>
      </c>
      <c r="W356" t="n">
        <v>1.41</v>
      </c>
      <c r="X356" t="n">
        <v>17.61</v>
      </c>
      <c r="Y356" t="n">
        <v>39.77</v>
      </c>
      <c r="Z356" t="n">
        <v>6039257.68</v>
      </c>
      <c r="AA356" t="n">
        <v>7.9</v>
      </c>
      <c r="AB356" t="n">
        <v>4.9</v>
      </c>
      <c r="AC356" t="n">
        <v>0.19</v>
      </c>
      <c r="AD356" t="n">
        <v>4238304530</v>
      </c>
    </row>
    <row r="357">
      <c r="A357" t="inlineStr">
        <is>
          <t>LHER3</t>
        </is>
      </c>
      <c r="B357" t="n">
        <v>0</v>
      </c>
      <c r="D357" t="n">
        <v>0</v>
      </c>
      <c r="E357" t="n">
        <v>0</v>
      </c>
      <c r="F357" t="n">
        <v>0</v>
      </c>
      <c r="G357" t="n">
        <v>63.41</v>
      </c>
      <c r="H357" t="n">
        <v>22.35</v>
      </c>
      <c r="I357" t="n">
        <v>10.99</v>
      </c>
      <c r="J357" t="n">
        <v>0</v>
      </c>
      <c r="K357" t="n">
        <v>-3.77</v>
      </c>
      <c r="L357" t="n">
        <v>-3.77</v>
      </c>
      <c r="M357" t="n">
        <v>-0.15</v>
      </c>
      <c r="N357" t="n">
        <v>0</v>
      </c>
      <c r="O357" t="n">
        <v>0</v>
      </c>
      <c r="P357" t="n">
        <v>0</v>
      </c>
      <c r="Q357" t="n">
        <v>6.36</v>
      </c>
      <c r="R357" t="n">
        <v>1.95</v>
      </c>
      <c r="S357" t="n">
        <v>0.67</v>
      </c>
      <c r="T357" t="n">
        <v>3.94</v>
      </c>
      <c r="U357" t="n">
        <v>0.34</v>
      </c>
      <c r="V357" t="n">
        <v>0.66</v>
      </c>
      <c r="W357" t="n">
        <v>0.06</v>
      </c>
      <c r="X357" t="n">
        <v>4.31</v>
      </c>
      <c r="Y357" t="n">
        <v>-51.59</v>
      </c>
      <c r="AA357" t="n">
        <v>141.54</v>
      </c>
      <c r="AB357" t="n">
        <v>2.76</v>
      </c>
      <c r="AC357" t="n">
        <v>0</v>
      </c>
      <c r="AD357" t="n">
        <v>0</v>
      </c>
    </row>
    <row r="358">
      <c r="A358" t="inlineStr">
        <is>
          <t>LHER4</t>
        </is>
      </c>
      <c r="B358" t="n">
        <v>0</v>
      </c>
      <c r="D358" t="n">
        <v>0</v>
      </c>
      <c r="E358" t="n">
        <v>0</v>
      </c>
      <c r="F358" t="n">
        <v>0</v>
      </c>
      <c r="G358" t="n">
        <v>63.41</v>
      </c>
      <c r="H358" t="n">
        <v>22.35</v>
      </c>
      <c r="I358" t="n">
        <v>10.99</v>
      </c>
      <c r="J358" t="n">
        <v>0</v>
      </c>
      <c r="K358" t="n">
        <v>-3.77</v>
      </c>
      <c r="L358" t="n">
        <v>-3.77</v>
      </c>
      <c r="M358" t="n">
        <v>-0.15</v>
      </c>
      <c r="N358" t="n">
        <v>0</v>
      </c>
      <c r="O358" t="n">
        <v>0</v>
      </c>
      <c r="P358" t="n">
        <v>0</v>
      </c>
      <c r="Q358" t="n">
        <v>6.36</v>
      </c>
      <c r="R358" t="n">
        <v>1.95</v>
      </c>
      <c r="S358" t="n">
        <v>0.67</v>
      </c>
      <c r="T358" t="n">
        <v>3.94</v>
      </c>
      <c r="U358" t="n">
        <v>0.34</v>
      </c>
      <c r="V358" t="n">
        <v>0.66</v>
      </c>
      <c r="W358" t="n">
        <v>0.06</v>
      </c>
      <c r="X358" t="n">
        <v>4.31</v>
      </c>
      <c r="Y358" t="n">
        <v>-51.59</v>
      </c>
      <c r="AA358" t="n">
        <v>141.54</v>
      </c>
      <c r="AB358" t="n">
        <v>2.76</v>
      </c>
      <c r="AC358" t="n">
        <v>0</v>
      </c>
      <c r="AD358" t="n">
        <v>0</v>
      </c>
    </row>
    <row r="359">
      <c r="A359" t="inlineStr">
        <is>
          <t>LIGT3</t>
        </is>
      </c>
      <c r="B359" t="n">
        <v>3.2</v>
      </c>
      <c r="D359" t="n">
        <v>1.33</v>
      </c>
      <c r="E359" t="n">
        <v>0.42</v>
      </c>
      <c r="F359" t="n">
        <v>0.12</v>
      </c>
      <c r="G359" t="n">
        <v>14.11</v>
      </c>
      <c r="H359" t="n">
        <v>5.27</v>
      </c>
      <c r="I359" t="n">
        <v>17.09</v>
      </c>
      <c r="J359" t="n">
        <v>4.33</v>
      </c>
      <c r="K359" t="n">
        <v>14.78</v>
      </c>
      <c r="L359" t="n">
        <v>10.44</v>
      </c>
      <c r="M359" t="n">
        <v>1.01</v>
      </c>
      <c r="N359" t="n">
        <v>0.23</v>
      </c>
      <c r="O359" t="n">
        <v>-1.65</v>
      </c>
      <c r="P359" t="n">
        <v>-0.15</v>
      </c>
      <c r="Q359" t="n">
        <v>0.7</v>
      </c>
      <c r="R359" t="n">
        <v>31.42</v>
      </c>
      <c r="S359" t="n">
        <v>9.25</v>
      </c>
      <c r="T359" t="n">
        <v>-9.48</v>
      </c>
      <c r="U359" t="n">
        <v>0.29</v>
      </c>
      <c r="V359" t="n">
        <v>0.71</v>
      </c>
      <c r="W359" t="n">
        <v>0.54</v>
      </c>
      <c r="X359" t="n">
        <v>2.78</v>
      </c>
      <c r="Y359" t="n">
        <v>30.46</v>
      </c>
      <c r="Z359" t="n">
        <v>8833785.91</v>
      </c>
      <c r="AA359" t="n">
        <v>7.66</v>
      </c>
      <c r="AB359" t="n">
        <v>2.41</v>
      </c>
      <c r="AC359" t="n">
        <v>0.17</v>
      </c>
      <c r="AD359" t="n">
        <v>3498649542.5</v>
      </c>
    </row>
    <row r="360">
      <c r="A360" t="inlineStr">
        <is>
          <t>LINX3</t>
        </is>
      </c>
      <c r="B360" t="n">
        <v>37.4</v>
      </c>
      <c r="D360" t="n">
        <v>-90.95</v>
      </c>
      <c r="E360" t="n">
        <v>4.38</v>
      </c>
      <c r="F360" t="n">
        <v>2.74</v>
      </c>
      <c r="G360" t="n">
        <v>68.7</v>
      </c>
      <c r="H360" t="n">
        <v>-4.79</v>
      </c>
      <c r="I360" t="n">
        <v>-8.67</v>
      </c>
      <c r="J360" t="n">
        <v>-164.48</v>
      </c>
      <c r="K360" t="n">
        <v>-159.3</v>
      </c>
      <c r="L360" t="n">
        <v>5.18</v>
      </c>
      <c r="M360" t="n">
        <v>-0.14</v>
      </c>
      <c r="N360" t="n">
        <v>7.88</v>
      </c>
      <c r="O360" t="n">
        <v>11.96</v>
      </c>
      <c r="P360" t="n">
        <v>-4.82</v>
      </c>
      <c r="Q360" t="n">
        <v>2.14</v>
      </c>
      <c r="R360" t="n">
        <v>-4.81</v>
      </c>
      <c r="S360" t="n">
        <v>-3.02</v>
      </c>
      <c r="T360" t="n">
        <v>-2.23</v>
      </c>
      <c r="U360" t="n">
        <v>0.63</v>
      </c>
      <c r="V360" t="n">
        <v>0.37</v>
      </c>
      <c r="W360" t="n">
        <v>0.35</v>
      </c>
      <c r="X360" t="n">
        <v>14.3</v>
      </c>
      <c r="AA360" t="n">
        <v>8.550000000000001</v>
      </c>
      <c r="AB360" t="n">
        <v>-0.41</v>
      </c>
      <c r="AC360" t="n">
        <v>0.13</v>
      </c>
      <c r="AD360" t="n">
        <v>7083895104</v>
      </c>
    </row>
    <row r="361">
      <c r="A361" t="inlineStr">
        <is>
          <t>LIPR3</t>
        </is>
      </c>
      <c r="B361" t="n">
        <v>36.01</v>
      </c>
      <c r="D361" t="n">
        <v>16.64</v>
      </c>
      <c r="E361" t="n">
        <v>1.82</v>
      </c>
      <c r="F361" t="n">
        <v>1.71</v>
      </c>
      <c r="J361" t="n">
        <v>19.65</v>
      </c>
      <c r="K361" t="n">
        <v>16.43</v>
      </c>
      <c r="L361" t="n">
        <v>-3.21</v>
      </c>
      <c r="M361" t="n">
        <v>-0.3</v>
      </c>
      <c r="O361" t="n">
        <v>6.65</v>
      </c>
      <c r="P361" t="n">
        <v>-2.46</v>
      </c>
      <c r="Q361" t="n">
        <v>6.18</v>
      </c>
      <c r="R361" t="n">
        <v>10.96</v>
      </c>
      <c r="S361" t="n">
        <v>10.25</v>
      </c>
      <c r="T361" t="n">
        <v>7.9</v>
      </c>
      <c r="U361" t="n">
        <v>0.9399999999999999</v>
      </c>
      <c r="V361" t="n">
        <v>0.06</v>
      </c>
      <c r="W361" t="n">
        <v>0</v>
      </c>
      <c r="AA361" t="n">
        <v>19.74</v>
      </c>
      <c r="AB361" t="n">
        <v>2.16</v>
      </c>
      <c r="AC361" t="n">
        <v>0.37</v>
      </c>
      <c r="AD361" t="n">
        <v>423653652.89</v>
      </c>
    </row>
    <row r="362">
      <c r="A362" t="inlineStr">
        <is>
          <t>LJQQ3</t>
        </is>
      </c>
      <c r="B362" t="n">
        <v>1.19</v>
      </c>
      <c r="D362" t="n">
        <v>-1.28</v>
      </c>
      <c r="E362" t="n">
        <v>0.72</v>
      </c>
      <c r="F362" t="n">
        <v>0.06</v>
      </c>
      <c r="G362" t="n">
        <v>31.77</v>
      </c>
      <c r="H362" t="n">
        <v>-0.14</v>
      </c>
      <c r="I362" t="n">
        <v>-6.84</v>
      </c>
      <c r="J362" t="n">
        <v>-60.93</v>
      </c>
      <c r="K362" t="n">
        <v>-10.29</v>
      </c>
      <c r="L362" t="n">
        <v>50.64</v>
      </c>
      <c r="M362" t="n">
        <v>-0.6</v>
      </c>
      <c r="N362" t="n">
        <v>0.09</v>
      </c>
      <c r="O362" t="n">
        <v>0.18</v>
      </c>
      <c r="P362" t="n">
        <v>-0.25</v>
      </c>
      <c r="Q362" t="n">
        <v>1.86</v>
      </c>
      <c r="R362" t="n">
        <v>-56.07</v>
      </c>
      <c r="S362" t="n">
        <v>-4.93</v>
      </c>
      <c r="T362" t="n">
        <v>-1.68</v>
      </c>
      <c r="U362" t="n">
        <v>0.09</v>
      </c>
      <c r="V362" t="n">
        <v>0.91</v>
      </c>
      <c r="W362" t="n">
        <v>0.72</v>
      </c>
      <c r="X362" t="n">
        <v>11.46</v>
      </c>
      <c r="Z362" t="n">
        <v>2457728.18</v>
      </c>
      <c r="AA362" t="n">
        <v>1.66</v>
      </c>
      <c r="AB362" t="n">
        <v>-0.93</v>
      </c>
      <c r="AC362" t="n">
        <v>-0.01</v>
      </c>
      <c r="AD362" t="n">
        <v>246231542.97</v>
      </c>
    </row>
    <row r="363">
      <c r="A363" t="inlineStr">
        <is>
          <t>LOGG3</t>
        </is>
      </c>
      <c r="B363" t="n">
        <v>25.08</v>
      </c>
      <c r="C363" t="n">
        <v>27.73</v>
      </c>
      <c r="D363" t="n">
        <v>5.47</v>
      </c>
      <c r="E363" t="n">
        <v>0.59</v>
      </c>
      <c r="F363" t="n">
        <v>0.32</v>
      </c>
      <c r="G363" t="n">
        <v>96.86</v>
      </c>
      <c r="H363" t="n">
        <v>254.38</v>
      </c>
      <c r="I363" t="n">
        <v>155.03</v>
      </c>
      <c r="J363" t="n">
        <v>3.34</v>
      </c>
      <c r="K363" t="n">
        <v>6.64</v>
      </c>
      <c r="L363" t="n">
        <v>3.28</v>
      </c>
      <c r="M363" t="n">
        <v>0.58</v>
      </c>
      <c r="N363" t="n">
        <v>8.49</v>
      </c>
      <c r="O363" t="n">
        <v>-13.21</v>
      </c>
      <c r="P363" t="n">
        <v>-0.36</v>
      </c>
      <c r="Q363" t="n">
        <v>0.82</v>
      </c>
      <c r="R363" t="n">
        <v>10.75</v>
      </c>
      <c r="S363" t="n">
        <v>5.86</v>
      </c>
      <c r="T363" t="n">
        <v>9.6</v>
      </c>
      <c r="U363" t="n">
        <v>0.54</v>
      </c>
      <c r="V363" t="n">
        <v>0.45</v>
      </c>
      <c r="W363" t="n">
        <v>0.04</v>
      </c>
      <c r="X363" t="n">
        <v>11.94</v>
      </c>
      <c r="Y363" t="n">
        <v>23.51</v>
      </c>
      <c r="Z363" t="n">
        <v>9675467.449999999</v>
      </c>
      <c r="AA363" t="n">
        <v>42.59</v>
      </c>
      <c r="AB363" t="n">
        <v>4.58</v>
      </c>
      <c r="AC363" t="n">
        <v>0.74</v>
      </c>
      <c r="AD363" t="n">
        <v>2212293497.72</v>
      </c>
    </row>
    <row r="364">
      <c r="A364" t="inlineStr">
        <is>
          <t>LOGN3</t>
        </is>
      </c>
      <c r="B364" t="n">
        <v>27.29</v>
      </c>
      <c r="D364" t="n">
        <v>100.56</v>
      </c>
      <c r="E364" t="n">
        <v>2.79</v>
      </c>
      <c r="F364" t="n">
        <v>0.77</v>
      </c>
      <c r="G364" t="n">
        <v>14.83</v>
      </c>
      <c r="H364" t="n">
        <v>14.91</v>
      </c>
      <c r="I364" t="n">
        <v>0.95</v>
      </c>
      <c r="J364" t="n">
        <v>6.38</v>
      </c>
      <c r="K364" t="n">
        <v>9.43</v>
      </c>
      <c r="L364" t="n">
        <v>3.05</v>
      </c>
      <c r="M364" t="n">
        <v>1.33</v>
      </c>
      <c r="N364" t="n">
        <v>0.95</v>
      </c>
      <c r="O364" t="n">
        <v>9.67</v>
      </c>
      <c r="P364" t="n">
        <v>-1.13</v>
      </c>
      <c r="Q364" t="n">
        <v>1.33</v>
      </c>
      <c r="R364" t="n">
        <v>2.77</v>
      </c>
      <c r="S364" t="n">
        <v>0.76</v>
      </c>
      <c r="T364" t="n">
        <v>-4.33</v>
      </c>
      <c r="U364" t="n">
        <v>0.28</v>
      </c>
      <c r="V364" t="n">
        <v>0.72</v>
      </c>
      <c r="W364" t="n">
        <v>0.8100000000000001</v>
      </c>
      <c r="X364" t="n">
        <v>22.3</v>
      </c>
      <c r="Y364" t="n">
        <v>17.59</v>
      </c>
      <c r="Z364" t="n">
        <v>466910.73</v>
      </c>
      <c r="AA364" t="n">
        <v>9.789999999999999</v>
      </c>
      <c r="AB364" t="n">
        <v>0.27</v>
      </c>
      <c r="AC364" t="n">
        <v>-1.69</v>
      </c>
      <c r="AD364" t="n">
        <v>2928394002.94</v>
      </c>
    </row>
    <row r="365">
      <c r="A365" t="inlineStr">
        <is>
          <t>LPSB3</t>
        </is>
      </c>
      <c r="B365" t="n">
        <v>1.46</v>
      </c>
      <c r="C365" t="n">
        <v>15.21</v>
      </c>
      <c r="D365" t="n">
        <v>5.23</v>
      </c>
      <c r="E365" t="n">
        <v>0.9</v>
      </c>
      <c r="F365" t="n">
        <v>0.53</v>
      </c>
      <c r="G365" t="n">
        <v>77.19</v>
      </c>
      <c r="H365" t="n">
        <v>24.96</v>
      </c>
      <c r="I365" t="n">
        <v>20.18</v>
      </c>
      <c r="J365" t="n">
        <v>4.23</v>
      </c>
      <c r="K365" t="n">
        <v>2.78</v>
      </c>
      <c r="L365" t="n">
        <v>-1.45</v>
      </c>
      <c r="M365" t="n">
        <v>-0.31</v>
      </c>
      <c r="N365" t="n">
        <v>1.06</v>
      </c>
      <c r="O365" t="n">
        <v>5.55</v>
      </c>
      <c r="P365" t="n">
        <v>-0.76</v>
      </c>
      <c r="Q365" t="n">
        <v>1.48</v>
      </c>
      <c r="R365" t="n">
        <v>17.29</v>
      </c>
      <c r="S365" t="n">
        <v>10.21</v>
      </c>
      <c r="T365" t="n">
        <v>16.35</v>
      </c>
      <c r="U365" t="n">
        <v>0.59</v>
      </c>
      <c r="V365" t="n">
        <v>0.43</v>
      </c>
      <c r="W365" t="n">
        <v>0.51</v>
      </c>
      <c r="X365" t="n">
        <v>4.02</v>
      </c>
      <c r="Z365" t="n">
        <v>116584.18</v>
      </c>
      <c r="AA365" t="n">
        <v>1.61</v>
      </c>
      <c r="AB365" t="n">
        <v>0.28</v>
      </c>
      <c r="AC365" t="n">
        <v>0.05</v>
      </c>
      <c r="AD365" t="n">
        <v>215429761.26</v>
      </c>
    </row>
    <row r="366">
      <c r="A366" t="inlineStr">
        <is>
          <t>LREN3</t>
        </is>
      </c>
      <c r="B366" t="n">
        <v>13.4</v>
      </c>
      <c r="C366" t="n">
        <v>6.71</v>
      </c>
      <c r="D366" t="n">
        <v>9.029999999999999</v>
      </c>
      <c r="E366" t="n">
        <v>1.3</v>
      </c>
      <c r="F366" t="n">
        <v>0.71</v>
      </c>
      <c r="G366" t="n">
        <v>61.95</v>
      </c>
      <c r="H366" t="n">
        <v>11.38</v>
      </c>
      <c r="I366" t="n">
        <v>9.369999999999999</v>
      </c>
      <c r="J366" t="n">
        <v>7.44</v>
      </c>
      <c r="K366" t="n">
        <v>6.63</v>
      </c>
      <c r="L366" t="n">
        <v>-0.8</v>
      </c>
      <c r="M366" t="n">
        <v>-0.14</v>
      </c>
      <c r="N366" t="n">
        <v>0.85</v>
      </c>
      <c r="O366" t="n">
        <v>2.82</v>
      </c>
      <c r="P366" t="n">
        <v>-1.7</v>
      </c>
      <c r="Q366" t="n">
        <v>1.77</v>
      </c>
      <c r="R366" t="n">
        <v>14.41</v>
      </c>
      <c r="S366" t="n">
        <v>7.91</v>
      </c>
      <c r="T366" t="n">
        <v>13.34</v>
      </c>
      <c r="U366" t="n">
        <v>0.55</v>
      </c>
      <c r="V366" t="n">
        <v>0.45</v>
      </c>
      <c r="W366" t="n">
        <v>0.84</v>
      </c>
      <c r="X366" t="n">
        <v>16</v>
      </c>
      <c r="Y366" t="n">
        <v>6.38</v>
      </c>
      <c r="Z366" t="n">
        <v>157122446.91</v>
      </c>
      <c r="AA366" t="n">
        <v>10.3</v>
      </c>
      <c r="AB366" t="n">
        <v>1.48</v>
      </c>
      <c r="AC366" t="n">
        <v>0.54</v>
      </c>
      <c r="AD366" t="n">
        <v>13481655822.05</v>
      </c>
    </row>
    <row r="367">
      <c r="A367" t="inlineStr">
        <is>
          <t>LTEL3B</t>
        </is>
      </c>
      <c r="B367" t="n">
        <v>86.61</v>
      </c>
      <c r="C367" t="n">
        <v>1.24</v>
      </c>
      <c r="D367" t="n">
        <v>71.8</v>
      </c>
      <c r="E367" t="n">
        <v>5.17</v>
      </c>
      <c r="F367" t="n">
        <v>5.16</v>
      </c>
      <c r="J367" t="n">
        <v>75.17</v>
      </c>
      <c r="K367" t="n">
        <v>74.5</v>
      </c>
      <c r="L367" t="n">
        <v>-0.66</v>
      </c>
      <c r="M367" t="n">
        <v>-0.05</v>
      </c>
      <c r="O367" t="n">
        <v>107.75</v>
      </c>
      <c r="P367" t="n">
        <v>-5.43</v>
      </c>
      <c r="Q367" t="n">
        <v>170.15</v>
      </c>
      <c r="R367" t="n">
        <v>7.2</v>
      </c>
      <c r="S367" t="n">
        <v>7.19</v>
      </c>
      <c r="T367" t="n">
        <v>6.8</v>
      </c>
      <c r="U367" t="n">
        <v>1</v>
      </c>
      <c r="V367" t="n">
        <v>0</v>
      </c>
      <c r="W367" t="n">
        <v>0</v>
      </c>
      <c r="Y367" t="n">
        <v>-6.79</v>
      </c>
      <c r="AA367" t="n">
        <v>16.76</v>
      </c>
      <c r="AB367" t="n">
        <v>1.21</v>
      </c>
      <c r="AC367" t="n">
        <v>-1.38</v>
      </c>
      <c r="AD367" t="n">
        <v>18664056853.83</v>
      </c>
    </row>
    <row r="368">
      <c r="A368" t="inlineStr">
        <is>
          <t>LUPA3</t>
        </is>
      </c>
      <c r="B368" t="n">
        <v>0.64</v>
      </c>
      <c r="D368" t="n">
        <v>-0.28</v>
      </c>
      <c r="E368" t="n">
        <v>2.25</v>
      </c>
      <c r="F368" t="n">
        <v>0.07000000000000001</v>
      </c>
      <c r="G368" t="n">
        <v>15.69</v>
      </c>
      <c r="H368" t="n">
        <v>-255.48</v>
      </c>
      <c r="I368" t="n">
        <v>-281.99</v>
      </c>
      <c r="J368" t="n">
        <v>-0.31</v>
      </c>
      <c r="K368" t="n">
        <v>-2.23</v>
      </c>
      <c r="L368" t="n">
        <v>-1.92</v>
      </c>
      <c r="M368" t="n">
        <v>13.83</v>
      </c>
      <c r="N368" t="n">
        <v>0.8</v>
      </c>
      <c r="O368" t="n">
        <v>5.02</v>
      </c>
      <c r="P368" t="n">
        <v>-0.12</v>
      </c>
      <c r="Q368" t="n">
        <v>1.03</v>
      </c>
      <c r="R368" t="n">
        <v>-795.76</v>
      </c>
      <c r="S368" t="n">
        <v>-23.6</v>
      </c>
      <c r="T368" t="n">
        <v>-50.75</v>
      </c>
      <c r="U368" t="n">
        <v>0.03</v>
      </c>
      <c r="V368" t="n">
        <v>0.97</v>
      </c>
      <c r="W368" t="n">
        <v>0.08</v>
      </c>
      <c r="X368" t="n">
        <v>-0.95</v>
      </c>
      <c r="Z368" t="n">
        <v>38384.86</v>
      </c>
      <c r="AA368" t="n">
        <v>0.28</v>
      </c>
      <c r="AB368" t="n">
        <v>-2.26</v>
      </c>
      <c r="AC368" t="n">
        <v>0</v>
      </c>
      <c r="AD368" t="n">
        <v>30283585.92</v>
      </c>
    </row>
    <row r="369">
      <c r="A369" t="inlineStr">
        <is>
          <t>LUXM3</t>
        </is>
      </c>
      <c r="B369" t="n">
        <v>0</v>
      </c>
      <c r="D369" t="n">
        <v>0</v>
      </c>
      <c r="E369" t="n">
        <v>0</v>
      </c>
      <c r="F369" t="n">
        <v>0</v>
      </c>
      <c r="G369" t="n">
        <v>29.66</v>
      </c>
      <c r="H369" t="n">
        <v>17.37</v>
      </c>
      <c r="I369" t="n">
        <v>13.1</v>
      </c>
      <c r="J369" t="n">
        <v>0</v>
      </c>
      <c r="K369" t="n">
        <v>2.02</v>
      </c>
      <c r="L369" t="n">
        <v>-0.33</v>
      </c>
      <c r="M369" t="n">
        <v>-0.05</v>
      </c>
      <c r="N369" t="n">
        <v>0</v>
      </c>
      <c r="O369" t="n">
        <v>0</v>
      </c>
      <c r="P369" t="n">
        <v>0</v>
      </c>
      <c r="Q369" t="n">
        <v>1.82</v>
      </c>
      <c r="R369" t="n">
        <v>11.91</v>
      </c>
      <c r="S369" t="n">
        <v>8.529999999999999</v>
      </c>
      <c r="T369" t="n">
        <v>7.54</v>
      </c>
      <c r="U369" t="n">
        <v>0.72</v>
      </c>
      <c r="V369" t="n">
        <v>0.28</v>
      </c>
      <c r="W369" t="n">
        <v>0.65</v>
      </c>
      <c r="X369" t="n">
        <v>8.609999999999999</v>
      </c>
      <c r="Y369" t="n">
        <v>19.49</v>
      </c>
      <c r="AA369" t="n">
        <v>4.14</v>
      </c>
      <c r="AB369" t="n">
        <v>0.49</v>
      </c>
      <c r="AC369" t="n">
        <v>0</v>
      </c>
      <c r="AD369" t="n">
        <v>63987840</v>
      </c>
    </row>
    <row r="370">
      <c r="A370" t="inlineStr">
        <is>
          <t>LUXM4</t>
        </is>
      </c>
      <c r="B370" t="n">
        <v>2.76</v>
      </c>
      <c r="D370" t="n">
        <v>5.59</v>
      </c>
      <c r="E370" t="n">
        <v>0.67</v>
      </c>
      <c r="F370" t="n">
        <v>0.48</v>
      </c>
      <c r="G370" t="n">
        <v>29.66</v>
      </c>
      <c r="H370" t="n">
        <v>17.37</v>
      </c>
      <c r="I370" t="n">
        <v>13.1</v>
      </c>
      <c r="J370" t="n">
        <v>4.22</v>
      </c>
      <c r="K370" t="n">
        <v>2.02</v>
      </c>
      <c r="L370" t="n">
        <v>-0.33</v>
      </c>
      <c r="M370" t="n">
        <v>-0.05</v>
      </c>
      <c r="N370" t="n">
        <v>0.73</v>
      </c>
      <c r="O370" t="n">
        <v>5.12</v>
      </c>
      <c r="P370" t="n">
        <v>-0.6</v>
      </c>
      <c r="Q370" t="n">
        <v>1.82</v>
      </c>
      <c r="R370" t="n">
        <v>11.91</v>
      </c>
      <c r="S370" t="n">
        <v>8.529999999999999</v>
      </c>
      <c r="T370" t="n">
        <v>7.54</v>
      </c>
      <c r="U370" t="n">
        <v>0.72</v>
      </c>
      <c r="V370" t="n">
        <v>0.28</v>
      </c>
      <c r="W370" t="n">
        <v>0.65</v>
      </c>
      <c r="X370" t="n">
        <v>8.609999999999999</v>
      </c>
      <c r="Y370" t="n">
        <v>19.49</v>
      </c>
      <c r="Z370" t="n">
        <v>14397.86</v>
      </c>
      <c r="AA370" t="n">
        <v>4.14</v>
      </c>
      <c r="AB370" t="n">
        <v>0.49</v>
      </c>
      <c r="AC370" t="n">
        <v>-0.13</v>
      </c>
      <c r="AD370" t="n">
        <v>63987840</v>
      </c>
    </row>
    <row r="371">
      <c r="A371" t="inlineStr">
        <is>
          <t>LWSA3</t>
        </is>
      </c>
      <c r="B371" t="n">
        <v>3.72</v>
      </c>
      <c r="C371" t="n">
        <v>1.4</v>
      </c>
      <c r="D371" t="n">
        <v>-9.67</v>
      </c>
      <c r="E371" t="n">
        <v>0.9</v>
      </c>
      <c r="F371" t="n">
        <v>0.6</v>
      </c>
      <c r="G371" t="n">
        <v>48.73</v>
      </c>
      <c r="H371" t="n">
        <v>-17.23</v>
      </c>
      <c r="I371" t="n">
        <v>-14.56</v>
      </c>
      <c r="J371" t="n">
        <v>-8.17</v>
      </c>
      <c r="K371" t="n">
        <v>-7.11</v>
      </c>
      <c r="L371" t="n">
        <v>1.17</v>
      </c>
      <c r="M371" t="n">
        <v>-0.13</v>
      </c>
      <c r="N371" t="n">
        <v>1.41</v>
      </c>
      <c r="O371" t="n">
        <v>14.27</v>
      </c>
      <c r="P371" t="n">
        <v>-0.93</v>
      </c>
      <c r="Q371" t="n">
        <v>1.14</v>
      </c>
      <c r="R371" t="n">
        <v>-9.34</v>
      </c>
      <c r="S371" t="n">
        <v>-6.21</v>
      </c>
      <c r="T371" t="n">
        <v>-17.35</v>
      </c>
      <c r="U371" t="n">
        <v>0.67</v>
      </c>
      <c r="V371" t="n">
        <v>0.33</v>
      </c>
      <c r="W371" t="n">
        <v>0.43</v>
      </c>
      <c r="X371" t="n">
        <v>24.98</v>
      </c>
      <c r="Z371" t="n">
        <v>9483227.359999999</v>
      </c>
      <c r="AA371" t="n">
        <v>4.12</v>
      </c>
      <c r="AB371" t="n">
        <v>-0.38</v>
      </c>
      <c r="AC371" t="n">
        <v>0.01</v>
      </c>
      <c r="AD371" t="n">
        <v>2143476289.5</v>
      </c>
    </row>
    <row r="372">
      <c r="A372" t="inlineStr">
        <is>
          <t>MAPT3</t>
        </is>
      </c>
      <c r="B372" t="n">
        <v>2.5</v>
      </c>
      <c r="D372" t="n">
        <v>-22.09</v>
      </c>
      <c r="E372" t="n">
        <v>-0.35</v>
      </c>
      <c r="F372" t="n">
        <v>2.97</v>
      </c>
      <c r="J372" t="n">
        <v>-22.3</v>
      </c>
      <c r="K372" t="n">
        <v>-24.56</v>
      </c>
      <c r="L372" t="n">
        <v>0</v>
      </c>
      <c r="O372" t="n">
        <v>-47.86</v>
      </c>
      <c r="P372" t="n">
        <v>-2.97</v>
      </c>
      <c r="Q372" t="n">
        <v>0</v>
      </c>
      <c r="R372" t="n">
        <v>-1.58</v>
      </c>
      <c r="S372" t="n">
        <v>-13.45</v>
      </c>
      <c r="T372" t="n">
        <v>1.57</v>
      </c>
      <c r="U372" t="n">
        <v>-8.51</v>
      </c>
      <c r="V372" t="n">
        <v>9.51</v>
      </c>
      <c r="W372" t="n">
        <v>0</v>
      </c>
      <c r="Z372" t="n">
        <v>0</v>
      </c>
      <c r="AA372" t="n">
        <v>-7.16</v>
      </c>
      <c r="AB372" t="n">
        <v>-0.11</v>
      </c>
      <c r="AC372" t="n">
        <v>0.62</v>
      </c>
      <c r="AD372" t="n">
        <v>2529457.5</v>
      </c>
    </row>
    <row r="373">
      <c r="A373" t="inlineStr">
        <is>
          <t>MAPT4</t>
        </is>
      </c>
      <c r="B373" t="n">
        <v>3</v>
      </c>
      <c r="D373" t="n">
        <v>-26.51</v>
      </c>
      <c r="E373" t="n">
        <v>-0.42</v>
      </c>
      <c r="F373" t="n">
        <v>3.57</v>
      </c>
      <c r="J373" t="n">
        <v>-26.76</v>
      </c>
      <c r="K373" t="n">
        <v>-24.56</v>
      </c>
      <c r="L373" t="n">
        <v>0</v>
      </c>
      <c r="O373" t="n">
        <v>-57.43</v>
      </c>
      <c r="P373" t="n">
        <v>-3.57</v>
      </c>
      <c r="Q373" t="n">
        <v>0</v>
      </c>
      <c r="R373" t="n">
        <v>-1.58</v>
      </c>
      <c r="S373" t="n">
        <v>-13.45</v>
      </c>
      <c r="T373" t="n">
        <v>1.57</v>
      </c>
      <c r="U373" t="n">
        <v>-8.51</v>
      </c>
      <c r="V373" t="n">
        <v>9.51</v>
      </c>
      <c r="W373" t="n">
        <v>0</v>
      </c>
      <c r="Z373" t="n">
        <v>0</v>
      </c>
      <c r="AA373" t="n">
        <v>-7.16</v>
      </c>
      <c r="AB373" t="n">
        <v>-0.11</v>
      </c>
      <c r="AC373" t="n">
        <v>0.75</v>
      </c>
      <c r="AD373" t="n">
        <v>2529457.5</v>
      </c>
    </row>
    <row r="374">
      <c r="A374" t="inlineStr">
        <is>
          <t>MATD3</t>
        </is>
      </c>
      <c r="B374" t="n">
        <v>4.83</v>
      </c>
      <c r="C374" t="n">
        <v>3.12</v>
      </c>
      <c r="D374" t="n">
        <v>13.01</v>
      </c>
      <c r="E374" t="n">
        <v>1.07</v>
      </c>
      <c r="F374" t="n">
        <v>0.37</v>
      </c>
      <c r="G374" t="n">
        <v>30.28</v>
      </c>
      <c r="H374" t="n">
        <v>16.88</v>
      </c>
      <c r="I374" t="n">
        <v>5.5</v>
      </c>
      <c r="J374" t="n">
        <v>4.24</v>
      </c>
      <c r="K374" t="n">
        <v>6.31</v>
      </c>
      <c r="L374" t="n">
        <v>2.06</v>
      </c>
      <c r="M374" t="n">
        <v>0.52</v>
      </c>
      <c r="N374" t="n">
        <v>0.72</v>
      </c>
      <c r="O374" t="n">
        <v>1.62</v>
      </c>
      <c r="P374" t="n">
        <v>-0.57</v>
      </c>
      <c r="Q374" t="n">
        <v>2.91</v>
      </c>
      <c r="R374" t="n">
        <v>8.26</v>
      </c>
      <c r="S374" t="n">
        <v>2.86</v>
      </c>
      <c r="T374" t="n">
        <v>9.16</v>
      </c>
      <c r="U374" t="n">
        <v>0.35</v>
      </c>
      <c r="V374" t="n">
        <v>0.65</v>
      </c>
      <c r="W374" t="n">
        <v>0.52</v>
      </c>
      <c r="X374" t="n">
        <v>24.82</v>
      </c>
      <c r="Y374" t="n">
        <v>11.25</v>
      </c>
      <c r="Z374" t="n">
        <v>1134645.09</v>
      </c>
      <c r="AA374" t="n">
        <v>4.49</v>
      </c>
      <c r="AB374" t="n">
        <v>0.37</v>
      </c>
      <c r="AC374" t="n">
        <v>-0.1</v>
      </c>
      <c r="AD374" t="n">
        <v>1614376313</v>
      </c>
    </row>
    <row r="375">
      <c r="A375" t="inlineStr">
        <is>
          <t>MBRF3</t>
        </is>
      </c>
      <c r="B375" t="n">
        <v>16.63</v>
      </c>
      <c r="C375" t="n">
        <v>16.9</v>
      </c>
      <c r="D375" t="n">
        <v>60.16</v>
      </c>
      <c r="E375" t="n">
        <v>2.01</v>
      </c>
      <c r="F375" t="n">
        <v>0.17</v>
      </c>
      <c r="G375" t="n">
        <v>12.38</v>
      </c>
      <c r="H375" t="n">
        <v>3.47</v>
      </c>
      <c r="I375" t="n">
        <v>0.23</v>
      </c>
      <c r="J375" t="n">
        <v>4.03</v>
      </c>
      <c r="K375" t="n">
        <v>12.76</v>
      </c>
      <c r="L375" t="n">
        <v>8.73</v>
      </c>
      <c r="M375" t="n">
        <v>4.35</v>
      </c>
      <c r="N375" t="n">
        <v>0.14</v>
      </c>
      <c r="O375" t="n">
        <v>6.3</v>
      </c>
      <c r="P375" t="n">
        <v>-0.27</v>
      </c>
      <c r="Q375" t="n">
        <v>1.08</v>
      </c>
      <c r="R375" t="n">
        <v>3.34</v>
      </c>
      <c r="S375" t="n">
        <v>0.28</v>
      </c>
      <c r="T375" t="n">
        <v>4.71</v>
      </c>
      <c r="U375" t="n">
        <v>0.08</v>
      </c>
      <c r="V375" t="n">
        <v>0.9</v>
      </c>
      <c r="W375" t="n">
        <v>1.19</v>
      </c>
      <c r="X375" t="n">
        <v>19.43</v>
      </c>
      <c r="Y375" t="n">
        <v>-35.05</v>
      </c>
      <c r="Z375" t="n">
        <v>108448153.05</v>
      </c>
      <c r="AA375" t="n">
        <v>8.279999999999999</v>
      </c>
      <c r="AB375" t="n">
        <v>0.28</v>
      </c>
      <c r="AC375" t="n">
        <v>-0.7</v>
      </c>
      <c r="AD375" t="n">
        <v>22942905204.66</v>
      </c>
    </row>
    <row r="376">
      <c r="A376" t="inlineStr">
        <is>
          <t>MDIA3</t>
        </is>
      </c>
      <c r="B376" t="n">
        <v>17.04</v>
      </c>
      <c r="C376" t="n">
        <v>6.2</v>
      </c>
      <c r="D376" t="n">
        <v>8.289999999999999</v>
      </c>
      <c r="E376" t="n">
        <v>0.6899999999999999</v>
      </c>
      <c r="F376" t="n">
        <v>0.46</v>
      </c>
      <c r="G376" t="n">
        <v>32.46</v>
      </c>
      <c r="H376" t="n">
        <v>6.93</v>
      </c>
      <c r="I376" t="n">
        <v>6.67</v>
      </c>
      <c r="J376" t="n">
        <v>7.98</v>
      </c>
      <c r="K376" t="n">
        <v>7.29</v>
      </c>
      <c r="L376" t="n">
        <v>-0.72</v>
      </c>
      <c r="M376" t="n">
        <v>-0.06</v>
      </c>
      <c r="N376" t="n">
        <v>0.55</v>
      </c>
      <c r="O376" t="n">
        <v>1.6</v>
      </c>
      <c r="P376" t="n">
        <v>-0.84</v>
      </c>
      <c r="Q376" t="n">
        <v>2.65</v>
      </c>
      <c r="R376" t="n">
        <v>8.33</v>
      </c>
      <c r="S376" t="n">
        <v>5.5</v>
      </c>
      <c r="T376" t="n">
        <v>6.31</v>
      </c>
      <c r="U376" t="n">
        <v>0.66</v>
      </c>
      <c r="V376" t="n">
        <v>0.34</v>
      </c>
      <c r="W376" t="n">
        <v>0.83</v>
      </c>
      <c r="X376" t="n">
        <v>7.55</v>
      </c>
      <c r="Y376" t="n">
        <v>-1.82</v>
      </c>
      <c r="Z376" t="n">
        <v>8336771.23</v>
      </c>
      <c r="AA376" t="n">
        <v>24.66</v>
      </c>
      <c r="AB376" t="n">
        <v>2.06</v>
      </c>
      <c r="AC376" t="n">
        <v>0.34</v>
      </c>
      <c r="AD376" t="n">
        <v>5796900000</v>
      </c>
    </row>
    <row r="377">
      <c r="A377" t="inlineStr">
        <is>
          <t>MDNE3</t>
        </is>
      </c>
      <c r="B377" t="n">
        <v>23.68</v>
      </c>
      <c r="C377" t="n">
        <v>15.11</v>
      </c>
      <c r="D377" t="n">
        <v>4.87</v>
      </c>
      <c r="E377" t="n">
        <v>1.17</v>
      </c>
      <c r="F377" t="n">
        <v>0.4</v>
      </c>
      <c r="G377" t="n">
        <v>36.36</v>
      </c>
      <c r="H377" t="n">
        <v>20.47</v>
      </c>
      <c r="I377" t="n">
        <v>19.89</v>
      </c>
      <c r="J377" t="n">
        <v>4.74</v>
      </c>
      <c r="K377" t="n">
        <v>4.91</v>
      </c>
      <c r="L377" t="n">
        <v>0.16</v>
      </c>
      <c r="M377" t="n">
        <v>0.04</v>
      </c>
      <c r="N377" t="n">
        <v>0.97</v>
      </c>
      <c r="O377" t="n">
        <v>1.12</v>
      </c>
      <c r="P377" t="n">
        <v>-0.9</v>
      </c>
      <c r="Q377" t="n">
        <v>2.78</v>
      </c>
      <c r="R377" t="n">
        <v>23.93</v>
      </c>
      <c r="S377" t="n">
        <v>8.210000000000001</v>
      </c>
      <c r="T377" t="n">
        <v>15.01</v>
      </c>
      <c r="U377" t="n">
        <v>0.34</v>
      </c>
      <c r="V377" t="n">
        <v>0.66</v>
      </c>
      <c r="W377" t="n">
        <v>0.41</v>
      </c>
      <c r="X377" t="n">
        <v>35.64</v>
      </c>
      <c r="Z377" t="n">
        <v>37458047.14</v>
      </c>
      <c r="AA377" t="n">
        <v>20.3</v>
      </c>
      <c r="AB377" t="n">
        <v>4.86</v>
      </c>
      <c r="AC377" t="n">
        <v>0.06</v>
      </c>
      <c r="AD377" t="n">
        <v>2473007569.62</v>
      </c>
    </row>
    <row r="378">
      <c r="A378" t="inlineStr">
        <is>
          <t>MEAL3</t>
        </is>
      </c>
      <c r="B378" t="n">
        <v>0.6</v>
      </c>
      <c r="D378" t="n">
        <v>-0.93</v>
      </c>
      <c r="E378" t="n">
        <v>0.22</v>
      </c>
      <c r="F378" t="n">
        <v>0.08</v>
      </c>
      <c r="G378" t="n">
        <v>33.25</v>
      </c>
      <c r="H378" t="n">
        <v>2.28</v>
      </c>
      <c r="I378" t="n">
        <v>-11.66</v>
      </c>
      <c r="J378" t="n">
        <v>4.76</v>
      </c>
      <c r="K378" t="n">
        <v>10.18</v>
      </c>
      <c r="L378" t="n">
        <v>5.35</v>
      </c>
      <c r="M378" t="n">
        <v>0.25</v>
      </c>
      <c r="N378" t="n">
        <v>0.11</v>
      </c>
      <c r="O378" t="n">
        <v>-1.28</v>
      </c>
      <c r="P378" t="n">
        <v>-0.11</v>
      </c>
      <c r="Q378" t="n">
        <v>0.75</v>
      </c>
      <c r="R378" t="n">
        <v>-23.97</v>
      </c>
      <c r="S378" t="n">
        <v>-9.01</v>
      </c>
      <c r="T378" t="n">
        <v>1.87</v>
      </c>
      <c r="U378" t="n">
        <v>0.38</v>
      </c>
      <c r="V378" t="n">
        <v>0.62</v>
      </c>
      <c r="W378" t="n">
        <v>0.77</v>
      </c>
      <c r="X378" t="n">
        <v>8.44</v>
      </c>
      <c r="Z378" t="n">
        <v>301686.14</v>
      </c>
      <c r="AA378" t="n">
        <v>2.68</v>
      </c>
      <c r="AB378" t="n">
        <v>-0.64</v>
      </c>
      <c r="AC378" t="n">
        <v>-0.01</v>
      </c>
      <c r="AD378" t="n">
        <v>174872689.4</v>
      </c>
    </row>
    <row r="379">
      <c r="A379" t="inlineStr">
        <is>
          <t>MELK3</t>
        </is>
      </c>
      <c r="B379" t="n">
        <v>2.86</v>
      </c>
      <c r="C379" t="n">
        <v>14.52</v>
      </c>
      <c r="D379" t="n">
        <v>4.79</v>
      </c>
      <c r="E379" t="n">
        <v>0.55</v>
      </c>
      <c r="F379" t="n">
        <v>0.21</v>
      </c>
      <c r="G379" t="n">
        <v>24.68</v>
      </c>
      <c r="H379" t="n">
        <v>10.2</v>
      </c>
      <c r="I379" t="n">
        <v>10.2</v>
      </c>
      <c r="J379" t="n">
        <v>4.78</v>
      </c>
      <c r="K379" t="n">
        <v>8.529999999999999</v>
      </c>
      <c r="L379" t="n">
        <v>3.78</v>
      </c>
      <c r="M379" t="n">
        <v>0.43</v>
      </c>
      <c r="N379" t="n">
        <v>0.49</v>
      </c>
      <c r="O379" t="n">
        <v>0.58</v>
      </c>
      <c r="P379" t="n">
        <v>-0.62</v>
      </c>
      <c r="Q379" t="n">
        <v>2.19</v>
      </c>
      <c r="R379" t="n">
        <v>11.47</v>
      </c>
      <c r="S379" t="n">
        <v>4.35</v>
      </c>
      <c r="T379" t="n">
        <v>4.59</v>
      </c>
      <c r="U379" t="n">
        <v>0.38</v>
      </c>
      <c r="V379" t="n">
        <v>0.57</v>
      </c>
      <c r="W379" t="n">
        <v>0.43</v>
      </c>
      <c r="X379" t="n">
        <v>13.95</v>
      </c>
      <c r="Y379" t="n">
        <v>23.81</v>
      </c>
      <c r="Z379" t="n">
        <v>1180162.59</v>
      </c>
      <c r="AA379" t="n">
        <v>5.22</v>
      </c>
      <c r="AB379" t="n">
        <v>0.6</v>
      </c>
      <c r="AC379" t="n">
        <v>0.04</v>
      </c>
      <c r="AD379" t="n">
        <v>587867621.85</v>
      </c>
    </row>
    <row r="380">
      <c r="A380" t="inlineStr">
        <is>
          <t>MERC3</t>
        </is>
      </c>
      <c r="B380" t="n">
        <v>15.28</v>
      </c>
      <c r="C380" t="n">
        <v>1.19</v>
      </c>
      <c r="D380" t="n">
        <v>19.92</v>
      </c>
      <c r="E380" t="n">
        <v>1.06</v>
      </c>
      <c r="F380" t="n">
        <v>0.97</v>
      </c>
      <c r="G380" t="n">
        <v>98.43000000000001</v>
      </c>
      <c r="H380" t="n">
        <v>2.81</v>
      </c>
      <c r="I380" t="n">
        <v>27.06</v>
      </c>
      <c r="J380" t="n">
        <v>191.68</v>
      </c>
      <c r="K380" t="n">
        <v>193.96</v>
      </c>
      <c r="N380" t="n">
        <v>5.39</v>
      </c>
      <c r="O380" t="n">
        <v>637.89</v>
      </c>
      <c r="P380" t="n">
        <v>-0.97</v>
      </c>
      <c r="R380" t="n">
        <v>5.33</v>
      </c>
      <c r="S380" t="n">
        <v>4.88</v>
      </c>
      <c r="U380" t="n">
        <v>0.92</v>
      </c>
      <c r="V380" t="n">
        <v>0.08</v>
      </c>
      <c r="W380" t="n">
        <v>0.18</v>
      </c>
      <c r="X380" t="n">
        <v>15.19</v>
      </c>
      <c r="Y380" t="n">
        <v>29.15</v>
      </c>
      <c r="AA380" t="n">
        <v>14.39</v>
      </c>
      <c r="AB380" t="n">
        <v>0.77</v>
      </c>
      <c r="AC380" t="n">
        <v>0.79</v>
      </c>
      <c r="AD380" t="n">
        <v>633848550.2</v>
      </c>
    </row>
    <row r="381">
      <c r="A381" t="inlineStr">
        <is>
          <t>MERC4</t>
        </is>
      </c>
      <c r="B381" t="n">
        <v>15.72</v>
      </c>
      <c r="C381" t="n">
        <v>3.37</v>
      </c>
      <c r="D381" t="n">
        <v>20.49</v>
      </c>
      <c r="E381" t="n">
        <v>1.09</v>
      </c>
      <c r="F381" t="n">
        <v>1</v>
      </c>
      <c r="G381" t="n">
        <v>98.43000000000001</v>
      </c>
      <c r="H381" t="n">
        <v>2.81</v>
      </c>
      <c r="I381" t="n">
        <v>27.06</v>
      </c>
      <c r="J381" t="n">
        <v>197.2</v>
      </c>
      <c r="K381" t="n">
        <v>193.96</v>
      </c>
      <c r="N381" t="n">
        <v>5.54</v>
      </c>
      <c r="O381" t="n">
        <v>656.26</v>
      </c>
      <c r="P381" t="n">
        <v>-1</v>
      </c>
      <c r="R381" t="n">
        <v>5.33</v>
      </c>
      <c r="S381" t="n">
        <v>4.88</v>
      </c>
      <c r="U381" t="n">
        <v>0.92</v>
      </c>
      <c r="V381" t="n">
        <v>0.08</v>
      </c>
      <c r="W381" t="n">
        <v>0.18</v>
      </c>
      <c r="X381" t="n">
        <v>15.19</v>
      </c>
      <c r="Y381" t="n">
        <v>29.15</v>
      </c>
      <c r="Z381" t="n">
        <v>0</v>
      </c>
      <c r="AA381" t="n">
        <v>14.39</v>
      </c>
      <c r="AB381" t="n">
        <v>0.77</v>
      </c>
      <c r="AC381" t="n">
        <v>0.8100000000000001</v>
      </c>
      <c r="AD381" t="n">
        <v>633848550.2</v>
      </c>
    </row>
    <row r="382">
      <c r="A382" t="inlineStr">
        <is>
          <t>MGEL3</t>
        </is>
      </c>
      <c r="B382" t="n">
        <v>74.09999999999999</v>
      </c>
      <c r="D382" t="n">
        <v>10.03</v>
      </c>
      <c r="E382" t="n">
        <v>8.43</v>
      </c>
      <c r="F382" t="n">
        <v>0.57</v>
      </c>
      <c r="G382" t="n">
        <v>12.94</v>
      </c>
      <c r="H382" t="n">
        <v>7.38</v>
      </c>
      <c r="I382" t="n">
        <v>3.94</v>
      </c>
      <c r="J382" t="n">
        <v>5.36</v>
      </c>
      <c r="K382" t="n">
        <v>8.43</v>
      </c>
      <c r="L382" t="n">
        <v>6.27</v>
      </c>
      <c r="M382" t="n">
        <v>9.859999999999999</v>
      </c>
      <c r="N382" t="n">
        <v>0.4</v>
      </c>
      <c r="O382" t="n">
        <v>-1.23</v>
      </c>
      <c r="P382" t="n">
        <v>-1.02</v>
      </c>
      <c r="Q382" t="n">
        <v>0.48</v>
      </c>
      <c r="R382" t="n">
        <v>84.02</v>
      </c>
      <c r="S382" t="n">
        <v>5.7</v>
      </c>
      <c r="T382" t="n">
        <v>13.66</v>
      </c>
      <c r="U382" t="n">
        <v>0.07000000000000001</v>
      </c>
      <c r="V382" t="n">
        <v>0.93</v>
      </c>
      <c r="W382" t="n">
        <v>1.45</v>
      </c>
      <c r="X382" t="n">
        <v>14.25</v>
      </c>
      <c r="AA382" t="n">
        <v>8.800000000000001</v>
      </c>
      <c r="AB382" t="n">
        <v>7.39</v>
      </c>
      <c r="AC382" t="n">
        <v>-0.04</v>
      </c>
      <c r="AD382" t="n">
        <v>172505745.1</v>
      </c>
    </row>
    <row r="383">
      <c r="A383" t="inlineStr">
        <is>
          <t>MGEL4</t>
        </is>
      </c>
      <c r="B383" t="n">
        <v>5.2</v>
      </c>
      <c r="D383" t="n">
        <v>0.7</v>
      </c>
      <c r="E383" t="n">
        <v>0.59</v>
      </c>
      <c r="F383" t="n">
        <v>0.04</v>
      </c>
      <c r="G383" t="n">
        <v>12.94</v>
      </c>
      <c r="H383" t="n">
        <v>7.38</v>
      </c>
      <c r="I383" t="n">
        <v>3.94</v>
      </c>
      <c r="J383" t="n">
        <v>0.38</v>
      </c>
      <c r="K383" t="n">
        <v>8.43</v>
      </c>
      <c r="L383" t="n">
        <v>6.27</v>
      </c>
      <c r="M383" t="n">
        <v>9.859999999999999</v>
      </c>
      <c r="N383" t="n">
        <v>0.03</v>
      </c>
      <c r="O383" t="n">
        <v>-0.09</v>
      </c>
      <c r="P383" t="n">
        <v>-0.07000000000000001</v>
      </c>
      <c r="Q383" t="n">
        <v>0.48</v>
      </c>
      <c r="R383" t="n">
        <v>84.02</v>
      </c>
      <c r="S383" t="n">
        <v>5.7</v>
      </c>
      <c r="T383" t="n">
        <v>13.66</v>
      </c>
      <c r="U383" t="n">
        <v>0.07000000000000001</v>
      </c>
      <c r="V383" t="n">
        <v>0.93</v>
      </c>
      <c r="W383" t="n">
        <v>1.45</v>
      </c>
      <c r="X383" t="n">
        <v>14.25</v>
      </c>
      <c r="Z383" t="n">
        <v>5348.05</v>
      </c>
      <c r="AA383" t="n">
        <v>8.800000000000001</v>
      </c>
      <c r="AB383" t="n">
        <v>7.39</v>
      </c>
      <c r="AC383" t="n">
        <v>0</v>
      </c>
      <c r="AD383" t="n">
        <v>172505745.1</v>
      </c>
    </row>
    <row r="384">
      <c r="A384" t="inlineStr">
        <is>
          <t>MGLU3</t>
        </is>
      </c>
      <c r="B384" t="n">
        <v>4.75</v>
      </c>
      <c r="C384" t="n">
        <v>1.64</v>
      </c>
      <c r="D384" t="n">
        <v>26.98</v>
      </c>
      <c r="E384" t="n">
        <v>0.33</v>
      </c>
      <c r="F384" t="n">
        <v>0.1</v>
      </c>
      <c r="G384" t="n">
        <v>29.88</v>
      </c>
      <c r="H384" t="n">
        <v>4.76</v>
      </c>
      <c r="I384" t="n">
        <v>0.35</v>
      </c>
      <c r="J384" t="n">
        <v>2.01</v>
      </c>
      <c r="K384" t="n">
        <v>3.89</v>
      </c>
      <c r="L384" t="n">
        <v>1.87</v>
      </c>
      <c r="M384" t="n">
        <v>0.3</v>
      </c>
      <c r="N384" t="n">
        <v>0.1</v>
      </c>
      <c r="O384" t="n">
        <v>1.74</v>
      </c>
      <c r="P384" t="n">
        <v>-0.2</v>
      </c>
      <c r="Q384" t="n">
        <v>1.13</v>
      </c>
      <c r="R384" t="n">
        <v>1.21</v>
      </c>
      <c r="S384" t="n">
        <v>0.37</v>
      </c>
      <c r="T384" t="n">
        <v>5.81</v>
      </c>
      <c r="U384" t="n">
        <v>0.31</v>
      </c>
      <c r="V384" t="n">
        <v>0.6899999999999999</v>
      </c>
      <c r="W384" t="n">
        <v>1.05</v>
      </c>
      <c r="X384" t="n">
        <v>5.81</v>
      </c>
      <c r="Y384" t="n">
        <v>-19</v>
      </c>
      <c r="Z384" t="n">
        <v>90195851.09</v>
      </c>
      <c r="AA384" t="n">
        <v>14.53</v>
      </c>
      <c r="AB384" t="n">
        <v>0.18</v>
      </c>
      <c r="AC384" t="n">
        <v>-0.39</v>
      </c>
      <c r="AD384" t="n">
        <v>3693498247.6</v>
      </c>
    </row>
    <row r="385">
      <c r="A385" t="inlineStr">
        <is>
          <t>MILS3</t>
        </is>
      </c>
      <c r="B385" t="n">
        <v>15.55</v>
      </c>
      <c r="C385" t="n">
        <v>6.84</v>
      </c>
      <c r="D385" t="n">
        <v>8.470000000000001</v>
      </c>
      <c r="E385" t="n">
        <v>2.05</v>
      </c>
      <c r="F385" t="n">
        <v>0.84</v>
      </c>
      <c r="G385" t="n">
        <v>61.9</v>
      </c>
      <c r="H385" t="n">
        <v>35.43</v>
      </c>
      <c r="I385" t="n">
        <v>22.79</v>
      </c>
      <c r="J385" t="n">
        <v>5.45</v>
      </c>
      <c r="K385" t="n">
        <v>7.17</v>
      </c>
      <c r="L385" t="n">
        <v>1.72</v>
      </c>
      <c r="M385" t="n">
        <v>0.65</v>
      </c>
      <c r="N385" t="n">
        <v>1.93</v>
      </c>
      <c r="O385" t="n">
        <v>4.67</v>
      </c>
      <c r="P385" t="n">
        <v>-1.25</v>
      </c>
      <c r="Q385" t="n">
        <v>2.21</v>
      </c>
      <c r="R385" t="n">
        <v>24.19</v>
      </c>
      <c r="S385" t="n">
        <v>9.93</v>
      </c>
      <c r="T385" t="n">
        <v>16.42</v>
      </c>
      <c r="U385" t="n">
        <v>0.41</v>
      </c>
      <c r="V385" t="n">
        <v>0.59</v>
      </c>
      <c r="W385" t="n">
        <v>0.44</v>
      </c>
      <c r="X385" t="n">
        <v>29.41</v>
      </c>
      <c r="Z385" t="n">
        <v>14832104.64</v>
      </c>
      <c r="AA385" t="n">
        <v>7.59</v>
      </c>
      <c r="AB385" t="n">
        <v>1.84</v>
      </c>
      <c r="AC385" t="n">
        <v>0.17</v>
      </c>
      <c r="AD385" t="n">
        <v>3637726405.33</v>
      </c>
    </row>
    <row r="386">
      <c r="A386" t="inlineStr">
        <is>
          <t>MLAS3</t>
        </is>
      </c>
      <c r="B386" t="n">
        <v>1.73</v>
      </c>
      <c r="C386" t="n">
        <v>2.93</v>
      </c>
      <c r="D386" t="n">
        <v>7.81</v>
      </c>
      <c r="E386" t="n">
        <v>0.46</v>
      </c>
      <c r="F386" t="n">
        <v>0.27</v>
      </c>
      <c r="G386" t="n">
        <v>26.14</v>
      </c>
      <c r="H386" t="n">
        <v>4.91</v>
      </c>
      <c r="I386" t="n">
        <v>4.48</v>
      </c>
      <c r="J386" t="n">
        <v>7.12</v>
      </c>
      <c r="K386" t="n">
        <v>6.2</v>
      </c>
      <c r="L386" t="n">
        <v>-0.96</v>
      </c>
      <c r="M386" t="n">
        <v>-0.06</v>
      </c>
      <c r="N386" t="n">
        <v>0.35</v>
      </c>
      <c r="O386" t="n">
        <v>0.73</v>
      </c>
      <c r="P386" t="n">
        <v>-0.9</v>
      </c>
      <c r="Q386" t="n">
        <v>2.08</v>
      </c>
      <c r="R386" t="n">
        <v>5.85</v>
      </c>
      <c r="S386" t="n">
        <v>3.44</v>
      </c>
      <c r="T386" t="n">
        <v>5.07</v>
      </c>
      <c r="U386" t="n">
        <v>0.59</v>
      </c>
      <c r="V386" t="n">
        <v>0.41</v>
      </c>
      <c r="W386" t="n">
        <v>0.77</v>
      </c>
      <c r="X386" t="n">
        <v>6.65</v>
      </c>
      <c r="Y386" t="n">
        <v>-16.47</v>
      </c>
      <c r="Z386" t="n">
        <v>1949233.77</v>
      </c>
      <c r="AA386" t="n">
        <v>3.76</v>
      </c>
      <c r="AB386" t="n">
        <v>0.22</v>
      </c>
      <c r="AC386" t="n">
        <v>-0.04</v>
      </c>
      <c r="AD386" t="n">
        <v>1419532859.25</v>
      </c>
    </row>
    <row r="387">
      <c r="A387" t="inlineStr">
        <is>
          <t>MMXM3</t>
        </is>
      </c>
      <c r="B387" t="n">
        <v>14</v>
      </c>
      <c r="D387" t="n">
        <v>-2.17</v>
      </c>
      <c r="E387" t="n">
        <v>-0.11</v>
      </c>
      <c r="F387" t="n">
        <v>0.71</v>
      </c>
      <c r="J387" t="n">
        <v>-181.31</v>
      </c>
      <c r="K387" t="n">
        <v>-719.5700000000001</v>
      </c>
      <c r="L387" t="n">
        <v>-538.27</v>
      </c>
      <c r="O387" t="n">
        <v>-0.1</v>
      </c>
      <c r="P387" t="n">
        <v>-0.75</v>
      </c>
      <c r="Q387" t="n">
        <v>0.01</v>
      </c>
      <c r="R387" t="n">
        <v>-4.97</v>
      </c>
      <c r="S387" t="n">
        <v>-32.75</v>
      </c>
      <c r="T387" t="n">
        <v>0.28</v>
      </c>
      <c r="U387" t="n">
        <v>-6.58</v>
      </c>
      <c r="V387" t="n">
        <v>7.6</v>
      </c>
      <c r="W387" t="n">
        <v>0</v>
      </c>
      <c r="X387" t="n">
        <v>-6.95</v>
      </c>
      <c r="AA387" t="n">
        <v>-129.88</v>
      </c>
      <c r="AB387" t="n">
        <v>-6.46</v>
      </c>
      <c r="AC387" t="n">
        <v>0.03</v>
      </c>
      <c r="AD387" t="n">
        <v>90834562</v>
      </c>
    </row>
    <row r="388">
      <c r="A388" t="inlineStr">
        <is>
          <t>MNDL3</t>
        </is>
      </c>
      <c r="B388" t="n">
        <v>17.15</v>
      </c>
      <c r="D388" t="n">
        <v>-4.56</v>
      </c>
      <c r="E388" t="n">
        <v>1.48</v>
      </c>
      <c r="F388" t="n">
        <v>0.12</v>
      </c>
      <c r="G388" t="n">
        <v>38.86</v>
      </c>
      <c r="H388" t="n">
        <v>14.03</v>
      </c>
      <c r="I388" t="n">
        <v>-3.7</v>
      </c>
      <c r="J388" t="n">
        <v>1.2</v>
      </c>
      <c r="K388" t="n">
        <v>4.69</v>
      </c>
      <c r="L388" t="n">
        <v>3.48</v>
      </c>
      <c r="M388" t="n">
        <v>4.28</v>
      </c>
      <c r="N388" t="n">
        <v>0.17</v>
      </c>
      <c r="O388" t="n">
        <v>-0.9399999999999999</v>
      </c>
      <c r="P388" t="n">
        <v>-0.2</v>
      </c>
      <c r="Q388" t="n">
        <v>0.76</v>
      </c>
      <c r="R388" t="n">
        <v>-32.37</v>
      </c>
      <c r="S388" t="n">
        <v>-2.62</v>
      </c>
      <c r="T388" t="n">
        <v>21.31</v>
      </c>
      <c r="U388" t="n">
        <v>0.08</v>
      </c>
      <c r="V388" t="n">
        <v>0.92</v>
      </c>
      <c r="W388" t="n">
        <v>0.71</v>
      </c>
      <c r="X388" t="n">
        <v>14.65</v>
      </c>
      <c r="Z388" t="n">
        <v>16604.1</v>
      </c>
      <c r="AA388" t="n">
        <v>11.62</v>
      </c>
      <c r="AB388" t="n">
        <v>-3.76</v>
      </c>
      <c r="AC388" t="n">
        <v>0</v>
      </c>
      <c r="AD388" t="n">
        <v>170145836</v>
      </c>
    </row>
    <row r="389">
      <c r="A389" t="inlineStr">
        <is>
          <t>MNPR3</t>
        </is>
      </c>
      <c r="B389" t="n">
        <v>4.02</v>
      </c>
      <c r="C389" t="n">
        <v>3.23</v>
      </c>
      <c r="D389" t="n">
        <v>0.5600000000000001</v>
      </c>
      <c r="E389" t="n">
        <v>1.42</v>
      </c>
      <c r="F389" t="n">
        <v>0.64</v>
      </c>
      <c r="G389" t="n">
        <v>26.63</v>
      </c>
      <c r="H389" t="n">
        <v>39.94</v>
      </c>
      <c r="I389" t="n">
        <v>114.01</v>
      </c>
      <c r="J389" t="n">
        <v>1.6</v>
      </c>
      <c r="K389" t="n">
        <v>0.89</v>
      </c>
      <c r="L389" t="n">
        <v>-0.7</v>
      </c>
      <c r="M389" t="n">
        <v>-0.63</v>
      </c>
      <c r="N389" t="n">
        <v>0.64</v>
      </c>
      <c r="O389" t="n">
        <v>1.68</v>
      </c>
      <c r="P389" t="n">
        <v>-1.5</v>
      </c>
      <c r="Q389" t="n">
        <v>2.91</v>
      </c>
      <c r="R389" t="n">
        <v>254.09</v>
      </c>
      <c r="S389" t="n">
        <v>113.86</v>
      </c>
      <c r="T389" t="n">
        <v>3.9</v>
      </c>
      <c r="U389" t="n">
        <v>0.45</v>
      </c>
      <c r="V389" t="n">
        <v>0.55</v>
      </c>
      <c r="W389" t="n">
        <v>1</v>
      </c>
      <c r="X389" t="n">
        <v>10.93</v>
      </c>
      <c r="Y389" t="n">
        <v>98.55</v>
      </c>
      <c r="Z389" t="n">
        <v>49587.14</v>
      </c>
      <c r="AA389" t="n">
        <v>2.83</v>
      </c>
      <c r="AB389" t="n">
        <v>7.19</v>
      </c>
      <c r="AC389" t="n">
        <v>0</v>
      </c>
      <c r="AD389" t="n">
        <v>285424020</v>
      </c>
    </row>
    <row r="390">
      <c r="A390" t="inlineStr">
        <is>
          <t>MOAR3</t>
        </is>
      </c>
      <c r="B390" t="n">
        <v>61.21</v>
      </c>
      <c r="C390" t="n">
        <v>20.64</v>
      </c>
      <c r="D390" t="n">
        <v>23.51</v>
      </c>
      <c r="E390" t="n">
        <v>0.8100000000000001</v>
      </c>
      <c r="F390" t="n">
        <v>0.34</v>
      </c>
      <c r="J390" t="n">
        <v>-11.73</v>
      </c>
      <c r="K390" t="n">
        <v>-4.93</v>
      </c>
      <c r="L390" t="n">
        <v>6.8</v>
      </c>
      <c r="M390" t="n">
        <v>-0.47</v>
      </c>
      <c r="O390" t="n">
        <v>0.77</v>
      </c>
      <c r="P390" t="n">
        <v>-0.86</v>
      </c>
      <c r="Q390" t="n">
        <v>3.6</v>
      </c>
      <c r="R390" t="n">
        <v>3.45</v>
      </c>
      <c r="S390" t="n">
        <v>1.44</v>
      </c>
      <c r="T390" t="n">
        <v>-9.19</v>
      </c>
      <c r="U390" t="n">
        <v>0.42</v>
      </c>
      <c r="V390" t="n">
        <v>0.58</v>
      </c>
      <c r="W390" t="n">
        <v>0</v>
      </c>
      <c r="Y390" t="n">
        <v>-20.45</v>
      </c>
      <c r="Z390" t="n">
        <v>0</v>
      </c>
      <c r="AA390" t="n">
        <v>75.48999999999999</v>
      </c>
      <c r="AB390" t="n">
        <v>2.6</v>
      </c>
      <c r="AC390" t="n">
        <v>-0.28</v>
      </c>
      <c r="AD390" t="n">
        <v>749897237.41</v>
      </c>
    </row>
    <row r="391">
      <c r="A391" t="inlineStr">
        <is>
          <t>MODL11</t>
        </is>
      </c>
      <c r="B391" t="n">
        <v>8.460000000000001</v>
      </c>
      <c r="D391" t="n">
        <v>-27.27</v>
      </c>
      <c r="E391" t="n">
        <v>1.66</v>
      </c>
      <c r="F391" t="n">
        <v>0.27</v>
      </c>
      <c r="G391" t="n">
        <v>50.83</v>
      </c>
      <c r="H391" t="n">
        <v>-5.11</v>
      </c>
      <c r="I391" t="n">
        <v>-5.48</v>
      </c>
      <c r="J391" t="n">
        <v>-29.26</v>
      </c>
      <c r="K391" t="n">
        <v>-29.26</v>
      </c>
      <c r="N391" t="n">
        <v>1.5</v>
      </c>
      <c r="O391" t="n">
        <v>-0.63</v>
      </c>
      <c r="P391" t="n">
        <v>-0.3</v>
      </c>
      <c r="Q391" t="n">
        <v>0.2</v>
      </c>
      <c r="R391" t="n">
        <v>-6.1</v>
      </c>
      <c r="S391" t="n">
        <v>-0.97</v>
      </c>
      <c r="U391" t="n">
        <v>0.16</v>
      </c>
      <c r="V391" t="n">
        <v>0.84</v>
      </c>
      <c r="W391" t="n">
        <v>0.18</v>
      </c>
      <c r="AA391" t="n">
        <v>5.09</v>
      </c>
      <c r="AB391" t="n">
        <v>-0.31</v>
      </c>
      <c r="AC391" t="n">
        <v>0.17</v>
      </c>
      <c r="AD391" t="n">
        <v>1985844000</v>
      </c>
    </row>
    <row r="392">
      <c r="A392" t="inlineStr">
        <is>
          <t>MODL3</t>
        </is>
      </c>
      <c r="B392" t="n">
        <v>3.08</v>
      </c>
      <c r="D392" t="n">
        <v>-29.78</v>
      </c>
      <c r="E392" t="n">
        <v>1.82</v>
      </c>
      <c r="F392" t="n">
        <v>0.29</v>
      </c>
      <c r="G392" t="n">
        <v>50.83</v>
      </c>
      <c r="H392" t="n">
        <v>-5.11</v>
      </c>
      <c r="I392" t="n">
        <v>-5.48</v>
      </c>
      <c r="J392" t="n">
        <v>-31.96</v>
      </c>
      <c r="K392" t="n">
        <v>-29.26</v>
      </c>
      <c r="N392" t="n">
        <v>1.63</v>
      </c>
      <c r="O392" t="n">
        <v>-0.6899999999999999</v>
      </c>
      <c r="P392" t="n">
        <v>-0.32</v>
      </c>
      <c r="Q392" t="n">
        <v>0.2</v>
      </c>
      <c r="R392" t="n">
        <v>-6.1</v>
      </c>
      <c r="S392" t="n">
        <v>-0.97</v>
      </c>
      <c r="U392" t="n">
        <v>0.16</v>
      </c>
      <c r="V392" t="n">
        <v>0.84</v>
      </c>
      <c r="W392" t="n">
        <v>0.18</v>
      </c>
      <c r="AA392" t="n">
        <v>1.7</v>
      </c>
      <c r="AB392" t="n">
        <v>-0.1</v>
      </c>
      <c r="AC392" t="n">
        <v>0.19</v>
      </c>
      <c r="AD392" t="n">
        <v>1985844000</v>
      </c>
    </row>
    <row r="393">
      <c r="A393" t="inlineStr">
        <is>
          <t>MODL4</t>
        </is>
      </c>
      <c r="B393" t="n">
        <v>2.72</v>
      </c>
      <c r="D393" t="n">
        <v>-26.3</v>
      </c>
      <c r="E393" t="n">
        <v>1.6</v>
      </c>
      <c r="F393" t="n">
        <v>0.26</v>
      </c>
      <c r="G393" t="n">
        <v>50.83</v>
      </c>
      <c r="H393" t="n">
        <v>-5.11</v>
      </c>
      <c r="I393" t="n">
        <v>-5.48</v>
      </c>
      <c r="J393" t="n">
        <v>-28.22</v>
      </c>
      <c r="K393" t="n">
        <v>-29.26</v>
      </c>
      <c r="N393" t="n">
        <v>1.44</v>
      </c>
      <c r="O393" t="n">
        <v>-0.61</v>
      </c>
      <c r="P393" t="n">
        <v>-0.29</v>
      </c>
      <c r="Q393" t="n">
        <v>0.2</v>
      </c>
      <c r="R393" t="n">
        <v>-6.1</v>
      </c>
      <c r="S393" t="n">
        <v>-0.97</v>
      </c>
      <c r="U393" t="n">
        <v>0.16</v>
      </c>
      <c r="V393" t="n">
        <v>0.84</v>
      </c>
      <c r="W393" t="n">
        <v>0.18</v>
      </c>
      <c r="AA393" t="n">
        <v>1.7</v>
      </c>
      <c r="AB393" t="n">
        <v>-0.1</v>
      </c>
      <c r="AC393" t="n">
        <v>0.17</v>
      </c>
      <c r="AD393" t="n">
        <v>1985844000</v>
      </c>
    </row>
    <row r="394">
      <c r="A394" t="inlineStr">
        <is>
          <t>MOSI3</t>
        </is>
      </c>
      <c r="B394" t="n">
        <v>8.24</v>
      </c>
      <c r="D394" t="n">
        <v>2.17</v>
      </c>
      <c r="E394" t="n">
        <v>0.14</v>
      </c>
      <c r="F394" t="n">
        <v>0.02</v>
      </c>
      <c r="G394" t="n">
        <v>0</v>
      </c>
      <c r="H394" t="n">
        <v>0</v>
      </c>
      <c r="I394" t="n">
        <v>3.42</v>
      </c>
      <c r="M394" t="n">
        <v>0</v>
      </c>
      <c r="N394" t="n">
        <v>0.07000000000000001</v>
      </c>
      <c r="P394" t="n">
        <v>-0.02</v>
      </c>
      <c r="R394" t="n">
        <v>6.38</v>
      </c>
      <c r="S394" t="n">
        <v>0.74</v>
      </c>
      <c r="U394" t="n">
        <v>0.12</v>
      </c>
      <c r="V394" t="n">
        <v>0.88</v>
      </c>
      <c r="W394" t="n">
        <v>0.22</v>
      </c>
      <c r="AA394" t="n">
        <v>59.43</v>
      </c>
      <c r="AB394" t="n">
        <v>3.79</v>
      </c>
      <c r="AC394" t="n">
        <v>0.17</v>
      </c>
      <c r="AD394" t="n">
        <v>1043149227.2</v>
      </c>
    </row>
    <row r="395">
      <c r="A395" t="inlineStr">
        <is>
          <t>MOTV3</t>
        </is>
      </c>
      <c r="B395" t="n">
        <v>14.18</v>
      </c>
      <c r="C395" t="n">
        <v>2.73</v>
      </c>
      <c r="D395" t="n">
        <v>8.52</v>
      </c>
      <c r="E395" t="n">
        <v>1.75</v>
      </c>
      <c r="F395" t="n">
        <v>0.39</v>
      </c>
      <c r="G395" t="n">
        <v>47.42</v>
      </c>
      <c r="H395" t="n">
        <v>37.6</v>
      </c>
      <c r="I395" t="n">
        <v>18.04</v>
      </c>
      <c r="J395" t="n">
        <v>4.09</v>
      </c>
      <c r="K395" t="n">
        <v>8.5</v>
      </c>
      <c r="L395" t="n">
        <v>4.4</v>
      </c>
      <c r="M395" t="n">
        <v>1.89</v>
      </c>
      <c r="N395" t="n">
        <v>1.54</v>
      </c>
      <c r="O395" t="n">
        <v>2.86</v>
      </c>
      <c r="P395" t="n">
        <v>-0.59</v>
      </c>
      <c r="Q395" t="n">
        <v>1.64</v>
      </c>
      <c r="R395" t="n">
        <v>20.58</v>
      </c>
      <c r="S395" t="n">
        <v>4.53</v>
      </c>
      <c r="T395" t="n">
        <v>10.71</v>
      </c>
      <c r="U395" t="n">
        <v>0.22</v>
      </c>
      <c r="V395" t="n">
        <v>0.78</v>
      </c>
      <c r="W395" t="n">
        <v>0.25</v>
      </c>
      <c r="X395" t="n">
        <v>13.77</v>
      </c>
      <c r="Y395" t="n">
        <v>77.45</v>
      </c>
      <c r="Z395" t="n">
        <v>99405821.14</v>
      </c>
      <c r="AA395" t="n">
        <v>8.09</v>
      </c>
      <c r="AB395" t="n">
        <v>1.66</v>
      </c>
      <c r="AC395" t="n">
        <v>0.06</v>
      </c>
      <c r="AD395" t="n">
        <v>28724400000</v>
      </c>
    </row>
    <row r="396">
      <c r="A396" t="inlineStr">
        <is>
          <t>MOVI3</t>
        </is>
      </c>
      <c r="B396" t="n">
        <v>7.86</v>
      </c>
      <c r="C396" t="n">
        <v>9.57</v>
      </c>
      <c r="D396" t="n">
        <v>8.67</v>
      </c>
      <c r="E396" t="n">
        <v>1.03</v>
      </c>
      <c r="F396" t="n">
        <v>0.09</v>
      </c>
      <c r="G396" t="n">
        <v>33.28</v>
      </c>
      <c r="H396" t="n">
        <v>22.9</v>
      </c>
      <c r="I396" t="n">
        <v>2.45</v>
      </c>
      <c r="J396" t="n">
        <v>0.93</v>
      </c>
      <c r="K396" t="n">
        <v>6.26</v>
      </c>
      <c r="L396" t="n">
        <v>5.33</v>
      </c>
      <c r="M396" t="n">
        <v>5.94</v>
      </c>
      <c r="N396" t="n">
        <v>0.21</v>
      </c>
      <c r="O396" t="n">
        <v>-1.92</v>
      </c>
      <c r="P396" t="n">
        <v>-0.12</v>
      </c>
      <c r="Q396" t="n">
        <v>0.85</v>
      </c>
      <c r="R396" t="n">
        <v>11.92</v>
      </c>
      <c r="S396" t="n">
        <v>1.01</v>
      </c>
      <c r="T396" t="n">
        <v>12.75</v>
      </c>
      <c r="U396" t="n">
        <v>0.09</v>
      </c>
      <c r="V396" t="n">
        <v>0.91</v>
      </c>
      <c r="W396" t="n">
        <v>0.41</v>
      </c>
      <c r="X396" t="n">
        <v>29.14</v>
      </c>
      <c r="Y396" t="n">
        <v>27.29</v>
      </c>
      <c r="Z396" t="n">
        <v>35786331.14</v>
      </c>
      <c r="AA396" t="n">
        <v>7.6</v>
      </c>
      <c r="AB396" t="n">
        <v>0.91</v>
      </c>
      <c r="AC396" t="n">
        <v>0.22</v>
      </c>
      <c r="AD396" t="n">
        <v>3160969276.26</v>
      </c>
    </row>
    <row r="397">
      <c r="A397" t="inlineStr">
        <is>
          <t>MRSA3B</t>
        </is>
      </c>
      <c r="B397" t="n">
        <v>39.8</v>
      </c>
      <c r="C397" t="n">
        <v>2.63</v>
      </c>
      <c r="D397" t="n">
        <v>9.960000000000001</v>
      </c>
      <c r="E397" t="n">
        <v>1.54</v>
      </c>
      <c r="F397" t="n">
        <v>0.52</v>
      </c>
      <c r="G397" t="n">
        <v>46.97</v>
      </c>
      <c r="H397" t="n">
        <v>36.7</v>
      </c>
      <c r="I397" t="n">
        <v>17.81</v>
      </c>
      <c r="J397" t="n">
        <v>4.83</v>
      </c>
      <c r="K397" t="n">
        <v>6.73</v>
      </c>
      <c r="L397" t="n">
        <v>2.12</v>
      </c>
      <c r="M397" t="n">
        <v>0.68</v>
      </c>
      <c r="N397" t="n">
        <v>1.77</v>
      </c>
      <c r="O397" t="n">
        <v>4.97</v>
      </c>
      <c r="P397" t="n">
        <v>-0.68</v>
      </c>
      <c r="Q397" t="n">
        <v>1.83</v>
      </c>
      <c r="R397" t="n">
        <v>15.47</v>
      </c>
      <c r="S397" t="n">
        <v>5.23</v>
      </c>
      <c r="T397" t="n">
        <v>7.31</v>
      </c>
      <c r="U397" t="n">
        <v>0.34</v>
      </c>
      <c r="V397" t="n">
        <v>0.66</v>
      </c>
      <c r="W397" t="n">
        <v>0.29</v>
      </c>
      <c r="X397" t="n">
        <v>16.04</v>
      </c>
      <c r="Y397" t="n">
        <v>25.7</v>
      </c>
      <c r="Z397" t="n">
        <v>2221</v>
      </c>
      <c r="AA397" t="n">
        <v>25.83</v>
      </c>
      <c r="AB397" t="n">
        <v>4</v>
      </c>
      <c r="AC397" t="n">
        <v>-4.33</v>
      </c>
      <c r="AD397" t="n">
        <v>12815249384.24</v>
      </c>
    </row>
    <row r="398">
      <c r="A398" t="inlineStr">
        <is>
          <t>MRSA5B</t>
        </is>
      </c>
      <c r="B398" t="n">
        <v>35.58</v>
      </c>
      <c r="C398" t="n">
        <v>3.23</v>
      </c>
      <c r="D398" t="n">
        <v>8.9</v>
      </c>
      <c r="E398" t="n">
        <v>1.38</v>
      </c>
      <c r="F398" t="n">
        <v>0.47</v>
      </c>
      <c r="G398" t="n">
        <v>46.97</v>
      </c>
      <c r="H398" t="n">
        <v>36.7</v>
      </c>
      <c r="I398" t="n">
        <v>17.81</v>
      </c>
      <c r="J398" t="n">
        <v>4.32</v>
      </c>
      <c r="K398" t="n">
        <v>6.73</v>
      </c>
      <c r="L398" t="n">
        <v>2.12</v>
      </c>
      <c r="M398" t="n">
        <v>0.68</v>
      </c>
      <c r="N398" t="n">
        <v>1.59</v>
      </c>
      <c r="O398" t="n">
        <v>4.44</v>
      </c>
      <c r="P398" t="n">
        <v>-0.61</v>
      </c>
      <c r="Q398" t="n">
        <v>1.83</v>
      </c>
      <c r="R398" t="n">
        <v>15.47</v>
      </c>
      <c r="S398" t="n">
        <v>5.23</v>
      </c>
      <c r="T398" t="n">
        <v>7.31</v>
      </c>
      <c r="U398" t="n">
        <v>0.34</v>
      </c>
      <c r="V398" t="n">
        <v>0.66</v>
      </c>
      <c r="W398" t="n">
        <v>0.29</v>
      </c>
      <c r="X398" t="n">
        <v>16.04</v>
      </c>
      <c r="Y398" t="n">
        <v>25.7</v>
      </c>
      <c r="Z398" t="n">
        <v>3435.5</v>
      </c>
      <c r="AA398" t="n">
        <v>25.83</v>
      </c>
      <c r="AB398" t="n">
        <v>4</v>
      </c>
      <c r="AC398" t="n">
        <v>-3.87</v>
      </c>
      <c r="AD398" t="n">
        <v>12815249384.24</v>
      </c>
    </row>
    <row r="399">
      <c r="A399" t="inlineStr">
        <is>
          <t>MRSA6B</t>
        </is>
      </c>
      <c r="B399" t="n">
        <v>32</v>
      </c>
      <c r="C399" t="n">
        <v>3.6</v>
      </c>
      <c r="D399" t="n">
        <v>8.01</v>
      </c>
      <c r="E399" t="n">
        <v>1.24</v>
      </c>
      <c r="F399" t="n">
        <v>0.42</v>
      </c>
      <c r="G399" t="n">
        <v>46.97</v>
      </c>
      <c r="H399" t="n">
        <v>36.7</v>
      </c>
      <c r="I399" t="n">
        <v>17.81</v>
      </c>
      <c r="J399" t="n">
        <v>3.89</v>
      </c>
      <c r="K399" t="n">
        <v>6.73</v>
      </c>
      <c r="L399" t="n">
        <v>2.12</v>
      </c>
      <c r="M399" t="n">
        <v>0.68</v>
      </c>
      <c r="N399" t="n">
        <v>1.43</v>
      </c>
      <c r="O399" t="n">
        <v>4</v>
      </c>
      <c r="P399" t="n">
        <v>-0.54</v>
      </c>
      <c r="Q399" t="n">
        <v>1.83</v>
      </c>
      <c r="R399" t="n">
        <v>15.47</v>
      </c>
      <c r="S399" t="n">
        <v>5.23</v>
      </c>
      <c r="T399" t="n">
        <v>7.31</v>
      </c>
      <c r="U399" t="n">
        <v>0.34</v>
      </c>
      <c r="V399" t="n">
        <v>0.66</v>
      </c>
      <c r="W399" t="n">
        <v>0.29</v>
      </c>
      <c r="X399" t="n">
        <v>16.04</v>
      </c>
      <c r="Y399" t="n">
        <v>25.7</v>
      </c>
      <c r="Z399" t="n">
        <v>914.4400000000001</v>
      </c>
      <c r="AA399" t="n">
        <v>25.83</v>
      </c>
      <c r="AB399" t="n">
        <v>4</v>
      </c>
      <c r="AC399" t="n">
        <v>-3.48</v>
      </c>
      <c r="AD399" t="n">
        <v>12815249384.24</v>
      </c>
    </row>
    <row r="400">
      <c r="A400" t="inlineStr">
        <is>
          <t>MRVE3</t>
        </is>
      </c>
      <c r="B400" t="n">
        <v>4.56</v>
      </c>
      <c r="D400" t="n">
        <v>-3.37</v>
      </c>
      <c r="E400" t="n">
        <v>0.49</v>
      </c>
      <c r="F400" t="n">
        <v>0.09</v>
      </c>
      <c r="G400" t="n">
        <v>29.49</v>
      </c>
      <c r="H400" t="n">
        <v>4.5</v>
      </c>
      <c r="I400" t="n">
        <v>-6.68</v>
      </c>
      <c r="J400" t="n">
        <v>5</v>
      </c>
      <c r="K400" t="n">
        <v>20.46</v>
      </c>
      <c r="L400" t="n">
        <v>15.46</v>
      </c>
      <c r="M400" t="n">
        <v>1.52</v>
      </c>
      <c r="N400" t="n">
        <v>0.23</v>
      </c>
      <c r="O400" t="n">
        <v>0.32</v>
      </c>
      <c r="P400" t="n">
        <v>-0.2</v>
      </c>
      <c r="Q400" t="n">
        <v>2.08</v>
      </c>
      <c r="R400" t="n">
        <v>-14.6</v>
      </c>
      <c r="S400" t="n">
        <v>-2.69</v>
      </c>
      <c r="T400" t="n">
        <v>1.45</v>
      </c>
      <c r="U400" t="n">
        <v>0.18</v>
      </c>
      <c r="V400" t="n">
        <v>0.79</v>
      </c>
      <c r="W400" t="n">
        <v>0.4</v>
      </c>
      <c r="X400" t="n">
        <v>10.41</v>
      </c>
      <c r="Z400" t="n">
        <v>45997708.23</v>
      </c>
      <c r="AA400" t="n">
        <v>9.27</v>
      </c>
      <c r="AB400" t="n">
        <v>-1.35</v>
      </c>
      <c r="AC400" t="n">
        <v>-0.34</v>
      </c>
      <c r="AD400" t="n">
        <v>2560902758.05</v>
      </c>
    </row>
    <row r="401">
      <c r="A401" t="inlineStr">
        <is>
          <t>MSPA3</t>
        </is>
      </c>
      <c r="B401" t="n">
        <v>40.3</v>
      </c>
      <c r="D401" t="n">
        <v>-7.17</v>
      </c>
      <c r="E401" t="n">
        <v>0.32</v>
      </c>
      <c r="F401" t="n">
        <v>0.18</v>
      </c>
      <c r="G401" t="n">
        <v>29.41</v>
      </c>
      <c r="H401" t="n">
        <v>-12.32</v>
      </c>
      <c r="I401" t="n">
        <v>-20.26</v>
      </c>
      <c r="J401" t="n">
        <v>-11.78</v>
      </c>
      <c r="K401" t="n">
        <v>-20.29</v>
      </c>
      <c r="L401" t="n">
        <v>-8.69</v>
      </c>
      <c r="M401" t="n">
        <v>0.24</v>
      </c>
      <c r="N401" t="n">
        <v>1.45</v>
      </c>
      <c r="O401" t="n">
        <v>-18.58</v>
      </c>
      <c r="P401" t="n">
        <v>-0.2</v>
      </c>
      <c r="Q401" t="n">
        <v>0.9</v>
      </c>
      <c r="R401" t="n">
        <v>-4.51</v>
      </c>
      <c r="S401" t="n">
        <v>-2.52</v>
      </c>
      <c r="T401" t="n">
        <v>-2.97</v>
      </c>
      <c r="U401" t="n">
        <v>0.5600000000000001</v>
      </c>
      <c r="V401" t="n">
        <v>0.44</v>
      </c>
      <c r="W401" t="n">
        <v>0.12</v>
      </c>
      <c r="X401" t="n">
        <v>11.98</v>
      </c>
      <c r="Z401" t="n">
        <v>16120</v>
      </c>
      <c r="AA401" t="n">
        <v>124.64</v>
      </c>
      <c r="AB401" t="n">
        <v>-5.62</v>
      </c>
      <c r="AC401" t="n">
        <v>0</v>
      </c>
      <c r="AD401" t="n">
        <v>254097223.9</v>
      </c>
    </row>
    <row r="402">
      <c r="A402" t="inlineStr">
        <is>
          <t>MSPA4</t>
        </is>
      </c>
      <c r="B402" t="n">
        <v>35.1</v>
      </c>
      <c r="D402" t="n">
        <v>-6.24</v>
      </c>
      <c r="E402" t="n">
        <v>0.28</v>
      </c>
      <c r="F402" t="n">
        <v>0.16</v>
      </c>
      <c r="G402" t="n">
        <v>29.41</v>
      </c>
      <c r="H402" t="n">
        <v>-12.32</v>
      </c>
      <c r="I402" t="n">
        <v>-20.26</v>
      </c>
      <c r="J402" t="n">
        <v>-10.26</v>
      </c>
      <c r="K402" t="n">
        <v>-20.29</v>
      </c>
      <c r="L402" t="n">
        <v>-8.69</v>
      </c>
      <c r="M402" t="n">
        <v>0.24</v>
      </c>
      <c r="N402" t="n">
        <v>1.26</v>
      </c>
      <c r="O402" t="n">
        <v>-16.19</v>
      </c>
      <c r="P402" t="n">
        <v>-0.17</v>
      </c>
      <c r="Q402" t="n">
        <v>0.9</v>
      </c>
      <c r="R402" t="n">
        <v>-4.51</v>
      </c>
      <c r="S402" t="n">
        <v>-2.52</v>
      </c>
      <c r="T402" t="n">
        <v>-2.97</v>
      </c>
      <c r="U402" t="n">
        <v>0.5600000000000001</v>
      </c>
      <c r="V402" t="n">
        <v>0.44</v>
      </c>
      <c r="W402" t="n">
        <v>0.12</v>
      </c>
      <c r="X402" t="n">
        <v>11.98</v>
      </c>
      <c r="Z402" t="n">
        <v>899.42</v>
      </c>
      <c r="AA402" t="n">
        <v>124.64</v>
      </c>
      <c r="AB402" t="n">
        <v>-5.62</v>
      </c>
      <c r="AC402" t="n">
        <v>0</v>
      </c>
      <c r="AD402" t="n">
        <v>254097223.9</v>
      </c>
    </row>
    <row r="403">
      <c r="A403" t="inlineStr">
        <is>
          <t>MSRO3</t>
        </is>
      </c>
      <c r="B403" t="n">
        <v>702.5</v>
      </c>
      <c r="D403" t="n">
        <v>-582.54</v>
      </c>
      <c r="E403" t="n">
        <v>543.26</v>
      </c>
      <c r="F403" t="n">
        <v>99.88</v>
      </c>
      <c r="G403" t="n">
        <v>32.64</v>
      </c>
      <c r="H403" t="n">
        <v>14.13</v>
      </c>
      <c r="I403" t="n">
        <v>-31.06</v>
      </c>
      <c r="J403" t="n">
        <v>1280.98</v>
      </c>
      <c r="K403" t="n">
        <v>1289.87</v>
      </c>
      <c r="L403" t="n">
        <v>8.890000000000001</v>
      </c>
      <c r="M403" t="n">
        <v>3.77</v>
      </c>
      <c r="N403" t="n">
        <v>180.97</v>
      </c>
      <c r="O403" t="n">
        <v>-174.92</v>
      </c>
      <c r="P403" t="n">
        <v>-116.86</v>
      </c>
      <c r="Q403" t="n">
        <v>0.2</v>
      </c>
      <c r="R403" t="n">
        <v>-93.26000000000001</v>
      </c>
      <c r="S403" t="n">
        <v>-17.15</v>
      </c>
      <c r="T403" t="n">
        <v>-0.45</v>
      </c>
      <c r="U403" t="n">
        <v>0.18</v>
      </c>
      <c r="V403" t="n">
        <v>0.82</v>
      </c>
      <c r="W403" t="n">
        <v>0.55</v>
      </c>
      <c r="X403" t="n">
        <v>-1.45</v>
      </c>
      <c r="AA403" t="n">
        <v>1.29</v>
      </c>
      <c r="AB403" t="n">
        <v>-1.21</v>
      </c>
      <c r="AC403" t="n">
        <v>-2.37</v>
      </c>
      <c r="AD403" t="n">
        <v>18271898550</v>
      </c>
    </row>
    <row r="404">
      <c r="A404" t="inlineStr">
        <is>
          <t>MTIG3</t>
        </is>
      </c>
      <c r="B404" t="n">
        <v>0</v>
      </c>
      <c r="D404" t="n">
        <v>0</v>
      </c>
      <c r="E404" t="n">
        <v>0</v>
      </c>
      <c r="F404" t="n">
        <v>0</v>
      </c>
      <c r="G404" t="n">
        <v>-16.12</v>
      </c>
      <c r="H404" t="n">
        <v>-64.06999999999999</v>
      </c>
      <c r="I404" t="n">
        <v>-113.09</v>
      </c>
      <c r="J404" t="n">
        <v>0</v>
      </c>
      <c r="K404" t="n">
        <v>-1.28</v>
      </c>
      <c r="L404" t="n">
        <v>-1.17</v>
      </c>
      <c r="N404" t="n">
        <v>0</v>
      </c>
      <c r="O404" t="n">
        <v>0</v>
      </c>
      <c r="P404" t="n">
        <v>0</v>
      </c>
      <c r="Q404" t="n">
        <v>0.27</v>
      </c>
      <c r="R404" t="n">
        <v>-725.28</v>
      </c>
      <c r="S404" t="n">
        <v>-74.53</v>
      </c>
      <c r="T404" t="n">
        <v>-104.33</v>
      </c>
      <c r="U404" t="n">
        <v>-0.1</v>
      </c>
      <c r="V404" t="n">
        <v>1.1</v>
      </c>
      <c r="W404" t="n">
        <v>0.66</v>
      </c>
      <c r="X404" t="n">
        <v>-17.44</v>
      </c>
      <c r="AA404" t="n">
        <v>-0.06</v>
      </c>
      <c r="AB404" t="n">
        <v>-0.46</v>
      </c>
      <c r="AC404" t="n">
        <v>0</v>
      </c>
      <c r="AD404" t="n">
        <v>3700608</v>
      </c>
    </row>
    <row r="405">
      <c r="A405" t="inlineStr">
        <is>
          <t>MTIG4</t>
        </is>
      </c>
      <c r="B405" t="n">
        <v>23</v>
      </c>
      <c r="D405" t="n">
        <v>-49.52</v>
      </c>
      <c r="E405" t="n">
        <v>-359.15</v>
      </c>
      <c r="F405" t="n">
        <v>36.91</v>
      </c>
      <c r="G405" t="n">
        <v>-16.12</v>
      </c>
      <c r="H405" t="n">
        <v>-64.06999999999999</v>
      </c>
      <c r="I405" t="n">
        <v>-113.09</v>
      </c>
      <c r="J405" t="n">
        <v>-87.41</v>
      </c>
      <c r="K405" t="n">
        <v>-1.28</v>
      </c>
      <c r="L405" t="n">
        <v>-1.17</v>
      </c>
      <c r="N405" t="n">
        <v>56</v>
      </c>
      <c r="O405" t="n">
        <v>-50.93</v>
      </c>
      <c r="P405" t="n">
        <v>-50.15</v>
      </c>
      <c r="Q405" t="n">
        <v>0.27</v>
      </c>
      <c r="R405" t="n">
        <v>-725.28</v>
      </c>
      <c r="S405" t="n">
        <v>-74.53</v>
      </c>
      <c r="T405" t="n">
        <v>-104.33</v>
      </c>
      <c r="U405" t="n">
        <v>-0.1</v>
      </c>
      <c r="V405" t="n">
        <v>1.1</v>
      </c>
      <c r="W405" t="n">
        <v>0.66</v>
      </c>
      <c r="X405" t="n">
        <v>-17.44</v>
      </c>
      <c r="AA405" t="n">
        <v>-0.06</v>
      </c>
      <c r="AB405" t="n">
        <v>-0.46</v>
      </c>
      <c r="AC405" t="n">
        <v>-0.09</v>
      </c>
      <c r="AD405" t="n">
        <v>3700608</v>
      </c>
    </row>
    <row r="406">
      <c r="A406" t="inlineStr">
        <is>
          <t>MTRE3</t>
        </is>
      </c>
      <c r="B406" t="n">
        <v>2.88</v>
      </c>
      <c r="C406" t="n">
        <v>13.41</v>
      </c>
      <c r="D406" t="n">
        <v>5.02</v>
      </c>
      <c r="E406" t="n">
        <v>0.3</v>
      </c>
      <c r="F406" t="n">
        <v>0.13</v>
      </c>
      <c r="G406" t="n">
        <v>26.3</v>
      </c>
      <c r="H406" t="n">
        <v>9.140000000000001</v>
      </c>
      <c r="I406" t="n">
        <v>5.53</v>
      </c>
      <c r="J406" t="n">
        <v>3.04</v>
      </c>
      <c r="K406" t="n">
        <v>7.86</v>
      </c>
      <c r="L406" t="n">
        <v>4.82</v>
      </c>
      <c r="M406" t="n">
        <v>0.48</v>
      </c>
      <c r="N406" t="n">
        <v>0.28</v>
      </c>
      <c r="O406" t="n">
        <v>0.28</v>
      </c>
      <c r="P406" t="n">
        <v>-0.49</v>
      </c>
      <c r="Q406" t="n">
        <v>2.67</v>
      </c>
      <c r="R406" t="n">
        <v>5.98</v>
      </c>
      <c r="S406" t="n">
        <v>2.58</v>
      </c>
      <c r="T406" t="n">
        <v>4.36</v>
      </c>
      <c r="U406" t="n">
        <v>0.43</v>
      </c>
      <c r="V406" t="n">
        <v>0.55</v>
      </c>
      <c r="W406" t="n">
        <v>0.47</v>
      </c>
      <c r="X406" t="n">
        <v>20.73</v>
      </c>
      <c r="Y406" t="n">
        <v>4.74</v>
      </c>
      <c r="Z406" t="n">
        <v>2423397.91</v>
      </c>
      <c r="AA406" t="n">
        <v>9.630000000000001</v>
      </c>
      <c r="AB406" t="n">
        <v>0.58</v>
      </c>
      <c r="AC406" t="n">
        <v>1.94</v>
      </c>
      <c r="AD406" t="n">
        <v>305689229.8</v>
      </c>
    </row>
    <row r="407">
      <c r="A407" t="inlineStr">
        <is>
          <t>MTSA3</t>
        </is>
      </c>
      <c r="B407" t="n">
        <v>75.48999999999999</v>
      </c>
      <c r="C407" t="n">
        <v>4.24</v>
      </c>
      <c r="D407" t="n">
        <v>17.08</v>
      </c>
      <c r="E407" t="n">
        <v>1.43</v>
      </c>
      <c r="F407" t="n">
        <v>1.06</v>
      </c>
      <c r="G407" t="n">
        <v>21.97</v>
      </c>
      <c r="H407" t="n">
        <v>5.82</v>
      </c>
      <c r="I407" t="n">
        <v>7.44</v>
      </c>
      <c r="J407" t="n">
        <v>21.82</v>
      </c>
      <c r="K407" t="n">
        <v>11.98</v>
      </c>
      <c r="L407" t="n">
        <v>-5.26</v>
      </c>
      <c r="M407" t="n">
        <v>-0.35</v>
      </c>
      <c r="N407" t="n">
        <v>1.27</v>
      </c>
      <c r="O407" t="n">
        <v>1.74</v>
      </c>
      <c r="P407" t="n">
        <v>-4.73</v>
      </c>
      <c r="Q407" t="n">
        <v>4.77</v>
      </c>
      <c r="R407" t="n">
        <v>8.390000000000001</v>
      </c>
      <c r="S407" t="n">
        <v>6.23</v>
      </c>
      <c r="T407" t="n">
        <v>-0.01</v>
      </c>
      <c r="U407" t="n">
        <v>0.74</v>
      </c>
      <c r="V407" t="n">
        <v>0.26</v>
      </c>
      <c r="W407" t="n">
        <v>0.84</v>
      </c>
      <c r="X407" t="n">
        <v>7.69</v>
      </c>
      <c r="Y407" t="n">
        <v>-7.44</v>
      </c>
      <c r="AA407" t="n">
        <v>52.69</v>
      </c>
      <c r="AB407" t="n">
        <v>4.42</v>
      </c>
      <c r="AC407" t="n">
        <v>2.97</v>
      </c>
      <c r="AD407" t="n">
        <v>524435609.7</v>
      </c>
    </row>
    <row r="408">
      <c r="A408" t="inlineStr">
        <is>
          <t>MTSA4</t>
        </is>
      </c>
      <c r="B408" t="n">
        <v>45.1</v>
      </c>
      <c r="C408" t="n">
        <v>7.8</v>
      </c>
      <c r="D408" t="n">
        <v>10.2</v>
      </c>
      <c r="E408" t="n">
        <v>0.86</v>
      </c>
      <c r="F408" t="n">
        <v>0.64</v>
      </c>
      <c r="G408" t="n">
        <v>21.97</v>
      </c>
      <c r="H408" t="n">
        <v>5.82</v>
      </c>
      <c r="I408" t="n">
        <v>7.44</v>
      </c>
      <c r="J408" t="n">
        <v>13.04</v>
      </c>
      <c r="K408" t="n">
        <v>11.98</v>
      </c>
      <c r="L408" t="n">
        <v>-5.26</v>
      </c>
      <c r="M408" t="n">
        <v>-0.35</v>
      </c>
      <c r="N408" t="n">
        <v>0.76</v>
      </c>
      <c r="O408" t="n">
        <v>1.04</v>
      </c>
      <c r="P408" t="n">
        <v>-2.82</v>
      </c>
      <c r="Q408" t="n">
        <v>4.77</v>
      </c>
      <c r="R408" t="n">
        <v>8.390000000000001</v>
      </c>
      <c r="S408" t="n">
        <v>6.23</v>
      </c>
      <c r="T408" t="n">
        <v>-0.01</v>
      </c>
      <c r="U408" t="n">
        <v>0.74</v>
      </c>
      <c r="V408" t="n">
        <v>0.26</v>
      </c>
      <c r="W408" t="n">
        <v>0.84</v>
      </c>
      <c r="X408" t="n">
        <v>7.69</v>
      </c>
      <c r="Y408" t="n">
        <v>-7.44</v>
      </c>
      <c r="Z408" t="n">
        <v>63705.32</v>
      </c>
      <c r="AA408" t="n">
        <v>52.69</v>
      </c>
      <c r="AB408" t="n">
        <v>4.42</v>
      </c>
      <c r="AC408" t="n">
        <v>1.77</v>
      </c>
      <c r="AD408" t="n">
        <v>524435609.7</v>
      </c>
    </row>
    <row r="409">
      <c r="A409" t="inlineStr">
        <is>
          <t>MULT3</t>
        </is>
      </c>
      <c r="B409" t="n">
        <v>27.72</v>
      </c>
      <c r="C409" t="n">
        <v>3.02</v>
      </c>
      <c r="D409" t="n">
        <v>11.62</v>
      </c>
      <c r="E409" t="n">
        <v>2.2</v>
      </c>
      <c r="F409" t="n">
        <v>1.07</v>
      </c>
      <c r="G409" t="n">
        <v>79.06999999999999</v>
      </c>
      <c r="H409" t="n">
        <v>65.29000000000001</v>
      </c>
      <c r="I409" t="n">
        <v>40.23</v>
      </c>
      <c r="J409" t="n">
        <v>7.16</v>
      </c>
      <c r="K409" t="n">
        <v>9.48</v>
      </c>
      <c r="L409" t="n">
        <v>2.27</v>
      </c>
      <c r="M409" t="n">
        <v>0.7</v>
      </c>
      <c r="N409" t="n">
        <v>4.68</v>
      </c>
      <c r="O409" t="n">
        <v>40.95</v>
      </c>
      <c r="P409" t="n">
        <v>-1.27</v>
      </c>
      <c r="Q409" t="n">
        <v>1.2</v>
      </c>
      <c r="R409" t="n">
        <v>18.89</v>
      </c>
      <c r="S409" t="n">
        <v>9.199999999999999</v>
      </c>
      <c r="T409" t="n">
        <v>15.07</v>
      </c>
      <c r="U409" t="n">
        <v>0.49</v>
      </c>
      <c r="V409" t="n">
        <v>0.51</v>
      </c>
      <c r="W409" t="n">
        <v>0.23</v>
      </c>
      <c r="X409" t="n">
        <v>20.42</v>
      </c>
      <c r="Y409" t="n">
        <v>4.87</v>
      </c>
      <c r="Z409" t="n">
        <v>78058464.91</v>
      </c>
      <c r="AA409" t="n">
        <v>12.62</v>
      </c>
      <c r="AB409" t="n">
        <v>2.38</v>
      </c>
      <c r="AC409" t="n">
        <v>-1.8</v>
      </c>
      <c r="AD409" t="n">
        <v>14301872346.87</v>
      </c>
    </row>
    <row r="410">
      <c r="A410" t="inlineStr">
        <is>
          <t>MWET3</t>
        </is>
      </c>
      <c r="B410" t="n">
        <v>16</v>
      </c>
      <c r="D410" t="n">
        <v>-1.01</v>
      </c>
      <c r="E410" t="n">
        <v>-4.26</v>
      </c>
      <c r="F410" t="n">
        <v>0.1</v>
      </c>
      <c r="G410" t="n">
        <v>13.05</v>
      </c>
      <c r="H410" t="n">
        <v>-6.74</v>
      </c>
      <c r="I410" t="n">
        <v>-17.08</v>
      </c>
      <c r="J410" t="n">
        <v>-2.55</v>
      </c>
      <c r="K410" t="n">
        <v>-11.04</v>
      </c>
      <c r="L410" t="n">
        <v>-8.49</v>
      </c>
      <c r="N410" t="n">
        <v>0.17</v>
      </c>
      <c r="O410" t="n">
        <v>-0.48</v>
      </c>
      <c r="P410" t="n">
        <v>-0.15</v>
      </c>
      <c r="Q410" t="n">
        <v>0.62</v>
      </c>
      <c r="R410" t="n">
        <v>-422.73</v>
      </c>
      <c r="S410" t="n">
        <v>-9.91</v>
      </c>
      <c r="T410" t="n">
        <v>-61.44</v>
      </c>
      <c r="U410" t="n">
        <v>-0.02</v>
      </c>
      <c r="V410" t="n">
        <v>1.02</v>
      </c>
      <c r="W410" t="n">
        <v>0.58</v>
      </c>
      <c r="X410" t="n">
        <v>6.2</v>
      </c>
      <c r="Z410" t="n">
        <v>0</v>
      </c>
      <c r="AA410" t="n">
        <v>-3.75</v>
      </c>
      <c r="AB410" t="n">
        <v>-15.87</v>
      </c>
      <c r="AC410" t="n">
        <v>0</v>
      </c>
      <c r="AD410" t="n">
        <v>32777127.78</v>
      </c>
    </row>
    <row r="411">
      <c r="A411" t="inlineStr">
        <is>
          <t>MWET4</t>
        </is>
      </c>
      <c r="B411" t="n">
        <v>15.89</v>
      </c>
      <c r="D411" t="n">
        <v>-1</v>
      </c>
      <c r="E411" t="n">
        <v>-4.23</v>
      </c>
      <c r="F411" t="n">
        <v>0.1</v>
      </c>
      <c r="G411" t="n">
        <v>13.05</v>
      </c>
      <c r="H411" t="n">
        <v>-6.74</v>
      </c>
      <c r="I411" t="n">
        <v>-17.08</v>
      </c>
      <c r="J411" t="n">
        <v>-2.54</v>
      </c>
      <c r="K411" t="n">
        <v>-11.04</v>
      </c>
      <c r="L411" t="n">
        <v>-8.49</v>
      </c>
      <c r="N411" t="n">
        <v>0.17</v>
      </c>
      <c r="O411" t="n">
        <v>-0.48</v>
      </c>
      <c r="P411" t="n">
        <v>-0.15</v>
      </c>
      <c r="Q411" t="n">
        <v>0.62</v>
      </c>
      <c r="R411" t="n">
        <v>-422.73</v>
      </c>
      <c r="S411" t="n">
        <v>-9.91</v>
      </c>
      <c r="T411" t="n">
        <v>-61.44</v>
      </c>
      <c r="U411" t="n">
        <v>-0.02</v>
      </c>
      <c r="V411" t="n">
        <v>1.02</v>
      </c>
      <c r="W411" t="n">
        <v>0.58</v>
      </c>
      <c r="X411" t="n">
        <v>6.2</v>
      </c>
      <c r="Z411" t="n">
        <v>778</v>
      </c>
      <c r="AA411" t="n">
        <v>-3.75</v>
      </c>
      <c r="AB411" t="n">
        <v>-15.87</v>
      </c>
      <c r="AC411" t="n">
        <v>0</v>
      </c>
      <c r="AD411" t="n">
        <v>32777127.78</v>
      </c>
    </row>
    <row r="412">
      <c r="A412" t="inlineStr">
        <is>
          <t>MYPK3</t>
        </is>
      </c>
      <c r="B412" t="n">
        <v>9.43</v>
      </c>
      <c r="C412" t="n">
        <v>3.25</v>
      </c>
      <c r="D412" t="n">
        <v>15.87</v>
      </c>
      <c r="E412" t="n">
        <v>0.35</v>
      </c>
      <c r="F412" t="n">
        <v>0.1</v>
      </c>
      <c r="G412" t="n">
        <v>12.13</v>
      </c>
      <c r="H412" t="n">
        <v>6.19</v>
      </c>
      <c r="I412" t="n">
        <v>0.6</v>
      </c>
      <c r="J412" t="n">
        <v>1.54</v>
      </c>
      <c r="K412" t="n">
        <v>5.61</v>
      </c>
      <c r="L412" t="n">
        <v>4.07</v>
      </c>
      <c r="M412" t="n">
        <v>0.9399999999999999</v>
      </c>
      <c r="N412" t="n">
        <v>0.1</v>
      </c>
      <c r="O412" t="n">
        <v>0.5</v>
      </c>
      <c r="P412" t="n">
        <v>-0.19</v>
      </c>
      <c r="Q412" t="n">
        <v>1.75</v>
      </c>
      <c r="R412" t="n">
        <v>2.23</v>
      </c>
      <c r="S412" t="n">
        <v>0.63</v>
      </c>
      <c r="T412" t="n">
        <v>8.08</v>
      </c>
      <c r="U412" t="n">
        <v>0.28</v>
      </c>
      <c r="V412" t="n">
        <v>0.6899999999999999</v>
      </c>
      <c r="W412" t="n">
        <v>1.05</v>
      </c>
      <c r="X412" t="n">
        <v>11.89</v>
      </c>
      <c r="Z412" t="n">
        <v>6522219.18</v>
      </c>
      <c r="AA412" t="n">
        <v>26.66</v>
      </c>
      <c r="AB412" t="n">
        <v>0.59</v>
      </c>
      <c r="AC412" t="n">
        <v>-0.27</v>
      </c>
      <c r="AD412" t="n">
        <v>1452650229.45</v>
      </c>
    </row>
    <row r="413">
      <c r="A413" t="inlineStr">
        <is>
          <t>NAFG3</t>
        </is>
      </c>
      <c r="B413" t="n">
        <v>64.37</v>
      </c>
      <c r="D413" t="n">
        <v>11.8</v>
      </c>
      <c r="E413" t="n">
        <v>2.76</v>
      </c>
      <c r="F413" t="n">
        <v>1.15</v>
      </c>
      <c r="G413" t="n">
        <v>41.15</v>
      </c>
      <c r="H413" t="n">
        <v>16.49</v>
      </c>
      <c r="I413" t="n">
        <v>9.34</v>
      </c>
      <c r="J413" t="n">
        <v>6.68</v>
      </c>
      <c r="K413" t="n">
        <v>5.06</v>
      </c>
      <c r="L413" t="n">
        <v>1.17</v>
      </c>
      <c r="M413" t="n">
        <v>0.48</v>
      </c>
      <c r="N413" t="n">
        <v>1.1</v>
      </c>
      <c r="O413" t="n">
        <v>3.2</v>
      </c>
      <c r="P413" t="n">
        <v>-2.87</v>
      </c>
      <c r="Q413" t="n">
        <v>2.52</v>
      </c>
      <c r="R413" t="n">
        <v>23.42</v>
      </c>
      <c r="S413" t="n">
        <v>9.77</v>
      </c>
      <c r="T413" t="n">
        <v>15.89</v>
      </c>
      <c r="U413" t="n">
        <v>0.42</v>
      </c>
      <c r="V413" t="n">
        <v>0.58</v>
      </c>
      <c r="W413" t="n">
        <v>1.05</v>
      </c>
      <c r="X413" t="n">
        <v>7.87</v>
      </c>
      <c r="Y413" t="n">
        <v>35.19</v>
      </c>
      <c r="AA413" t="n">
        <v>23.3</v>
      </c>
      <c r="AB413" t="n">
        <v>5.46</v>
      </c>
      <c r="AC413" t="n">
        <v>-1.14</v>
      </c>
      <c r="AD413" t="n">
        <v>508315292.42</v>
      </c>
    </row>
    <row r="414">
      <c r="A414" t="inlineStr">
        <is>
          <t>NAFG4</t>
        </is>
      </c>
      <c r="B414" t="n">
        <v>19.02</v>
      </c>
      <c r="D414" t="n">
        <v>3.49</v>
      </c>
      <c r="E414" t="n">
        <v>0.82</v>
      </c>
      <c r="F414" t="n">
        <v>0.34</v>
      </c>
      <c r="G414" t="n">
        <v>41.15</v>
      </c>
      <c r="H414" t="n">
        <v>16.49</v>
      </c>
      <c r="I414" t="n">
        <v>9.34</v>
      </c>
      <c r="J414" t="n">
        <v>1.97</v>
      </c>
      <c r="K414" t="n">
        <v>5.06</v>
      </c>
      <c r="L414" t="n">
        <v>1.17</v>
      </c>
      <c r="M414" t="n">
        <v>0.48</v>
      </c>
      <c r="N414" t="n">
        <v>0.33</v>
      </c>
      <c r="O414" t="n">
        <v>0.9399999999999999</v>
      </c>
      <c r="P414" t="n">
        <v>-0.85</v>
      </c>
      <c r="Q414" t="n">
        <v>2.52</v>
      </c>
      <c r="R414" t="n">
        <v>23.42</v>
      </c>
      <c r="S414" t="n">
        <v>9.77</v>
      </c>
      <c r="T414" t="n">
        <v>15.89</v>
      </c>
      <c r="U414" t="n">
        <v>0.42</v>
      </c>
      <c r="V414" t="n">
        <v>0.58</v>
      </c>
      <c r="W414" t="n">
        <v>1.05</v>
      </c>
      <c r="X414" t="n">
        <v>7.87</v>
      </c>
      <c r="Y414" t="n">
        <v>35.19</v>
      </c>
      <c r="AA414" t="n">
        <v>23.3</v>
      </c>
      <c r="AB414" t="n">
        <v>5.46</v>
      </c>
      <c r="AC414" t="n">
        <v>-0.34</v>
      </c>
      <c r="AD414" t="n">
        <v>508315292.42</v>
      </c>
    </row>
    <row r="415">
      <c r="A415" t="inlineStr">
        <is>
          <t>NATU3</t>
        </is>
      </c>
      <c r="B415" t="n">
        <v>8.380000000000001</v>
      </c>
      <c r="D415" t="n">
        <v>-4.95</v>
      </c>
      <c r="E415" t="n">
        <v>0.92</v>
      </c>
      <c r="F415" t="n">
        <v>0.41</v>
      </c>
      <c r="G415" t="n">
        <v>66.01000000000001</v>
      </c>
      <c r="H415" t="n">
        <v>5</v>
      </c>
      <c r="I415" t="n">
        <v>-10.7</v>
      </c>
      <c r="J415" t="n">
        <v>10.59</v>
      </c>
      <c r="K415" t="n">
        <v>14.27</v>
      </c>
      <c r="L415" t="n">
        <v>3.68</v>
      </c>
      <c r="M415" t="n">
        <v>0.32</v>
      </c>
      <c r="N415" t="n">
        <v>0.53</v>
      </c>
      <c r="O415" t="n">
        <v>2.53</v>
      </c>
      <c r="P415" t="n">
        <v>-0.7</v>
      </c>
      <c r="Q415" t="n">
        <v>1.65</v>
      </c>
      <c r="R415" t="n">
        <v>-18.67</v>
      </c>
      <c r="S415" t="n">
        <v>-8.34</v>
      </c>
      <c r="T415" t="n">
        <v>3.88</v>
      </c>
      <c r="U415" t="n">
        <v>0.45</v>
      </c>
      <c r="V415" t="n">
        <v>0.55</v>
      </c>
      <c r="W415" t="n">
        <v>0.78</v>
      </c>
      <c r="X415" t="n">
        <v>3.53</v>
      </c>
      <c r="Z415" t="n">
        <v>86961315.31999999</v>
      </c>
      <c r="AA415" t="n">
        <v>9.07</v>
      </c>
      <c r="AB415" t="n">
        <v>-1.69</v>
      </c>
      <c r="AC415" t="n">
        <v>0.01</v>
      </c>
      <c r="AD415" t="n">
        <v>11505047589.09</v>
      </c>
    </row>
    <row r="416">
      <c r="A416" t="inlineStr">
        <is>
          <t>NEMO3</t>
        </is>
      </c>
      <c r="B416" t="n">
        <v>0</v>
      </c>
      <c r="D416" t="n">
        <v>0</v>
      </c>
      <c r="E416" t="n">
        <v>0</v>
      </c>
      <c r="F416" t="n">
        <v>0</v>
      </c>
      <c r="G416" t="n">
        <v>31.42</v>
      </c>
      <c r="H416" t="n">
        <v>20.52</v>
      </c>
      <c r="I416" t="n">
        <v>6.84</v>
      </c>
      <c r="J416" t="n">
        <v>0</v>
      </c>
      <c r="K416" t="n">
        <v>6.73</v>
      </c>
      <c r="L416" t="n">
        <v>6.73</v>
      </c>
      <c r="M416" t="n">
        <v>5.27</v>
      </c>
      <c r="N416" t="n">
        <v>0</v>
      </c>
      <c r="O416" t="n">
        <v>0</v>
      </c>
      <c r="P416" t="n">
        <v>0</v>
      </c>
      <c r="Q416" t="n">
        <v>3.52</v>
      </c>
      <c r="R416" t="n">
        <v>26.1</v>
      </c>
      <c r="S416" t="n">
        <v>2.04</v>
      </c>
      <c r="T416" t="n">
        <v>3.43</v>
      </c>
      <c r="U416" t="n">
        <v>0.08</v>
      </c>
      <c r="V416" t="n">
        <v>0.72</v>
      </c>
      <c r="W416" t="n">
        <v>0.3</v>
      </c>
      <c r="X416" t="n">
        <v>10.47</v>
      </c>
      <c r="AA416" t="n">
        <v>35.31</v>
      </c>
      <c r="AB416" t="n">
        <v>9.220000000000001</v>
      </c>
      <c r="AC416" t="n">
        <v>0</v>
      </c>
      <c r="AD416" t="n">
        <v>0</v>
      </c>
    </row>
    <row r="417">
      <c r="A417" t="inlineStr">
        <is>
          <t>NEMO4</t>
        </is>
      </c>
      <c r="B417" t="n">
        <v>0</v>
      </c>
      <c r="D417" t="n">
        <v>0</v>
      </c>
      <c r="E417" t="n">
        <v>0</v>
      </c>
      <c r="F417" t="n">
        <v>0</v>
      </c>
      <c r="G417" t="n">
        <v>31.42</v>
      </c>
      <c r="H417" t="n">
        <v>20.52</v>
      </c>
      <c r="I417" t="n">
        <v>6.84</v>
      </c>
      <c r="J417" t="n">
        <v>0</v>
      </c>
      <c r="K417" t="n">
        <v>6.73</v>
      </c>
      <c r="L417" t="n">
        <v>6.73</v>
      </c>
      <c r="M417" t="n">
        <v>5.27</v>
      </c>
      <c r="N417" t="n">
        <v>0</v>
      </c>
      <c r="O417" t="n">
        <v>0</v>
      </c>
      <c r="P417" t="n">
        <v>0</v>
      </c>
      <c r="Q417" t="n">
        <v>3.52</v>
      </c>
      <c r="R417" t="n">
        <v>26.1</v>
      </c>
      <c r="S417" t="n">
        <v>2.04</v>
      </c>
      <c r="T417" t="n">
        <v>3.43</v>
      </c>
      <c r="U417" t="n">
        <v>0.08</v>
      </c>
      <c r="V417" t="n">
        <v>0.72</v>
      </c>
      <c r="W417" t="n">
        <v>0.3</v>
      </c>
      <c r="X417" t="n">
        <v>10.47</v>
      </c>
      <c r="AA417" t="n">
        <v>35.31</v>
      </c>
      <c r="AB417" t="n">
        <v>9.220000000000001</v>
      </c>
      <c r="AC417" t="n">
        <v>0</v>
      </c>
      <c r="AD417" t="n">
        <v>0</v>
      </c>
    </row>
    <row r="418">
      <c r="A418" t="inlineStr">
        <is>
          <t>NEMO5</t>
        </is>
      </c>
      <c r="B418" t="n">
        <v>52.97</v>
      </c>
      <c r="D418" t="n">
        <v>5.75</v>
      </c>
      <c r="E418" t="n">
        <v>1.5</v>
      </c>
      <c r="F418" t="n">
        <v>0.12</v>
      </c>
      <c r="G418" t="n">
        <v>31.42</v>
      </c>
      <c r="H418" t="n">
        <v>20.52</v>
      </c>
      <c r="I418" t="n">
        <v>6.84</v>
      </c>
      <c r="J418" t="n">
        <v>1.92</v>
      </c>
      <c r="K418" t="n">
        <v>6.73</v>
      </c>
      <c r="L418" t="n">
        <v>6.73</v>
      </c>
      <c r="M418" t="n">
        <v>5.27</v>
      </c>
      <c r="N418" t="n">
        <v>0.39</v>
      </c>
      <c r="O418" t="n">
        <v>0.64</v>
      </c>
      <c r="P418" t="n">
        <v>-0.16</v>
      </c>
      <c r="Q418" t="n">
        <v>3.52</v>
      </c>
      <c r="R418" t="n">
        <v>26.1</v>
      </c>
      <c r="S418" t="n">
        <v>2.04</v>
      </c>
      <c r="T418" t="n">
        <v>3.43</v>
      </c>
      <c r="U418" t="n">
        <v>0.08</v>
      </c>
      <c r="V418" t="n">
        <v>0.72</v>
      </c>
      <c r="W418" t="n">
        <v>0.3</v>
      </c>
      <c r="X418" t="n">
        <v>10.47</v>
      </c>
      <c r="AA418" t="n">
        <v>35.31</v>
      </c>
      <c r="AB418" t="n">
        <v>9.220000000000001</v>
      </c>
      <c r="AC418" t="n">
        <v>0</v>
      </c>
      <c r="AD418" t="n">
        <v>0</v>
      </c>
    </row>
    <row r="419">
      <c r="A419" t="inlineStr">
        <is>
          <t>NEMO6</t>
        </is>
      </c>
      <c r="B419" t="n">
        <v>0</v>
      </c>
      <c r="D419" t="n">
        <v>0</v>
      </c>
      <c r="E419" t="n">
        <v>0</v>
      </c>
      <c r="F419" t="n">
        <v>0</v>
      </c>
      <c r="G419" t="n">
        <v>31.42</v>
      </c>
      <c r="H419" t="n">
        <v>20.52</v>
      </c>
      <c r="I419" t="n">
        <v>6.84</v>
      </c>
      <c r="J419" t="n">
        <v>0</v>
      </c>
      <c r="K419" t="n">
        <v>6.73</v>
      </c>
      <c r="L419" t="n">
        <v>6.73</v>
      </c>
      <c r="M419" t="n">
        <v>5.27</v>
      </c>
      <c r="N419" t="n">
        <v>0</v>
      </c>
      <c r="O419" t="n">
        <v>0</v>
      </c>
      <c r="P419" t="n">
        <v>0</v>
      </c>
      <c r="Q419" t="n">
        <v>3.52</v>
      </c>
      <c r="R419" t="n">
        <v>26.1</v>
      </c>
      <c r="S419" t="n">
        <v>2.04</v>
      </c>
      <c r="T419" t="n">
        <v>3.43</v>
      </c>
      <c r="U419" t="n">
        <v>0.08</v>
      </c>
      <c r="V419" t="n">
        <v>0.72</v>
      </c>
      <c r="W419" t="n">
        <v>0.3</v>
      </c>
      <c r="X419" t="n">
        <v>10.47</v>
      </c>
      <c r="AA419" t="n">
        <v>35.31</v>
      </c>
      <c r="AB419" t="n">
        <v>9.220000000000001</v>
      </c>
      <c r="AC419" t="n">
        <v>0</v>
      </c>
      <c r="AD419" t="n">
        <v>0</v>
      </c>
    </row>
    <row r="420">
      <c r="A420" t="inlineStr">
        <is>
          <t>NEOE3</t>
        </is>
      </c>
      <c r="B420" t="n">
        <v>33.81</v>
      </c>
      <c r="C420" t="n">
        <v>2.4</v>
      </c>
      <c r="D420" t="n">
        <v>8.970000000000001</v>
      </c>
      <c r="E420" t="n">
        <v>1.09</v>
      </c>
      <c r="F420" t="n">
        <v>0.34</v>
      </c>
      <c r="G420" t="n">
        <v>27.36</v>
      </c>
      <c r="H420" t="n">
        <v>22.48</v>
      </c>
      <c r="I420" t="n">
        <v>8.59</v>
      </c>
      <c r="J420" t="n">
        <v>3.43</v>
      </c>
      <c r="K420" t="n">
        <v>7.73</v>
      </c>
      <c r="L420" t="n">
        <v>4.3</v>
      </c>
      <c r="M420" t="n">
        <v>1.37</v>
      </c>
      <c r="N420" t="n">
        <v>0.77</v>
      </c>
      <c r="O420" t="n">
        <v>7.11</v>
      </c>
      <c r="P420" t="n">
        <v>-0.43</v>
      </c>
      <c r="Q420" t="n">
        <v>1.3</v>
      </c>
      <c r="R420" t="n">
        <v>12.15</v>
      </c>
      <c r="S420" t="n">
        <v>3.78</v>
      </c>
      <c r="T420" t="n">
        <v>11.29</v>
      </c>
      <c r="U420" t="n">
        <v>0.31</v>
      </c>
      <c r="V420" t="n">
        <v>0.6899999999999999</v>
      </c>
      <c r="W420" t="n">
        <v>0.44</v>
      </c>
      <c r="X420" t="n">
        <v>10.47</v>
      </c>
      <c r="Y420" t="n">
        <v>10.29</v>
      </c>
      <c r="Z420" t="n">
        <v>31677995</v>
      </c>
      <c r="AA420" t="n">
        <v>31.03</v>
      </c>
      <c r="AB420" t="n">
        <v>3.77</v>
      </c>
      <c r="AC420" t="n">
        <v>1.5</v>
      </c>
      <c r="AD420" t="n">
        <v>41093038742.28</v>
      </c>
    </row>
    <row r="421">
      <c r="A421" t="inlineStr">
        <is>
          <t>NEXP3</t>
        </is>
      </c>
      <c r="B421" t="n">
        <v>2.38</v>
      </c>
      <c r="D421" t="n">
        <v>-0.21</v>
      </c>
      <c r="E421" t="n">
        <v>-0.06</v>
      </c>
      <c r="F421" t="n">
        <v>0.62</v>
      </c>
      <c r="G421" t="n">
        <v>100</v>
      </c>
      <c r="H421" t="n">
        <v>-2978.2</v>
      </c>
      <c r="I421" t="n">
        <v>-4140.92</v>
      </c>
      <c r="J421" t="n">
        <v>-0.29</v>
      </c>
      <c r="K421" t="n">
        <v>-0.29</v>
      </c>
      <c r="L421" t="n">
        <v>0</v>
      </c>
      <c r="N421" t="n">
        <v>8.51</v>
      </c>
      <c r="O421" t="n">
        <v>-0.07000000000000001</v>
      </c>
      <c r="P421" t="n">
        <v>-0.84</v>
      </c>
      <c r="Q421" t="n">
        <v>0.03</v>
      </c>
      <c r="R421" t="n">
        <v>-29.08</v>
      </c>
      <c r="S421" t="n">
        <v>-301.76</v>
      </c>
      <c r="T421" t="n">
        <v>23.19</v>
      </c>
      <c r="U421" t="n">
        <v>-10.38</v>
      </c>
      <c r="V421" t="n">
        <v>11.37</v>
      </c>
      <c r="W421" t="n">
        <v>0.07000000000000001</v>
      </c>
      <c r="X421" t="n">
        <v>-63.49</v>
      </c>
      <c r="Z421" t="n">
        <v>1038.73</v>
      </c>
      <c r="AA421" t="n">
        <v>-39.85</v>
      </c>
      <c r="AB421" t="n">
        <v>-11.59</v>
      </c>
      <c r="AC421" t="n">
        <v>0</v>
      </c>
      <c r="AD421" t="n">
        <v>6320254.22</v>
      </c>
    </row>
    <row r="422">
      <c r="A422" t="inlineStr">
        <is>
          <t>NGRD3</t>
        </is>
      </c>
      <c r="B422" t="n">
        <v>34.28</v>
      </c>
      <c r="D422" t="n">
        <v>-31.89</v>
      </c>
      <c r="E422" t="n">
        <v>0.72</v>
      </c>
      <c r="F422" t="n">
        <v>0.57</v>
      </c>
      <c r="G422" t="n">
        <v>58.79</v>
      </c>
      <c r="H422" t="n">
        <v>-5.81</v>
      </c>
      <c r="I422" t="n">
        <v>-3.67</v>
      </c>
      <c r="J422" t="n">
        <v>-20.18</v>
      </c>
      <c r="K422" t="n">
        <v>-12.77</v>
      </c>
      <c r="L422" t="n">
        <v>7.41</v>
      </c>
      <c r="M422" t="n">
        <v>-0.26</v>
      </c>
      <c r="N422" t="n">
        <v>1.17</v>
      </c>
      <c r="O422" t="n">
        <v>2.25</v>
      </c>
      <c r="P422" t="n">
        <v>-0.89</v>
      </c>
      <c r="Q422" t="n">
        <v>3.21</v>
      </c>
      <c r="R422" t="n">
        <v>-2.26</v>
      </c>
      <c r="S422" t="n">
        <v>-1.77</v>
      </c>
      <c r="T422" t="n">
        <v>-4.93</v>
      </c>
      <c r="U422" t="n">
        <v>0.78</v>
      </c>
      <c r="V422" t="n">
        <v>0.22</v>
      </c>
      <c r="W422" t="n">
        <v>0.48</v>
      </c>
      <c r="X422" t="n">
        <v>4.96</v>
      </c>
      <c r="Z422" t="n">
        <v>515827.07</v>
      </c>
      <c r="AA422" t="n">
        <v>47.54</v>
      </c>
      <c r="AB422" t="n">
        <v>-1.07</v>
      </c>
      <c r="AC422" t="n">
        <v>0.47</v>
      </c>
      <c r="AD422" t="n">
        <v>313351560.32</v>
      </c>
    </row>
    <row r="423">
      <c r="A423" t="inlineStr">
        <is>
          <t>NORD3</t>
        </is>
      </c>
      <c r="B423" t="n">
        <v>1.94</v>
      </c>
      <c r="D423" t="n">
        <v>-1.13</v>
      </c>
      <c r="E423" t="n">
        <v>-0.07000000000000001</v>
      </c>
      <c r="F423" t="n">
        <v>0.67</v>
      </c>
      <c r="G423" t="n">
        <v>90.81</v>
      </c>
      <c r="H423" t="n">
        <v>-169.27</v>
      </c>
      <c r="I423" t="n">
        <v>-411.66</v>
      </c>
      <c r="J423" t="n">
        <v>-2.76</v>
      </c>
      <c r="K423" t="n">
        <v>-8.98</v>
      </c>
      <c r="L423" t="n">
        <v>-6.41</v>
      </c>
      <c r="N423" t="n">
        <v>4.67</v>
      </c>
      <c r="O423" t="n">
        <v>-0.07000000000000001</v>
      </c>
      <c r="P423" t="n">
        <v>-0.7</v>
      </c>
      <c r="Q423" t="n">
        <v>0</v>
      </c>
      <c r="R423" t="n">
        <v>-6.16</v>
      </c>
      <c r="S423" t="n">
        <v>-59.05</v>
      </c>
      <c r="T423" t="n">
        <v>3.02</v>
      </c>
      <c r="U423" t="n">
        <v>-9.59</v>
      </c>
      <c r="V423" t="n">
        <v>10.59</v>
      </c>
      <c r="W423" t="n">
        <v>0.14</v>
      </c>
      <c r="X423" t="n">
        <v>11.03</v>
      </c>
      <c r="Z423" t="n">
        <v>3047.73</v>
      </c>
      <c r="AA423" t="n">
        <v>-27.81</v>
      </c>
      <c r="AB423" t="n">
        <v>-1.71</v>
      </c>
      <c r="AC423" t="n">
        <v>0.01</v>
      </c>
      <c r="AD423" t="n">
        <v>11984889.66</v>
      </c>
    </row>
    <row r="424">
      <c r="A424" t="inlineStr">
        <is>
          <t>NRTQ3</t>
        </is>
      </c>
      <c r="B424" t="n">
        <v>0</v>
      </c>
      <c r="D424" t="n">
        <v>0</v>
      </c>
      <c r="E424" t="n">
        <v>0</v>
      </c>
      <c r="F424" t="n">
        <v>0</v>
      </c>
      <c r="G424" t="n">
        <v>27.6</v>
      </c>
      <c r="H424" t="n">
        <v>9.33</v>
      </c>
      <c r="I424" t="n">
        <v>3.53</v>
      </c>
      <c r="J424" t="n">
        <v>0</v>
      </c>
      <c r="K424" t="n">
        <v>3.18</v>
      </c>
      <c r="L424" t="n">
        <v>3.18</v>
      </c>
      <c r="M424" t="n">
        <v>0.29</v>
      </c>
      <c r="N424" t="n">
        <v>0</v>
      </c>
      <c r="O424" t="n">
        <v>0</v>
      </c>
      <c r="P424" t="n">
        <v>0</v>
      </c>
      <c r="Q424" t="n">
        <v>4.62</v>
      </c>
      <c r="R424" t="n">
        <v>3.5</v>
      </c>
      <c r="S424" t="n">
        <v>2.19</v>
      </c>
      <c r="T424" t="n">
        <v>4.71</v>
      </c>
      <c r="U424" t="n">
        <v>0.62</v>
      </c>
      <c r="V424" t="n">
        <v>0.38</v>
      </c>
      <c r="W424" t="n">
        <v>0.62</v>
      </c>
      <c r="X424" t="n">
        <v>7.47</v>
      </c>
      <c r="Y424" t="n">
        <v>-12.02</v>
      </c>
      <c r="AA424" t="n">
        <v>20.02</v>
      </c>
      <c r="AB424" t="n">
        <v>0.7</v>
      </c>
      <c r="AC424" t="n">
        <v>0</v>
      </c>
      <c r="AD424" t="n">
        <v>0</v>
      </c>
    </row>
    <row r="425">
      <c r="A425" t="inlineStr">
        <is>
          <t>NTCO3</t>
        </is>
      </c>
      <c r="B425" t="n">
        <v>11.05</v>
      </c>
      <c r="D425" t="n">
        <v>-2.14</v>
      </c>
      <c r="E425" t="n">
        <v>1.01</v>
      </c>
      <c r="F425" t="n">
        <v>0.44</v>
      </c>
      <c r="G425" t="n">
        <v>66.36</v>
      </c>
      <c r="H425" t="n">
        <v>6.37</v>
      </c>
      <c r="I425" t="n">
        <v>-33.04</v>
      </c>
      <c r="J425" t="n">
        <v>11.11</v>
      </c>
      <c r="K425" t="n">
        <v>14.05</v>
      </c>
      <c r="L425" t="n">
        <v>2.94</v>
      </c>
      <c r="M425" t="n">
        <v>0.27</v>
      </c>
      <c r="N425" t="n">
        <v>0.71</v>
      </c>
      <c r="O425" t="n">
        <v>1.99</v>
      </c>
      <c r="P425" t="n">
        <v>-0.95</v>
      </c>
      <c r="Q425" t="n">
        <v>1.68</v>
      </c>
      <c r="R425" t="n">
        <v>-47.14</v>
      </c>
      <c r="S425" t="n">
        <v>-20.34</v>
      </c>
      <c r="T425" t="n">
        <v>5.69</v>
      </c>
      <c r="U425" t="n">
        <v>0.43</v>
      </c>
      <c r="V425" t="n">
        <v>0.57</v>
      </c>
      <c r="W425" t="n">
        <v>0.62</v>
      </c>
      <c r="X425" t="n">
        <v>10.77</v>
      </c>
      <c r="Z425" t="n">
        <v>76344659</v>
      </c>
      <c r="AA425" t="n">
        <v>10.94</v>
      </c>
      <c r="AB425" t="n">
        <v>-5.16</v>
      </c>
      <c r="AC425" t="n">
        <v>0.01</v>
      </c>
      <c r="AD425" t="n">
        <v>15188862109.85</v>
      </c>
    </row>
    <row r="426">
      <c r="A426" t="inlineStr">
        <is>
          <t>NUTR3</t>
        </is>
      </c>
      <c r="B426" t="n">
        <v>2.2</v>
      </c>
      <c r="D426" t="n">
        <v>4</v>
      </c>
      <c r="E426" t="n">
        <v>0.58</v>
      </c>
      <c r="F426" t="n">
        <v>0.23</v>
      </c>
      <c r="G426" t="n">
        <v>14.84</v>
      </c>
      <c r="H426" t="n">
        <v>5.23</v>
      </c>
      <c r="I426" t="n">
        <v>3.51</v>
      </c>
      <c r="J426" t="n">
        <v>2.69</v>
      </c>
      <c r="K426" t="n">
        <v>4.51</v>
      </c>
      <c r="L426" t="n">
        <v>1.81</v>
      </c>
      <c r="M426" t="n">
        <v>0.39</v>
      </c>
      <c r="N426" t="n">
        <v>0.14</v>
      </c>
      <c r="O426" t="n">
        <v>0.99</v>
      </c>
      <c r="P426" t="n">
        <v>-0.66</v>
      </c>
      <c r="Q426" t="n">
        <v>1.59</v>
      </c>
      <c r="R426" t="n">
        <v>14.57</v>
      </c>
      <c r="S426" t="n">
        <v>5.86</v>
      </c>
      <c r="T426" t="n">
        <v>-3.68</v>
      </c>
      <c r="U426" t="n">
        <v>0.4</v>
      </c>
      <c r="V426" t="n">
        <v>0.6</v>
      </c>
      <c r="W426" t="n">
        <v>1.67</v>
      </c>
      <c r="X426" t="n">
        <v>23.51</v>
      </c>
      <c r="Y426" t="n">
        <v>16.23</v>
      </c>
      <c r="Z426" t="n">
        <v>8113.55</v>
      </c>
      <c r="AA426" t="n">
        <v>3.77</v>
      </c>
      <c r="AB426" t="n">
        <v>0.55</v>
      </c>
      <c r="AC426" t="n">
        <v>0.14</v>
      </c>
      <c r="AD426" t="n">
        <v>29270124</v>
      </c>
    </row>
    <row r="427">
      <c r="A427" t="inlineStr">
        <is>
          <t>OBTC3</t>
        </is>
      </c>
      <c r="B427" t="n">
        <v>6.21</v>
      </c>
      <c r="Z427" t="n">
        <v>1142582.32</v>
      </c>
      <c r="AD427" t="n">
        <v>0</v>
      </c>
    </row>
    <row r="428">
      <c r="A428" t="inlineStr">
        <is>
          <t>ODER3</t>
        </is>
      </c>
      <c r="B428" t="n">
        <v>0</v>
      </c>
      <c r="D428" t="n">
        <v>0</v>
      </c>
      <c r="E428" t="n">
        <v>0</v>
      </c>
      <c r="F428" t="n">
        <v>0</v>
      </c>
      <c r="G428" t="n">
        <v>29.07</v>
      </c>
      <c r="H428" t="n">
        <v>12.94</v>
      </c>
      <c r="I428" t="n">
        <v>8.140000000000001</v>
      </c>
      <c r="J428" t="n">
        <v>0</v>
      </c>
      <c r="L428" t="n">
        <v>2.36</v>
      </c>
      <c r="M428" t="n">
        <v>0.43</v>
      </c>
      <c r="N428" t="n">
        <v>0</v>
      </c>
      <c r="O428" t="n">
        <v>0</v>
      </c>
      <c r="P428" t="n">
        <v>0</v>
      </c>
      <c r="Q428" t="n">
        <v>3.31</v>
      </c>
      <c r="R428" t="n">
        <v>11.45</v>
      </c>
      <c r="S428" t="n">
        <v>6.02</v>
      </c>
      <c r="T428" t="n">
        <v>6.19</v>
      </c>
      <c r="U428" t="n">
        <v>0.53</v>
      </c>
      <c r="V428" t="n">
        <v>0.47</v>
      </c>
      <c r="W428" t="n">
        <v>0.74</v>
      </c>
      <c r="X428" t="n">
        <v>7.5</v>
      </c>
      <c r="Y428" t="n">
        <v>-10.57</v>
      </c>
      <c r="AA428" t="n">
        <v>52.59</v>
      </c>
      <c r="AB428" t="n">
        <v>6.02</v>
      </c>
      <c r="AC428" t="n">
        <v>0</v>
      </c>
    </row>
    <row r="429">
      <c r="A429" t="inlineStr">
        <is>
          <t>ODER4</t>
        </is>
      </c>
      <c r="B429" t="n">
        <v>95.97</v>
      </c>
      <c r="C429" t="n">
        <v>0.07000000000000001</v>
      </c>
      <c r="D429" t="n">
        <v>15.94</v>
      </c>
      <c r="E429" t="n">
        <v>1.82</v>
      </c>
      <c r="F429" t="n">
        <v>0.96</v>
      </c>
      <c r="G429" t="n">
        <v>29.07</v>
      </c>
      <c r="H429" t="n">
        <v>12.94</v>
      </c>
      <c r="I429" t="n">
        <v>8.140000000000001</v>
      </c>
      <c r="J429" t="n">
        <v>10.03</v>
      </c>
      <c r="L429" t="n">
        <v>2.36</v>
      </c>
      <c r="M429" t="n">
        <v>0.43</v>
      </c>
      <c r="N429" t="n">
        <v>1.3</v>
      </c>
      <c r="O429" t="n">
        <v>2</v>
      </c>
      <c r="P429" t="n">
        <v>-3.06</v>
      </c>
      <c r="Q429" t="n">
        <v>3.31</v>
      </c>
      <c r="R429" t="n">
        <v>11.45</v>
      </c>
      <c r="S429" t="n">
        <v>6.02</v>
      </c>
      <c r="T429" t="n">
        <v>6.19</v>
      </c>
      <c r="U429" t="n">
        <v>0.53</v>
      </c>
      <c r="V429" t="n">
        <v>0.47</v>
      </c>
      <c r="W429" t="n">
        <v>0.74</v>
      </c>
      <c r="X429" t="n">
        <v>7.5</v>
      </c>
      <c r="Y429" t="n">
        <v>-10.57</v>
      </c>
      <c r="Z429" t="n">
        <v>0</v>
      </c>
      <c r="AA429" t="n">
        <v>52.59</v>
      </c>
      <c r="AB429" t="n">
        <v>6.02</v>
      </c>
      <c r="AC429" t="n">
        <v>0.25</v>
      </c>
    </row>
    <row r="430">
      <c r="A430" t="inlineStr">
        <is>
          <t>OFSA3</t>
        </is>
      </c>
      <c r="B430" t="n">
        <v>28.4</v>
      </c>
      <c r="C430" t="n">
        <v>3.27</v>
      </c>
      <c r="D430" t="n">
        <v>6.34</v>
      </c>
      <c r="E430" t="n">
        <v>1.88</v>
      </c>
      <c r="F430" t="n">
        <v>0.9399999999999999</v>
      </c>
      <c r="G430" t="n">
        <v>52.58</v>
      </c>
      <c r="H430" t="n">
        <v>20.41</v>
      </c>
      <c r="I430" t="n">
        <v>18.79</v>
      </c>
      <c r="J430" t="n">
        <v>5.84</v>
      </c>
      <c r="K430" t="n">
        <v>6.31</v>
      </c>
      <c r="L430" t="n">
        <v>0.42</v>
      </c>
      <c r="M430" t="n">
        <v>0.14</v>
      </c>
      <c r="N430" t="n">
        <v>1.19</v>
      </c>
      <c r="O430" t="n">
        <v>1.96</v>
      </c>
      <c r="P430" t="n">
        <v>-2.87</v>
      </c>
      <c r="Q430" t="n">
        <v>3.46</v>
      </c>
      <c r="R430" t="n">
        <v>29.59</v>
      </c>
      <c r="S430" t="n">
        <v>14.82</v>
      </c>
      <c r="T430" t="n">
        <v>18.05</v>
      </c>
      <c r="U430" t="n">
        <v>0.5</v>
      </c>
      <c r="V430" t="n">
        <v>0.5</v>
      </c>
      <c r="W430" t="n">
        <v>0.79</v>
      </c>
      <c r="X430" t="n">
        <v>10.9</v>
      </c>
      <c r="Y430" t="n">
        <v>21.91</v>
      </c>
      <c r="Z430" t="n">
        <v>571738.09</v>
      </c>
      <c r="AA430" t="n">
        <v>15.13</v>
      </c>
      <c r="AB430" t="n">
        <v>4.48</v>
      </c>
      <c r="AC430" t="n">
        <v>0.07000000000000001</v>
      </c>
      <c r="AD430" t="n">
        <v>1545099531.84</v>
      </c>
    </row>
    <row r="431">
      <c r="A431" t="inlineStr">
        <is>
          <t>OGXP3</t>
        </is>
      </c>
      <c r="B431" t="n">
        <v>1.63</v>
      </c>
      <c r="D431" t="n">
        <v>-2.15</v>
      </c>
      <c r="E431" t="n">
        <v>-0.98</v>
      </c>
      <c r="F431" t="n">
        <v>0.92</v>
      </c>
      <c r="J431" t="n">
        <v>-9.26</v>
      </c>
      <c r="K431" t="n">
        <v>-9.26</v>
      </c>
      <c r="L431" t="n">
        <v>0</v>
      </c>
      <c r="O431" t="n">
        <v>-0.98</v>
      </c>
      <c r="Q431" t="n">
        <v>0.51</v>
      </c>
      <c r="R431" t="n">
        <v>-45.53</v>
      </c>
      <c r="S431" t="n">
        <v>-43.02</v>
      </c>
      <c r="T431" t="n">
        <v>10.57</v>
      </c>
      <c r="U431" t="n">
        <v>-0.9399999999999999</v>
      </c>
      <c r="V431" t="n">
        <v>1.94</v>
      </c>
      <c r="W431" t="n">
        <v>0</v>
      </c>
      <c r="AA431" t="n">
        <v>-1.67</v>
      </c>
      <c r="AB431" t="n">
        <v>-0.76</v>
      </c>
      <c r="AC431" t="n">
        <v>0.02</v>
      </c>
      <c r="AD431" t="n">
        <v>52747073.84</v>
      </c>
    </row>
    <row r="432">
      <c r="A432" t="inlineStr">
        <is>
          <t>OIBR3</t>
        </is>
      </c>
      <c r="B432" t="n">
        <v>0.13</v>
      </c>
      <c r="D432" t="n">
        <v>-0.02</v>
      </c>
      <c r="E432" t="n">
        <v>0</v>
      </c>
      <c r="F432" t="n">
        <v>0</v>
      </c>
      <c r="G432" t="n">
        <v>-830.11</v>
      </c>
      <c r="H432" t="n">
        <v>-402.1</v>
      </c>
      <c r="I432" t="n">
        <v>-808.9400000000001</v>
      </c>
      <c r="J432" t="n">
        <v>-0.05</v>
      </c>
      <c r="K432" t="n">
        <v>-11.01</v>
      </c>
      <c r="L432" t="n">
        <v>-10.96</v>
      </c>
      <c r="N432" t="n">
        <v>0.19</v>
      </c>
      <c r="O432" t="n">
        <v>-0.01</v>
      </c>
      <c r="P432" t="n">
        <v>0</v>
      </c>
      <c r="Q432" t="n">
        <v>0.59</v>
      </c>
      <c r="R432" t="n">
        <v>-11.89</v>
      </c>
      <c r="S432" t="n">
        <v>-9.84</v>
      </c>
      <c r="T432" t="n">
        <v>21.85</v>
      </c>
      <c r="U432" t="n">
        <v>-0.83</v>
      </c>
      <c r="V432" t="n">
        <v>1.83</v>
      </c>
      <c r="W432" t="n">
        <v>0.01</v>
      </c>
      <c r="X432" t="n">
        <v>-30.86</v>
      </c>
      <c r="Z432" t="n">
        <v>68939.41</v>
      </c>
      <c r="AA432" t="n">
        <v>-46.94</v>
      </c>
      <c r="AB432" t="n">
        <v>-5.58</v>
      </c>
      <c r="AC432" t="n">
        <v>0</v>
      </c>
      <c r="AD432" t="n">
        <v>43325916.66</v>
      </c>
    </row>
    <row r="433">
      <c r="A433" t="inlineStr">
        <is>
          <t>OIBR4</t>
        </is>
      </c>
      <c r="B433" t="n">
        <v>0.39</v>
      </c>
      <c r="D433" t="n">
        <v>-0.07000000000000001</v>
      </c>
      <c r="E433" t="n">
        <v>-0.01</v>
      </c>
      <c r="F433" t="n">
        <v>0.01</v>
      </c>
      <c r="G433" t="n">
        <v>-830.11</v>
      </c>
      <c r="H433" t="n">
        <v>-402.1</v>
      </c>
      <c r="I433" t="n">
        <v>-808.9400000000001</v>
      </c>
      <c r="J433" t="n">
        <v>-0.14</v>
      </c>
      <c r="K433" t="n">
        <v>-11.01</v>
      </c>
      <c r="L433" t="n">
        <v>-10.96</v>
      </c>
      <c r="N433" t="n">
        <v>0.57</v>
      </c>
      <c r="O433" t="n">
        <v>-0.04</v>
      </c>
      <c r="P433" t="n">
        <v>-0.01</v>
      </c>
      <c r="Q433" t="n">
        <v>0.59</v>
      </c>
      <c r="R433" t="n">
        <v>-11.89</v>
      </c>
      <c r="S433" t="n">
        <v>-9.84</v>
      </c>
      <c r="T433" t="n">
        <v>21.85</v>
      </c>
      <c r="U433" t="n">
        <v>-0.83</v>
      </c>
      <c r="V433" t="n">
        <v>1.83</v>
      </c>
      <c r="W433" t="n">
        <v>0.01</v>
      </c>
      <c r="X433" t="n">
        <v>-30.86</v>
      </c>
      <c r="Z433" t="n">
        <v>1712.48</v>
      </c>
      <c r="AA433" t="n">
        <v>-46.94</v>
      </c>
      <c r="AB433" t="n">
        <v>-5.58</v>
      </c>
      <c r="AC433" t="n">
        <v>0</v>
      </c>
      <c r="AD433" t="n">
        <v>43325916.66</v>
      </c>
    </row>
    <row r="434">
      <c r="A434" t="inlineStr">
        <is>
          <t>OMGE3</t>
        </is>
      </c>
      <c r="B434" t="n">
        <v>27.57</v>
      </c>
      <c r="D434" t="n">
        <v>54.32</v>
      </c>
      <c r="E434" t="n">
        <v>1085.69</v>
      </c>
      <c r="F434" t="n">
        <v>357.84</v>
      </c>
      <c r="G434" t="n">
        <v>15.07</v>
      </c>
      <c r="H434" t="n">
        <v>12.87</v>
      </c>
      <c r="I434" t="n">
        <v>1.78</v>
      </c>
      <c r="J434" t="n">
        <v>7.52</v>
      </c>
      <c r="K434" t="n">
        <v>7.52</v>
      </c>
      <c r="L434" t="n">
        <v>0.01</v>
      </c>
      <c r="M434" t="n">
        <v>1.14</v>
      </c>
      <c r="N434" t="n">
        <v>0.97</v>
      </c>
      <c r="O434" t="n">
        <v>3608.03</v>
      </c>
      <c r="P434" t="n">
        <v>-463.45</v>
      </c>
      <c r="Q434" t="n">
        <v>1.77</v>
      </c>
      <c r="R434" t="n">
        <v>1998.54</v>
      </c>
      <c r="S434" t="n">
        <v>658.71</v>
      </c>
      <c r="T434" t="n">
        <v>5560.32</v>
      </c>
      <c r="U434" t="n">
        <v>0.33</v>
      </c>
      <c r="V434" t="n">
        <v>0.67</v>
      </c>
      <c r="W434" t="n">
        <v>369.84</v>
      </c>
      <c r="X434" t="n">
        <v>38.94</v>
      </c>
      <c r="Y434" t="n">
        <v>15.54</v>
      </c>
      <c r="AA434" t="n">
        <v>0.03</v>
      </c>
      <c r="AB434" t="n">
        <v>0.51</v>
      </c>
      <c r="AC434" t="n">
        <v>-0.64</v>
      </c>
      <c r="AD434" t="n">
        <v>5521562588.85</v>
      </c>
    </row>
    <row r="435">
      <c r="A435" t="inlineStr">
        <is>
          <t>ONCO3</t>
        </is>
      </c>
      <c r="B435" t="n">
        <v>0.6</v>
      </c>
      <c r="D435" t="n">
        <v>-0.17</v>
      </c>
      <c r="E435" t="n">
        <v>1.26</v>
      </c>
      <c r="F435" t="n">
        <v>0.1</v>
      </c>
      <c r="G435" t="n">
        <v>29.1</v>
      </c>
      <c r="H435" t="n">
        <v>-43.01</v>
      </c>
      <c r="I435" t="n">
        <v>-71.05</v>
      </c>
      <c r="J435" t="n">
        <v>-0.29</v>
      </c>
      <c r="K435" t="n">
        <v>-1.9</v>
      </c>
      <c r="L435" t="n">
        <v>-1.6</v>
      </c>
      <c r="M435" t="n">
        <v>6.99</v>
      </c>
      <c r="N435" t="n">
        <v>0.12</v>
      </c>
      <c r="O435" t="n">
        <v>-0.23</v>
      </c>
      <c r="P435" t="n">
        <v>-0.16</v>
      </c>
      <c r="Q435" t="n">
        <v>0.46</v>
      </c>
      <c r="R435" t="n">
        <v>-720.24</v>
      </c>
      <c r="S435" t="n">
        <v>-57.34</v>
      </c>
      <c r="T435" t="n">
        <v>-69.31999999999999</v>
      </c>
      <c r="U435" t="n">
        <v>0.08</v>
      </c>
      <c r="V435" t="n">
        <v>0.91</v>
      </c>
      <c r="W435" t="n">
        <v>0.8100000000000001</v>
      </c>
      <c r="X435" t="n">
        <v>23.04</v>
      </c>
      <c r="Z435" t="n">
        <v>12187642.36</v>
      </c>
      <c r="AA435" t="n">
        <v>0.47</v>
      </c>
      <c r="AB435" t="n">
        <v>-3.38</v>
      </c>
      <c r="AC435" t="n">
        <v>0</v>
      </c>
      <c r="AD435" t="n">
        <v>681058672.2</v>
      </c>
    </row>
    <row r="436">
      <c r="A436" t="inlineStr">
        <is>
          <t>OPCT3</t>
        </is>
      </c>
      <c r="B436" t="n">
        <v>10.33</v>
      </c>
      <c r="C436" t="n">
        <v>0.9399999999999999</v>
      </c>
      <c r="D436" t="n">
        <v>16.99</v>
      </c>
      <c r="E436" t="n">
        <v>2.06</v>
      </c>
      <c r="F436" t="n">
        <v>0.61</v>
      </c>
      <c r="G436" t="n">
        <v>27.43</v>
      </c>
      <c r="H436" t="n">
        <v>15.66</v>
      </c>
      <c r="I436" t="n">
        <v>5.6</v>
      </c>
      <c r="J436" t="n">
        <v>6.07</v>
      </c>
      <c r="K436" t="n">
        <v>10.43</v>
      </c>
      <c r="L436" t="n">
        <v>4.35</v>
      </c>
      <c r="M436" t="n">
        <v>1.48</v>
      </c>
      <c r="N436" t="n">
        <v>0.95</v>
      </c>
      <c r="O436" t="n">
        <v>3.17</v>
      </c>
      <c r="P436" t="n">
        <v>-0.92</v>
      </c>
      <c r="Q436" t="n">
        <v>2.32</v>
      </c>
      <c r="R436" t="n">
        <v>12.12</v>
      </c>
      <c r="S436" t="n">
        <v>3.58</v>
      </c>
      <c r="T436" t="n">
        <v>9.68</v>
      </c>
      <c r="U436" t="n">
        <v>0.3</v>
      </c>
      <c r="V436" t="n">
        <v>0.7</v>
      </c>
      <c r="W436" t="n">
        <v>0.64</v>
      </c>
      <c r="X436" t="n">
        <v>27.13</v>
      </c>
      <c r="Z436" t="n">
        <v>6589312.14</v>
      </c>
      <c r="AA436" t="n">
        <v>5.02</v>
      </c>
      <c r="AB436" t="n">
        <v>0.61</v>
      </c>
      <c r="AC436" t="n">
        <v>-0.03</v>
      </c>
      <c r="AD436" t="n">
        <v>2065582192.82</v>
      </c>
    </row>
    <row r="437">
      <c r="A437" t="inlineStr">
        <is>
          <t>ORVR3</t>
        </is>
      </c>
      <c r="B437" t="n">
        <v>67.48999999999999</v>
      </c>
      <c r="D437" t="n">
        <v>108.67</v>
      </c>
      <c r="E437" t="n">
        <v>6.35</v>
      </c>
      <c r="F437" t="n">
        <v>2.08</v>
      </c>
      <c r="G437" t="n">
        <v>45.33</v>
      </c>
      <c r="H437" t="n">
        <v>29.51</v>
      </c>
      <c r="I437" t="n">
        <v>7.47</v>
      </c>
      <c r="J437" t="n">
        <v>27.53</v>
      </c>
      <c r="K437" t="n">
        <v>31.62</v>
      </c>
      <c r="L437" t="n">
        <v>4.12</v>
      </c>
      <c r="M437" t="n">
        <v>0.95</v>
      </c>
      <c r="N437" t="n">
        <v>8.119999999999999</v>
      </c>
      <c r="O437" t="n">
        <v>12.29</v>
      </c>
      <c r="P437" t="n">
        <v>-2.99</v>
      </c>
      <c r="Q437" t="n">
        <v>2.27</v>
      </c>
      <c r="R437" t="n">
        <v>5.84</v>
      </c>
      <c r="S437" t="n">
        <v>1.92</v>
      </c>
      <c r="T437" t="n">
        <v>8.1</v>
      </c>
      <c r="U437" t="n">
        <v>0.33</v>
      </c>
      <c r="V437" t="n">
        <v>0.65</v>
      </c>
      <c r="W437" t="n">
        <v>0.26</v>
      </c>
      <c r="X437" t="n">
        <v>21.79</v>
      </c>
      <c r="Y437" t="n">
        <v>88.89</v>
      </c>
      <c r="Z437" t="n">
        <v>44202648</v>
      </c>
      <c r="AA437" t="n">
        <v>10.63</v>
      </c>
      <c r="AB437" t="n">
        <v>0.62</v>
      </c>
      <c r="AC437" t="n">
        <v>0.5600000000000001</v>
      </c>
      <c r="AD437" t="n">
        <v>9257017648.41</v>
      </c>
    </row>
    <row r="438">
      <c r="A438" t="inlineStr">
        <is>
          <t>OSXB3</t>
        </is>
      </c>
      <c r="B438" t="n">
        <v>1.13</v>
      </c>
      <c r="D438" t="n">
        <v>0</v>
      </c>
      <c r="E438" t="n">
        <v>0</v>
      </c>
      <c r="F438" t="n">
        <v>0.01</v>
      </c>
      <c r="G438" t="n">
        <v>99.98</v>
      </c>
      <c r="H438" t="n">
        <v>-284.49</v>
      </c>
      <c r="I438" t="n">
        <v>-1329.34</v>
      </c>
      <c r="J438" t="n">
        <v>-0.02</v>
      </c>
      <c r="K438" t="n">
        <v>-33.55</v>
      </c>
      <c r="L438" t="n">
        <v>-33.53</v>
      </c>
      <c r="N438" t="n">
        <v>0.04</v>
      </c>
      <c r="O438" t="n">
        <v>-0.01</v>
      </c>
      <c r="P438" t="n">
        <v>-0.01</v>
      </c>
      <c r="Q438" t="n">
        <v>0.05</v>
      </c>
      <c r="R438" t="n">
        <v>-10.84</v>
      </c>
      <c r="S438" t="n">
        <v>-158.46</v>
      </c>
      <c r="T438" t="n">
        <v>16.23</v>
      </c>
      <c r="U438" t="n">
        <v>-14.62</v>
      </c>
      <c r="V438" t="n">
        <v>15.64</v>
      </c>
      <c r="W438" t="n">
        <v>0.12</v>
      </c>
      <c r="X438" t="n">
        <v>52.47</v>
      </c>
      <c r="Z438" t="n">
        <v>1691.33</v>
      </c>
      <c r="AA438" t="n">
        <v>-3234.82</v>
      </c>
      <c r="AB438" t="n">
        <v>-350.68</v>
      </c>
      <c r="AC438" t="n">
        <v>0</v>
      </c>
      <c r="AD438" t="n">
        <v>3557282.94</v>
      </c>
    </row>
    <row r="439">
      <c r="A439" t="inlineStr">
        <is>
          <t>PARD3</t>
        </is>
      </c>
      <c r="B439" t="n">
        <v>20.25</v>
      </c>
      <c r="D439" t="n">
        <v>36.76</v>
      </c>
      <c r="E439" t="n">
        <v>5.3</v>
      </c>
      <c r="F439" t="n">
        <v>2.1</v>
      </c>
      <c r="G439" t="n">
        <v>26.45</v>
      </c>
      <c r="H439" t="n">
        <v>13.31</v>
      </c>
      <c r="I439" t="n">
        <v>6.98</v>
      </c>
      <c r="J439" t="n">
        <v>19.27</v>
      </c>
      <c r="K439" t="n">
        <v>19.93</v>
      </c>
      <c r="L439" t="n">
        <v>0.66</v>
      </c>
      <c r="M439" t="n">
        <v>0.18</v>
      </c>
      <c r="N439" t="n">
        <v>2.57</v>
      </c>
      <c r="O439" t="n">
        <v>-54.06</v>
      </c>
      <c r="P439" t="n">
        <v>-3.28</v>
      </c>
      <c r="Q439" t="n">
        <v>0.9</v>
      </c>
      <c r="R439" t="n">
        <v>14.42</v>
      </c>
      <c r="S439" t="n">
        <v>5.7</v>
      </c>
      <c r="T439" t="n">
        <v>13.1</v>
      </c>
      <c r="U439" t="n">
        <v>0.4</v>
      </c>
      <c r="V439" t="n">
        <v>0.6</v>
      </c>
      <c r="W439" t="n">
        <v>0.82</v>
      </c>
      <c r="X439" t="n">
        <v>13.44</v>
      </c>
      <c r="Y439" t="n">
        <v>2.56</v>
      </c>
      <c r="AA439" t="n">
        <v>3.82</v>
      </c>
      <c r="AB439" t="n">
        <v>0.55</v>
      </c>
      <c r="AC439" t="n">
        <v>-1.04</v>
      </c>
      <c r="AD439" t="n">
        <v>5403493010.25</v>
      </c>
    </row>
    <row r="440">
      <c r="A440" t="inlineStr">
        <is>
          <t>PASS3</t>
        </is>
      </c>
      <c r="B440" t="n">
        <v>24.58</v>
      </c>
      <c r="C440" t="n">
        <v>2.31</v>
      </c>
      <c r="D440" t="n">
        <v>14.21</v>
      </c>
      <c r="E440" t="n">
        <v>3.07</v>
      </c>
      <c r="F440" t="n">
        <v>0.5</v>
      </c>
      <c r="G440" t="n">
        <v>26.19</v>
      </c>
      <c r="H440" t="n">
        <v>23.89</v>
      </c>
      <c r="I440" t="n">
        <v>7.94</v>
      </c>
      <c r="J440" t="n">
        <v>4.72</v>
      </c>
      <c r="K440" t="n">
        <v>8.26</v>
      </c>
      <c r="L440" t="n">
        <v>3.52</v>
      </c>
      <c r="M440" t="n">
        <v>2.29</v>
      </c>
      <c r="N440" t="n">
        <v>1.13</v>
      </c>
      <c r="O440" t="n">
        <v>3.69</v>
      </c>
      <c r="P440" t="n">
        <v>-0.68</v>
      </c>
      <c r="Q440" t="n">
        <v>2.09</v>
      </c>
      <c r="R440" t="n">
        <v>21.58</v>
      </c>
      <c r="S440" t="n">
        <v>3.53</v>
      </c>
      <c r="T440" t="n">
        <v>12.25</v>
      </c>
      <c r="U440" t="n">
        <v>0.16</v>
      </c>
      <c r="V440" t="n">
        <v>0.78</v>
      </c>
      <c r="W440" t="n">
        <v>0.44</v>
      </c>
      <c r="Z440" t="n">
        <v>18842910.55</v>
      </c>
      <c r="AA440" t="n">
        <v>8.02</v>
      </c>
      <c r="AB440" t="n">
        <v>1.73</v>
      </c>
      <c r="AC440" t="n">
        <v>-0.35</v>
      </c>
      <c r="AD440" t="n">
        <v>17626211544.6</v>
      </c>
    </row>
    <row r="441">
      <c r="A441" t="inlineStr">
        <is>
          <t>PATI3</t>
        </is>
      </c>
      <c r="B441" t="n">
        <v>30.22</v>
      </c>
      <c r="C441" t="n">
        <v>1.44</v>
      </c>
      <c r="D441" t="n">
        <v>14.83</v>
      </c>
      <c r="E441" t="n">
        <v>0.95</v>
      </c>
      <c r="F441" t="n">
        <v>0.51</v>
      </c>
      <c r="G441" t="n">
        <v>10.92</v>
      </c>
      <c r="H441" t="n">
        <v>4.25</v>
      </c>
      <c r="I441" t="n">
        <v>2.61</v>
      </c>
      <c r="J441" t="n">
        <v>9.1</v>
      </c>
      <c r="K441" t="n">
        <v>8.98</v>
      </c>
      <c r="L441" t="n">
        <v>-0.11</v>
      </c>
      <c r="M441" t="n">
        <v>-0.01</v>
      </c>
      <c r="N441" t="n">
        <v>0.39</v>
      </c>
      <c r="O441" t="n">
        <v>1.44</v>
      </c>
      <c r="P441" t="n">
        <v>-1.65</v>
      </c>
      <c r="Q441" t="n">
        <v>2.07</v>
      </c>
      <c r="R441" t="n">
        <v>6.43</v>
      </c>
      <c r="S441" t="n">
        <v>3.46</v>
      </c>
      <c r="T441" t="n">
        <v>4.98</v>
      </c>
      <c r="U441" t="n">
        <v>0.54</v>
      </c>
      <c r="V441" t="n">
        <v>0.46</v>
      </c>
      <c r="W441" t="n">
        <v>1.33</v>
      </c>
      <c r="X441" t="n">
        <v>6.07</v>
      </c>
      <c r="Y441" t="n">
        <v>-23.2</v>
      </c>
      <c r="Z441" t="n">
        <v>549.45</v>
      </c>
      <c r="AA441" t="n">
        <v>31.68</v>
      </c>
      <c r="AB441" t="n">
        <v>2.04</v>
      </c>
      <c r="AC441" t="n">
        <v>-0.34</v>
      </c>
      <c r="AD441" t="n">
        <v>722497985.26</v>
      </c>
    </row>
    <row r="442">
      <c r="A442" t="inlineStr">
        <is>
          <t>PATI4</t>
        </is>
      </c>
      <c r="B442" t="n">
        <v>29.5</v>
      </c>
      <c r="C442" t="n">
        <v>6.31</v>
      </c>
      <c r="D442" t="n">
        <v>14.48</v>
      </c>
      <c r="E442" t="n">
        <v>0.93</v>
      </c>
      <c r="F442" t="n">
        <v>0.5</v>
      </c>
      <c r="G442" t="n">
        <v>10.92</v>
      </c>
      <c r="H442" t="n">
        <v>4.25</v>
      </c>
      <c r="I442" t="n">
        <v>2.61</v>
      </c>
      <c r="J442" t="n">
        <v>8.880000000000001</v>
      </c>
      <c r="K442" t="n">
        <v>8.98</v>
      </c>
      <c r="L442" t="n">
        <v>-0.11</v>
      </c>
      <c r="M442" t="n">
        <v>-0.01</v>
      </c>
      <c r="N442" t="n">
        <v>0.38</v>
      </c>
      <c r="O442" t="n">
        <v>1.4</v>
      </c>
      <c r="P442" t="n">
        <v>-1.62</v>
      </c>
      <c r="Q442" t="n">
        <v>2.07</v>
      </c>
      <c r="R442" t="n">
        <v>6.43</v>
      </c>
      <c r="S442" t="n">
        <v>3.46</v>
      </c>
      <c r="T442" t="n">
        <v>4.98</v>
      </c>
      <c r="U442" t="n">
        <v>0.54</v>
      </c>
      <c r="V442" t="n">
        <v>0.46</v>
      </c>
      <c r="W442" t="n">
        <v>1.33</v>
      </c>
      <c r="X442" t="n">
        <v>6.07</v>
      </c>
      <c r="Y442" t="n">
        <v>-23.2</v>
      </c>
      <c r="Z442" t="n">
        <v>1475</v>
      </c>
      <c r="AA442" t="n">
        <v>31.68</v>
      </c>
      <c r="AB442" t="n">
        <v>2.04</v>
      </c>
      <c r="AC442" t="n">
        <v>-0.33</v>
      </c>
      <c r="AD442" t="n">
        <v>722497985.26</v>
      </c>
    </row>
    <row r="443">
      <c r="A443" t="inlineStr">
        <is>
          <t>PCAR3</t>
        </is>
      </c>
      <c r="B443" t="n">
        <v>2.78</v>
      </c>
      <c r="D443" t="n">
        <v>-0.65</v>
      </c>
      <c r="E443" t="n">
        <v>2.07</v>
      </c>
      <c r="F443" t="n">
        <v>0.08</v>
      </c>
      <c r="G443" t="n">
        <v>28.23</v>
      </c>
      <c r="H443" t="n">
        <v>-3.1</v>
      </c>
      <c r="I443" t="n">
        <v>-11.18</v>
      </c>
      <c r="J443" t="n">
        <v>-2.36</v>
      </c>
      <c r="K443" t="n">
        <v>-7.85</v>
      </c>
      <c r="L443" t="n">
        <v>-5.53</v>
      </c>
      <c r="M443" t="n">
        <v>4.84</v>
      </c>
      <c r="N443" t="n">
        <v>0.07000000000000001</v>
      </c>
      <c r="O443" t="n">
        <v>-0.35</v>
      </c>
      <c r="P443" t="n">
        <v>-0.12</v>
      </c>
      <c r="Q443" t="n">
        <v>0.5600000000000001</v>
      </c>
      <c r="R443" t="n">
        <v>-316.01</v>
      </c>
      <c r="S443" t="n">
        <v>-12.94</v>
      </c>
      <c r="T443" t="n">
        <v>-13.22</v>
      </c>
      <c r="U443" t="n">
        <v>0.04</v>
      </c>
      <c r="V443" t="n">
        <v>0.96</v>
      </c>
      <c r="W443" t="n">
        <v>1.16</v>
      </c>
      <c r="X443" t="n">
        <v>-17.9</v>
      </c>
      <c r="Z443" t="n">
        <v>9312309.949999999</v>
      </c>
      <c r="AA443" t="n">
        <v>1.34</v>
      </c>
      <c r="AB443" t="n">
        <v>-4.25</v>
      </c>
      <c r="AC443" t="n">
        <v>-0.07000000000000001</v>
      </c>
      <c r="AD443" t="n">
        <v>1344734568.45</v>
      </c>
    </row>
    <row r="444">
      <c r="A444" t="inlineStr">
        <is>
          <t>PCAR4</t>
        </is>
      </c>
      <c r="B444" t="n">
        <v>72.11</v>
      </c>
      <c r="D444" t="n">
        <v>-16.98</v>
      </c>
      <c r="E444" t="n">
        <v>53.66</v>
      </c>
      <c r="F444" t="n">
        <v>2.2</v>
      </c>
      <c r="G444" t="n">
        <v>28.23</v>
      </c>
      <c r="H444" t="n">
        <v>-3.1</v>
      </c>
      <c r="I444" t="n">
        <v>-11.18</v>
      </c>
      <c r="J444" t="n">
        <v>-61.24</v>
      </c>
      <c r="K444" t="n">
        <v>-7.85</v>
      </c>
      <c r="L444" t="n">
        <v>-5.53</v>
      </c>
      <c r="M444" t="n">
        <v>4.84</v>
      </c>
      <c r="N444" t="n">
        <v>1.9</v>
      </c>
      <c r="O444" t="n">
        <v>-9.08</v>
      </c>
      <c r="P444" t="n">
        <v>-3.16</v>
      </c>
      <c r="Q444" t="n">
        <v>0.5600000000000001</v>
      </c>
      <c r="R444" t="n">
        <v>-316.01</v>
      </c>
      <c r="S444" t="n">
        <v>-12.94</v>
      </c>
      <c r="T444" t="n">
        <v>-13.22</v>
      </c>
      <c r="U444" t="n">
        <v>0.04</v>
      </c>
      <c r="V444" t="n">
        <v>0.96</v>
      </c>
      <c r="W444" t="n">
        <v>1.16</v>
      </c>
      <c r="X444" t="n">
        <v>-17.9</v>
      </c>
      <c r="AA444" t="n">
        <v>1.34</v>
      </c>
      <c r="AB444" t="n">
        <v>-4.25</v>
      </c>
      <c r="AC444" t="n">
        <v>-1.85</v>
      </c>
      <c r="AD444" t="n">
        <v>1344734568.45</v>
      </c>
    </row>
    <row r="445">
      <c r="A445" t="inlineStr">
        <is>
          <t>PDGR3</t>
        </is>
      </c>
      <c r="B445" t="n">
        <v>1.23</v>
      </c>
      <c r="D445" t="n">
        <v>-0.02</v>
      </c>
      <c r="E445" t="n">
        <v>0</v>
      </c>
      <c r="F445" t="n">
        <v>0.01</v>
      </c>
      <c r="G445" t="n">
        <v>41.45</v>
      </c>
      <c r="H445" t="n">
        <v>-127.39</v>
      </c>
      <c r="I445" t="n">
        <v>-225.96</v>
      </c>
      <c r="J445" t="n">
        <v>-0.03</v>
      </c>
      <c r="K445" t="n">
        <v>-2.65</v>
      </c>
      <c r="L445" t="n">
        <v>-2.62</v>
      </c>
      <c r="N445" t="n">
        <v>0.04</v>
      </c>
      <c r="O445" t="n">
        <v>-0.01</v>
      </c>
      <c r="P445" t="n">
        <v>-0.02</v>
      </c>
      <c r="Q445" t="n">
        <v>0.26</v>
      </c>
      <c r="R445" t="n">
        <v>-7.46</v>
      </c>
      <c r="S445" t="n">
        <v>-58.04</v>
      </c>
      <c r="T445" t="n">
        <v>6.29</v>
      </c>
      <c r="U445" t="n">
        <v>-7.78</v>
      </c>
      <c r="V445" t="n">
        <v>8.98</v>
      </c>
      <c r="W445" t="n">
        <v>0.26</v>
      </c>
      <c r="X445" t="n">
        <v>-9.66</v>
      </c>
      <c r="Z445" t="n">
        <v>22643.36</v>
      </c>
      <c r="AA445" t="n">
        <v>-986.71</v>
      </c>
      <c r="AB445" t="n">
        <v>-73.56999999999999</v>
      </c>
      <c r="AC445" t="n">
        <v>0</v>
      </c>
      <c r="AD445" t="n">
        <v>4043607.78</v>
      </c>
    </row>
    <row r="446">
      <c r="A446" t="inlineStr">
        <is>
          <t>PDTC3</t>
        </is>
      </c>
      <c r="B446" t="n">
        <v>1.94</v>
      </c>
      <c r="D446" t="n">
        <v>19.64</v>
      </c>
      <c r="E446" t="n">
        <v>1.07</v>
      </c>
      <c r="F446" t="n">
        <v>0.24</v>
      </c>
      <c r="G446" t="n">
        <v>-99.76000000000001</v>
      </c>
      <c r="H446" t="n">
        <v>-399.06</v>
      </c>
      <c r="I446" t="n">
        <v>-290.76</v>
      </c>
      <c r="J446" t="n">
        <v>14.31</v>
      </c>
      <c r="K446" t="n">
        <v>32.17</v>
      </c>
      <c r="L446" t="n">
        <v>17.86</v>
      </c>
      <c r="M446" t="n">
        <v>1.34</v>
      </c>
      <c r="O446" t="n">
        <v>0.58</v>
      </c>
      <c r="P446" t="n">
        <v>-0.59</v>
      </c>
      <c r="Q446" t="n">
        <v>3.23</v>
      </c>
      <c r="R446" t="n">
        <v>5.46</v>
      </c>
      <c r="S446" t="n">
        <v>1.22</v>
      </c>
      <c r="T446" t="n">
        <v>2.51</v>
      </c>
      <c r="U446" t="n">
        <v>0.22</v>
      </c>
      <c r="V446" t="n">
        <v>0.78</v>
      </c>
      <c r="W446" t="n">
        <v>0</v>
      </c>
      <c r="X446" t="n">
        <v>-71.98999999999999</v>
      </c>
      <c r="Y446" t="n">
        <v>-14.53</v>
      </c>
      <c r="Z446" t="n">
        <v>157222.77</v>
      </c>
      <c r="AA446" t="n">
        <v>1.81</v>
      </c>
      <c r="AB446" t="n">
        <v>0.1</v>
      </c>
      <c r="AC446" t="n">
        <v>-0.43</v>
      </c>
      <c r="AD446" t="n">
        <v>154171074.44</v>
      </c>
    </row>
    <row r="447">
      <c r="A447" t="inlineStr">
        <is>
          <t>PEAB3</t>
        </is>
      </c>
      <c r="B447" t="n">
        <v>39</v>
      </c>
      <c r="C447" t="n">
        <v>3.71</v>
      </c>
      <c r="D447" t="n">
        <v>15.67</v>
      </c>
      <c r="E447" t="n">
        <v>0.76</v>
      </c>
      <c r="F447" t="n">
        <v>0.54</v>
      </c>
      <c r="G447" t="n">
        <v>42.81</v>
      </c>
      <c r="H447" t="n">
        <v>36.58</v>
      </c>
      <c r="I447" t="n">
        <v>38.07</v>
      </c>
      <c r="J447" t="n">
        <v>16.31</v>
      </c>
      <c r="K447" t="n">
        <v>15.67</v>
      </c>
      <c r="L447" t="n">
        <v>-0.74</v>
      </c>
      <c r="M447" t="n">
        <v>-0.03</v>
      </c>
      <c r="N447" t="n">
        <v>5.97</v>
      </c>
      <c r="O447" t="n">
        <v>3.7</v>
      </c>
      <c r="P447" t="n">
        <v>-0.67</v>
      </c>
      <c r="Q447" t="n">
        <v>4.07</v>
      </c>
      <c r="R447" t="n">
        <v>4.87</v>
      </c>
      <c r="S447" t="n">
        <v>3.44</v>
      </c>
      <c r="T447" t="n">
        <v>3.55</v>
      </c>
      <c r="U447" t="n">
        <v>0.71</v>
      </c>
      <c r="V447" t="n">
        <v>0.29</v>
      </c>
      <c r="W447" t="n">
        <v>0.09</v>
      </c>
      <c r="X447" t="n">
        <v>-8.300000000000001</v>
      </c>
      <c r="Y447" t="n">
        <v>-37.26</v>
      </c>
      <c r="Z447" t="n">
        <v>8824.5</v>
      </c>
      <c r="AA447" t="n">
        <v>51.09</v>
      </c>
      <c r="AB447" t="n">
        <v>2.49</v>
      </c>
      <c r="AC447" t="n">
        <v>0.61</v>
      </c>
      <c r="AD447" t="n">
        <v>711830842</v>
      </c>
    </row>
    <row r="448">
      <c r="A448" t="inlineStr">
        <is>
          <t>PEAB4</t>
        </is>
      </c>
      <c r="B448" t="n">
        <v>39.5</v>
      </c>
      <c r="C448" t="n">
        <v>4.03</v>
      </c>
      <c r="D448" t="n">
        <v>15.87</v>
      </c>
      <c r="E448" t="n">
        <v>0.77</v>
      </c>
      <c r="F448" t="n">
        <v>0.55</v>
      </c>
      <c r="G448" t="n">
        <v>42.81</v>
      </c>
      <c r="H448" t="n">
        <v>36.58</v>
      </c>
      <c r="I448" t="n">
        <v>38.07</v>
      </c>
      <c r="J448" t="n">
        <v>16.52</v>
      </c>
      <c r="K448" t="n">
        <v>15.67</v>
      </c>
      <c r="L448" t="n">
        <v>-0.74</v>
      </c>
      <c r="M448" t="n">
        <v>-0.03</v>
      </c>
      <c r="N448" t="n">
        <v>6.04</v>
      </c>
      <c r="O448" t="n">
        <v>3.75</v>
      </c>
      <c r="P448" t="n">
        <v>-0.68</v>
      </c>
      <c r="Q448" t="n">
        <v>4.07</v>
      </c>
      <c r="R448" t="n">
        <v>4.87</v>
      </c>
      <c r="S448" t="n">
        <v>3.44</v>
      </c>
      <c r="T448" t="n">
        <v>3.55</v>
      </c>
      <c r="U448" t="n">
        <v>0.71</v>
      </c>
      <c r="V448" t="n">
        <v>0.29</v>
      </c>
      <c r="W448" t="n">
        <v>0.09</v>
      </c>
      <c r="X448" t="n">
        <v>-8.300000000000001</v>
      </c>
      <c r="Y448" t="n">
        <v>-37.26</v>
      </c>
      <c r="Z448" t="n">
        <v>12330.47</v>
      </c>
      <c r="AA448" t="n">
        <v>51.09</v>
      </c>
      <c r="AB448" t="n">
        <v>2.49</v>
      </c>
      <c r="AC448" t="n">
        <v>0.61</v>
      </c>
      <c r="AD448" t="n">
        <v>711830842</v>
      </c>
    </row>
    <row r="449">
      <c r="A449" t="inlineStr">
        <is>
          <t>PETR3</t>
        </is>
      </c>
      <c r="B449" t="n">
        <v>47.49</v>
      </c>
      <c r="C449" t="n">
        <v>4.88</v>
      </c>
      <c r="D449" t="n">
        <v>5.69</v>
      </c>
      <c r="E449" t="n">
        <v>1.37</v>
      </c>
      <c r="F449" t="n">
        <v>0.49</v>
      </c>
      <c r="G449" t="n">
        <v>47.36</v>
      </c>
      <c r="H449" t="n">
        <v>28.88</v>
      </c>
      <c r="I449" t="n">
        <v>21.6</v>
      </c>
      <c r="J449" t="n">
        <v>4.25</v>
      </c>
      <c r="K449" t="n">
        <v>6.31</v>
      </c>
      <c r="L449" t="n">
        <v>2.25</v>
      </c>
      <c r="M449" t="n">
        <v>0.73</v>
      </c>
      <c r="N449" t="n">
        <v>1.23</v>
      </c>
      <c r="O449" t="n">
        <v>-12.58</v>
      </c>
      <c r="P449" t="n">
        <v>-0.55</v>
      </c>
      <c r="Q449" t="n">
        <v>0.74</v>
      </c>
      <c r="R449" t="n">
        <v>24.17</v>
      </c>
      <c r="S449" t="n">
        <v>8.630000000000001</v>
      </c>
      <c r="T449" t="n">
        <v>8.31</v>
      </c>
      <c r="U449" t="n">
        <v>0.36</v>
      </c>
      <c r="V449" t="n">
        <v>0.64</v>
      </c>
      <c r="W449" t="n">
        <v>0.4</v>
      </c>
      <c r="X449" t="n">
        <v>12.83</v>
      </c>
      <c r="Y449" t="n">
        <v>72.19</v>
      </c>
      <c r="Z449" t="n">
        <v>414549361.45</v>
      </c>
      <c r="AA449" t="n">
        <v>34.54</v>
      </c>
      <c r="AB449" t="n">
        <v>8.35</v>
      </c>
      <c r="AC449" t="n">
        <v>0.05</v>
      </c>
      <c r="AD449" t="n">
        <v>583602386852.89</v>
      </c>
    </row>
    <row r="450">
      <c r="A450" t="inlineStr">
        <is>
          <t>PETR4</t>
        </is>
      </c>
      <c r="B450" t="n">
        <v>41.97</v>
      </c>
      <c r="C450" t="n">
        <v>6.29</v>
      </c>
      <c r="D450" t="n">
        <v>5.03</v>
      </c>
      <c r="E450" t="n">
        <v>1.21</v>
      </c>
      <c r="F450" t="n">
        <v>0.43</v>
      </c>
      <c r="G450" t="n">
        <v>47.36</v>
      </c>
      <c r="H450" t="n">
        <v>28.88</v>
      </c>
      <c r="I450" t="n">
        <v>21.6</v>
      </c>
      <c r="J450" t="n">
        <v>3.76</v>
      </c>
      <c r="K450" t="n">
        <v>6.31</v>
      </c>
      <c r="L450" t="n">
        <v>2.25</v>
      </c>
      <c r="M450" t="n">
        <v>0.73</v>
      </c>
      <c r="N450" t="n">
        <v>1.09</v>
      </c>
      <c r="O450" t="n">
        <v>-11.12</v>
      </c>
      <c r="P450" t="n">
        <v>-0.49</v>
      </c>
      <c r="Q450" t="n">
        <v>0.74</v>
      </c>
      <c r="R450" t="n">
        <v>24.17</v>
      </c>
      <c r="S450" t="n">
        <v>8.630000000000001</v>
      </c>
      <c r="T450" t="n">
        <v>8.31</v>
      </c>
      <c r="U450" t="n">
        <v>0.36</v>
      </c>
      <c r="V450" t="n">
        <v>0.64</v>
      </c>
      <c r="W450" t="n">
        <v>0.4</v>
      </c>
      <c r="X450" t="n">
        <v>12.83</v>
      </c>
      <c r="Y450" t="n">
        <v>72.19</v>
      </c>
      <c r="Z450" t="n">
        <v>1161922358.77</v>
      </c>
      <c r="AA450" t="n">
        <v>34.54</v>
      </c>
      <c r="AB450" t="n">
        <v>8.35</v>
      </c>
      <c r="AC450" t="n">
        <v>0.04</v>
      </c>
      <c r="AD450" t="n">
        <v>583602386852.89</v>
      </c>
    </row>
    <row r="451">
      <c r="A451" t="inlineStr">
        <is>
          <t>PETZ3</t>
        </is>
      </c>
      <c r="B451" t="n">
        <v>4.34</v>
      </c>
      <c r="D451" t="n">
        <v>40.37</v>
      </c>
      <c r="E451" t="n">
        <v>1.14</v>
      </c>
      <c r="F451" t="n">
        <v>0.5</v>
      </c>
      <c r="G451" t="n">
        <v>47.09</v>
      </c>
      <c r="H451" t="n">
        <v>4.89</v>
      </c>
      <c r="I451" t="n">
        <v>1.32</v>
      </c>
      <c r="J451" t="n">
        <v>10.9</v>
      </c>
      <c r="K451" t="n">
        <v>10.64</v>
      </c>
      <c r="L451" t="n">
        <v>-0.26</v>
      </c>
      <c r="M451" t="n">
        <v>-0.03</v>
      </c>
      <c r="N451" t="n">
        <v>0.53</v>
      </c>
      <c r="O451" t="n">
        <v>6.98</v>
      </c>
      <c r="P451" t="n">
        <v>-0.79</v>
      </c>
      <c r="Q451" t="n">
        <v>1.24</v>
      </c>
      <c r="R451" t="n">
        <v>2.83</v>
      </c>
      <c r="S451" t="n">
        <v>1.24</v>
      </c>
      <c r="T451" t="n">
        <v>7.75</v>
      </c>
      <c r="U451" t="n">
        <v>0.44</v>
      </c>
      <c r="V451" t="n">
        <v>0.5600000000000001</v>
      </c>
      <c r="W451" t="n">
        <v>0.9399999999999999</v>
      </c>
      <c r="X451" t="n">
        <v>20.08</v>
      </c>
      <c r="Y451" t="n">
        <v>-3.64</v>
      </c>
      <c r="Z451" t="n">
        <v>23680881</v>
      </c>
      <c r="AA451" t="n">
        <v>3.8</v>
      </c>
      <c r="AB451" t="n">
        <v>0.11</v>
      </c>
      <c r="AC451" t="n">
        <v>-0.18</v>
      </c>
      <c r="AD451" t="n">
        <v>1957947209.4</v>
      </c>
    </row>
    <row r="452">
      <c r="A452" t="inlineStr">
        <is>
          <t>PFRM3</t>
        </is>
      </c>
      <c r="B452" t="n">
        <v>6.25</v>
      </c>
      <c r="C452" t="n">
        <v>5.21</v>
      </c>
      <c r="D452" t="n">
        <v>7.35</v>
      </c>
      <c r="E452" t="n">
        <v>0.58</v>
      </c>
      <c r="F452" t="n">
        <v>0.13</v>
      </c>
      <c r="G452" t="n">
        <v>15.42</v>
      </c>
      <c r="H452" t="n">
        <v>3.07</v>
      </c>
      <c r="I452" t="n">
        <v>0.91</v>
      </c>
      <c r="J452" t="n">
        <v>2.17</v>
      </c>
      <c r="K452" t="n">
        <v>4.23</v>
      </c>
      <c r="L452" t="n">
        <v>2.09</v>
      </c>
      <c r="M452" t="n">
        <v>0.5600000000000001</v>
      </c>
      <c r="N452" t="n">
        <v>0.07000000000000001</v>
      </c>
      <c r="O452" t="n">
        <v>0.74</v>
      </c>
      <c r="P452" t="n">
        <v>-0.44</v>
      </c>
      <c r="Q452" t="n">
        <v>1.33</v>
      </c>
      <c r="R452" t="n">
        <v>7.86</v>
      </c>
      <c r="S452" t="n">
        <v>1.75</v>
      </c>
      <c r="T452" t="n">
        <v>13.17</v>
      </c>
      <c r="U452" t="n">
        <v>0.22</v>
      </c>
      <c r="V452" t="n">
        <v>0.73</v>
      </c>
      <c r="W452" t="n">
        <v>1.92</v>
      </c>
      <c r="X452" t="n">
        <v>15.87</v>
      </c>
      <c r="Y452" t="n">
        <v>15.05</v>
      </c>
      <c r="Z452" t="n">
        <v>846683.73</v>
      </c>
      <c r="AA452" t="n">
        <v>10.83</v>
      </c>
      <c r="AB452" t="n">
        <v>0.85</v>
      </c>
      <c r="AC452" t="n">
        <v>-0.48</v>
      </c>
      <c r="AD452" t="n">
        <v>763924809.41</v>
      </c>
    </row>
    <row r="453">
      <c r="A453" t="inlineStr">
        <is>
          <t>PGMN3</t>
        </is>
      </c>
      <c r="B453" t="n">
        <v>3.14</v>
      </c>
      <c r="C453" t="n">
        <v>8.18</v>
      </c>
      <c r="D453" t="n">
        <v>7.41</v>
      </c>
      <c r="E453" t="n">
        <v>0.68</v>
      </c>
      <c r="F453" t="n">
        <v>0.23</v>
      </c>
      <c r="G453" t="n">
        <v>32.21</v>
      </c>
      <c r="H453" t="n">
        <v>5.95</v>
      </c>
      <c r="I453" t="n">
        <v>2</v>
      </c>
      <c r="J453" t="n">
        <v>2.5</v>
      </c>
      <c r="K453" t="n">
        <v>4.05</v>
      </c>
      <c r="L453" t="n">
        <v>1.55</v>
      </c>
      <c r="M453" t="n">
        <v>0.42</v>
      </c>
      <c r="N453" t="n">
        <v>0.15</v>
      </c>
      <c r="O453" t="n">
        <v>0.96</v>
      </c>
      <c r="P453" t="n">
        <v>-0.54</v>
      </c>
      <c r="Q453" t="n">
        <v>1.73</v>
      </c>
      <c r="R453" t="n">
        <v>9.19</v>
      </c>
      <c r="S453" t="n">
        <v>3.14</v>
      </c>
      <c r="T453" t="n">
        <v>14.93</v>
      </c>
      <c r="U453" t="n">
        <v>0.34</v>
      </c>
      <c r="V453" t="n">
        <v>0.66</v>
      </c>
      <c r="W453" t="n">
        <v>1.56</v>
      </c>
      <c r="X453" t="n">
        <v>16.8</v>
      </c>
      <c r="Y453" t="n">
        <v>26.21</v>
      </c>
      <c r="Z453" t="n">
        <v>14450999.91</v>
      </c>
      <c r="AA453" t="n">
        <v>4.62</v>
      </c>
      <c r="AB453" t="n">
        <v>0.42</v>
      </c>
      <c r="AC453" t="n">
        <v>0.04</v>
      </c>
      <c r="AD453" t="n">
        <v>2280279348.9</v>
      </c>
    </row>
    <row r="454">
      <c r="A454" t="inlineStr">
        <is>
          <t>PINE14</t>
        </is>
      </c>
      <c r="B454" t="n">
        <v>22.5</v>
      </c>
      <c r="D454" t="n">
        <v>10.87</v>
      </c>
      <c r="E454" t="n">
        <v>3.35</v>
      </c>
      <c r="F454" t="n">
        <v>0.17</v>
      </c>
      <c r="G454" t="n">
        <v>20.91</v>
      </c>
      <c r="H454" t="n">
        <v>15.46</v>
      </c>
      <c r="I454" t="n">
        <v>10.22</v>
      </c>
      <c r="J454" t="n">
        <v>7.18</v>
      </c>
      <c r="K454" t="n">
        <v>4.03</v>
      </c>
      <c r="N454" t="n">
        <v>1.11</v>
      </c>
      <c r="O454" t="n">
        <v>8.720000000000001</v>
      </c>
      <c r="P454" t="n">
        <v>-0.18</v>
      </c>
      <c r="Q454" t="n">
        <v>2.59</v>
      </c>
      <c r="R454" t="n">
        <v>30.83</v>
      </c>
      <c r="S454" t="n">
        <v>1.6</v>
      </c>
      <c r="U454" t="n">
        <v>0.05</v>
      </c>
      <c r="V454" t="n">
        <v>0.95</v>
      </c>
      <c r="W454" t="n">
        <v>0.16</v>
      </c>
      <c r="X454" t="n">
        <v>31.37</v>
      </c>
      <c r="Z454" t="n">
        <v>9298.07</v>
      </c>
      <c r="AA454" t="n">
        <v>6.72</v>
      </c>
      <c r="AB454" t="n">
        <v>2.07</v>
      </c>
      <c r="AC454" t="n">
        <v>0.03</v>
      </c>
      <c r="AD454" t="n">
        <v>3259713471.36</v>
      </c>
    </row>
    <row r="455">
      <c r="A455" t="inlineStr">
        <is>
          <t>PINE3</t>
        </is>
      </c>
      <c r="B455" t="n">
        <v>12.64</v>
      </c>
      <c r="C455" t="n">
        <v>7.76</v>
      </c>
      <c r="D455" t="n">
        <v>6.1</v>
      </c>
      <c r="E455" t="n">
        <v>1.88</v>
      </c>
      <c r="F455" t="n">
        <v>0.1</v>
      </c>
      <c r="G455" t="n">
        <v>20.91</v>
      </c>
      <c r="H455" t="n">
        <v>15.46</v>
      </c>
      <c r="I455" t="n">
        <v>10.22</v>
      </c>
      <c r="J455" t="n">
        <v>4.03</v>
      </c>
      <c r="K455" t="n">
        <v>4.03</v>
      </c>
      <c r="N455" t="n">
        <v>0.62</v>
      </c>
      <c r="O455" t="n">
        <v>4.9</v>
      </c>
      <c r="P455" t="n">
        <v>-0.1</v>
      </c>
      <c r="Q455" t="n">
        <v>2.59</v>
      </c>
      <c r="R455" t="n">
        <v>30.83</v>
      </c>
      <c r="S455" t="n">
        <v>1.6</v>
      </c>
      <c r="U455" t="n">
        <v>0.05</v>
      </c>
      <c r="V455" t="n">
        <v>0.95</v>
      </c>
      <c r="W455" t="n">
        <v>0.16</v>
      </c>
      <c r="X455" t="n">
        <v>31.37</v>
      </c>
      <c r="Z455" t="n">
        <v>155950.09</v>
      </c>
      <c r="AA455" t="n">
        <v>6.72</v>
      </c>
      <c r="AB455" t="n">
        <v>2.07</v>
      </c>
      <c r="AC455" t="n">
        <v>0.02</v>
      </c>
      <c r="AD455" t="n">
        <v>3259713471.36</v>
      </c>
    </row>
    <row r="456">
      <c r="A456" t="inlineStr">
        <is>
          <t>PINE4</t>
        </is>
      </c>
      <c r="B456" t="n">
        <v>12.83</v>
      </c>
      <c r="C456" t="n">
        <v>7.63</v>
      </c>
      <c r="D456" t="n">
        <v>6.21</v>
      </c>
      <c r="E456" t="n">
        <v>1.91</v>
      </c>
      <c r="F456" t="n">
        <v>0.1</v>
      </c>
      <c r="G456" t="n">
        <v>20.91</v>
      </c>
      <c r="H456" t="n">
        <v>15.46</v>
      </c>
      <c r="I456" t="n">
        <v>10.22</v>
      </c>
      <c r="J456" t="n">
        <v>4.1</v>
      </c>
      <c r="K456" t="n">
        <v>4.03</v>
      </c>
      <c r="N456" t="n">
        <v>0.63</v>
      </c>
      <c r="O456" t="n">
        <v>4.98</v>
      </c>
      <c r="P456" t="n">
        <v>-0.1</v>
      </c>
      <c r="Q456" t="n">
        <v>2.59</v>
      </c>
      <c r="R456" t="n">
        <v>30.83</v>
      </c>
      <c r="S456" t="n">
        <v>1.6</v>
      </c>
      <c r="U456" t="n">
        <v>0.05</v>
      </c>
      <c r="V456" t="n">
        <v>0.95</v>
      </c>
      <c r="W456" t="n">
        <v>0.16</v>
      </c>
      <c r="X456" t="n">
        <v>31.37</v>
      </c>
      <c r="Z456" t="n">
        <v>13243358.18</v>
      </c>
      <c r="AA456" t="n">
        <v>6.72</v>
      </c>
      <c r="AB456" t="n">
        <v>2.07</v>
      </c>
      <c r="AC456" t="n">
        <v>0.02</v>
      </c>
      <c r="AD456" t="n">
        <v>3259713471.36</v>
      </c>
    </row>
    <row r="457">
      <c r="A457" t="inlineStr">
        <is>
          <t>PLAS3</t>
        </is>
      </c>
      <c r="B457" t="n">
        <v>2.45</v>
      </c>
      <c r="D457" t="n">
        <v>-0.15</v>
      </c>
      <c r="E457" t="n">
        <v>-0.04</v>
      </c>
      <c r="F457" t="n">
        <v>0.05</v>
      </c>
      <c r="G457" t="n">
        <v>13.44</v>
      </c>
      <c r="H457" t="n">
        <v>-1.25</v>
      </c>
      <c r="I457" t="n">
        <v>-17.27</v>
      </c>
      <c r="J457" t="n">
        <v>-2.1</v>
      </c>
      <c r="K457" t="n">
        <v>-18.19</v>
      </c>
      <c r="L457" t="n">
        <v>-16.09</v>
      </c>
      <c r="N457" t="n">
        <v>0.03</v>
      </c>
      <c r="O457" t="n">
        <v>-0.06</v>
      </c>
      <c r="P457" t="n">
        <v>-0.07000000000000001</v>
      </c>
      <c r="Q457" t="n">
        <v>0.28</v>
      </c>
      <c r="R457" t="n">
        <v>-25.78</v>
      </c>
      <c r="S457" t="n">
        <v>-33.13</v>
      </c>
      <c r="T457" t="n">
        <v>2.81</v>
      </c>
      <c r="U457" t="n">
        <v>-1.29</v>
      </c>
      <c r="V457" t="n">
        <v>2.29</v>
      </c>
      <c r="W457" t="n">
        <v>1.92</v>
      </c>
      <c r="X457" t="n">
        <v>25.56</v>
      </c>
      <c r="Z457" t="n">
        <v>1057</v>
      </c>
      <c r="AA457" t="n">
        <v>-62.58</v>
      </c>
      <c r="AB457" t="n">
        <v>-16.13</v>
      </c>
      <c r="AC457" t="n">
        <v>0</v>
      </c>
      <c r="AD457" t="n">
        <v>30442274.1</v>
      </c>
    </row>
    <row r="458">
      <c r="A458" t="inlineStr">
        <is>
          <t>PLPL3</t>
        </is>
      </c>
      <c r="B458" t="n">
        <v>7.31</v>
      </c>
      <c r="C458" t="n">
        <v>6.71</v>
      </c>
      <c r="D458" t="n">
        <v>4.44</v>
      </c>
      <c r="E458" t="n">
        <v>1.4</v>
      </c>
      <c r="F458" t="n">
        <v>0.34</v>
      </c>
      <c r="G458" t="n">
        <v>29.95</v>
      </c>
      <c r="H458" t="n">
        <v>14.33</v>
      </c>
      <c r="I458" t="n">
        <v>9.84</v>
      </c>
      <c r="J458" t="n">
        <v>3.05</v>
      </c>
      <c r="K458" t="n">
        <v>3.26</v>
      </c>
      <c r="L458" t="n">
        <v>0.18</v>
      </c>
      <c r="M458" t="n">
        <v>0.08</v>
      </c>
      <c r="N458" t="n">
        <v>0.44</v>
      </c>
      <c r="O458" t="n">
        <v>0.58</v>
      </c>
      <c r="P458" t="n">
        <v>-3.45</v>
      </c>
      <c r="Q458" t="n">
        <v>2.87</v>
      </c>
      <c r="R458" t="n">
        <v>31.56</v>
      </c>
      <c r="S458" t="n">
        <v>7.62</v>
      </c>
      <c r="T458" t="n">
        <v>17.29</v>
      </c>
      <c r="U458" t="n">
        <v>0.24</v>
      </c>
      <c r="V458" t="n">
        <v>0.74</v>
      </c>
      <c r="W458" t="n">
        <v>0.77</v>
      </c>
      <c r="X458" t="n">
        <v>29.5</v>
      </c>
      <c r="Y458" t="n">
        <v>20.5</v>
      </c>
      <c r="Z458" t="n">
        <v>15105656.09</v>
      </c>
      <c r="AA458" t="n">
        <v>5.22</v>
      </c>
      <c r="AB458" t="n">
        <v>1.65</v>
      </c>
      <c r="AC458" t="n">
        <v>-0.49</v>
      </c>
      <c r="AD458" t="n">
        <v>1502750370</v>
      </c>
    </row>
    <row r="459">
      <c r="A459" t="inlineStr">
        <is>
          <t>PMAM3</t>
        </is>
      </c>
      <c r="B459" t="n">
        <v>0.29</v>
      </c>
      <c r="D459" t="n">
        <v>-0.06</v>
      </c>
      <c r="E459" t="n">
        <v>-0.01</v>
      </c>
      <c r="F459" t="n">
        <v>0.07000000000000001</v>
      </c>
      <c r="G459" t="n">
        <v>-41.46</v>
      </c>
      <c r="H459" t="n">
        <v>-106.56</v>
      </c>
      <c r="I459" t="n">
        <v>-236.74</v>
      </c>
      <c r="J459" t="n">
        <v>-0.14</v>
      </c>
      <c r="K459" t="n">
        <v>-9.58</v>
      </c>
      <c r="L459" t="n">
        <v>-9.44</v>
      </c>
      <c r="N459" t="n">
        <v>0.15</v>
      </c>
      <c r="O459" t="n">
        <v>-0.01</v>
      </c>
      <c r="P459" t="n">
        <v>-0.09</v>
      </c>
      <c r="Q459" t="n">
        <v>0.03</v>
      </c>
      <c r="R459" t="n">
        <v>-17.65</v>
      </c>
      <c r="S459" t="n">
        <v>-110.3</v>
      </c>
      <c r="T459" t="n">
        <v>33.55</v>
      </c>
      <c r="U459" t="n">
        <v>-6.25</v>
      </c>
      <c r="V459" t="n">
        <v>7.25</v>
      </c>
      <c r="W459" t="n">
        <v>0.47</v>
      </c>
      <c r="X459" t="n">
        <v>-33.4</v>
      </c>
      <c r="Z459" t="n">
        <v>1618633</v>
      </c>
      <c r="AA459" t="n">
        <v>-25.38</v>
      </c>
      <c r="AB459" t="n">
        <v>-4.48</v>
      </c>
      <c r="AC459" t="n">
        <v>0</v>
      </c>
      <c r="AD459" t="n">
        <v>86187487.56999999</v>
      </c>
    </row>
    <row r="460">
      <c r="A460" t="inlineStr">
        <is>
          <t>PNVL3</t>
        </is>
      </c>
      <c r="B460" t="n">
        <v>11.45</v>
      </c>
      <c r="C460" t="n">
        <v>3.4</v>
      </c>
      <c r="D460" t="n">
        <v>13.01</v>
      </c>
      <c r="E460" t="n">
        <v>1.32</v>
      </c>
      <c r="F460" t="n">
        <v>0.47</v>
      </c>
      <c r="G460" t="n">
        <v>32.37</v>
      </c>
      <c r="H460" t="n">
        <v>4.73</v>
      </c>
      <c r="I460" t="n">
        <v>2.32</v>
      </c>
      <c r="J460" t="n">
        <v>6.39</v>
      </c>
      <c r="K460" t="n">
        <v>10.4</v>
      </c>
      <c r="L460" t="n">
        <v>4.01</v>
      </c>
      <c r="M460" t="n">
        <v>0.83</v>
      </c>
      <c r="N460" t="n">
        <v>0.3</v>
      </c>
      <c r="O460" t="n">
        <v>1.79</v>
      </c>
      <c r="P460" t="n">
        <v>-1.13</v>
      </c>
      <c r="Q460" t="n">
        <v>1.81</v>
      </c>
      <c r="R460" t="n">
        <v>10.18</v>
      </c>
      <c r="S460" t="n">
        <v>3.61</v>
      </c>
      <c r="T460" t="n">
        <v>8.539999999999999</v>
      </c>
      <c r="U460" t="n">
        <v>0.35</v>
      </c>
      <c r="V460" t="n">
        <v>0.65</v>
      </c>
      <c r="W460" t="n">
        <v>1.56</v>
      </c>
      <c r="X460" t="n">
        <v>14.35</v>
      </c>
      <c r="Y460" t="n">
        <v>18.71</v>
      </c>
      <c r="Z460" t="n">
        <v>6645635.91</v>
      </c>
      <c r="AA460" t="n">
        <v>8.65</v>
      </c>
      <c r="AB460" t="n">
        <v>0.88</v>
      </c>
      <c r="AC460" t="n">
        <v>0.36</v>
      </c>
      <c r="AD460" t="n">
        <v>1721822157.45</v>
      </c>
    </row>
    <row r="461">
      <c r="A461" t="inlineStr">
        <is>
          <t>PNVL4</t>
        </is>
      </c>
      <c r="B461" t="n">
        <v>18.62</v>
      </c>
      <c r="D461" t="n">
        <v>21.15</v>
      </c>
      <c r="E461" t="n">
        <v>2.15</v>
      </c>
      <c r="F461" t="n">
        <v>0.76</v>
      </c>
      <c r="G461" t="n">
        <v>32.37</v>
      </c>
      <c r="H461" t="n">
        <v>4.73</v>
      </c>
      <c r="I461" t="n">
        <v>2.32</v>
      </c>
      <c r="J461" t="n">
        <v>10.39</v>
      </c>
      <c r="K461" t="n">
        <v>10.4</v>
      </c>
      <c r="L461" t="n">
        <v>4.01</v>
      </c>
      <c r="M461" t="n">
        <v>0.83</v>
      </c>
      <c r="N461" t="n">
        <v>0.49</v>
      </c>
      <c r="O461" t="n">
        <v>2.91</v>
      </c>
      <c r="P461" t="n">
        <v>-1.84</v>
      </c>
      <c r="Q461" t="n">
        <v>1.81</v>
      </c>
      <c r="R461" t="n">
        <v>10.18</v>
      </c>
      <c r="S461" t="n">
        <v>3.61</v>
      </c>
      <c r="T461" t="n">
        <v>8.539999999999999</v>
      </c>
      <c r="U461" t="n">
        <v>0.35</v>
      </c>
      <c r="V461" t="n">
        <v>0.65</v>
      </c>
      <c r="W461" t="n">
        <v>1.56</v>
      </c>
      <c r="X461" t="n">
        <v>14.35</v>
      </c>
      <c r="Y461" t="n">
        <v>18.71</v>
      </c>
      <c r="AA461" t="n">
        <v>8.65</v>
      </c>
      <c r="AB461" t="n">
        <v>0.88</v>
      </c>
      <c r="AC461" t="n">
        <v>0.59</v>
      </c>
      <c r="AD461" t="n">
        <v>1721822157.45</v>
      </c>
    </row>
    <row r="462">
      <c r="A462" t="inlineStr">
        <is>
          <t>POMO3</t>
        </is>
      </c>
      <c r="B462" t="n">
        <v>4.92</v>
      </c>
      <c r="C462" t="n">
        <v>20.94</v>
      </c>
      <c r="D462" t="n">
        <v>4.93</v>
      </c>
      <c r="E462" t="n">
        <v>1.51</v>
      </c>
      <c r="F462" t="n">
        <v>0.65</v>
      </c>
      <c r="G462" t="n">
        <v>25.49</v>
      </c>
      <c r="H462" t="n">
        <v>15.36</v>
      </c>
      <c r="I462" t="n">
        <v>13.81</v>
      </c>
      <c r="J462" t="n">
        <v>4.43</v>
      </c>
      <c r="K462" t="n">
        <v>5.8</v>
      </c>
      <c r="L462" t="n">
        <v>1.12</v>
      </c>
      <c r="M462" t="n">
        <v>0.38</v>
      </c>
      <c r="N462" t="n">
        <v>0.68</v>
      </c>
      <c r="O462" t="n">
        <v>2.22</v>
      </c>
      <c r="P462" t="n">
        <v>-1.59</v>
      </c>
      <c r="Q462" t="n">
        <v>1.97</v>
      </c>
      <c r="R462" t="n">
        <v>30.72</v>
      </c>
      <c r="S462" t="n">
        <v>13.13</v>
      </c>
      <c r="T462" t="n">
        <v>13.41</v>
      </c>
      <c r="U462" t="n">
        <v>0.43</v>
      </c>
      <c r="V462" t="n">
        <v>0.57</v>
      </c>
      <c r="W462" t="n">
        <v>0.95</v>
      </c>
      <c r="X462" t="n">
        <v>20.33</v>
      </c>
      <c r="Y462" t="n">
        <v>64.41</v>
      </c>
      <c r="Z462" t="n">
        <v>6546589.95</v>
      </c>
      <c r="AA462" t="n">
        <v>3.25</v>
      </c>
      <c r="AB462" t="n">
        <v>1</v>
      </c>
      <c r="AC462" t="n">
        <v>0.48</v>
      </c>
      <c r="AD462" t="n">
        <v>6497560213.61</v>
      </c>
    </row>
    <row r="463">
      <c r="A463" t="inlineStr">
        <is>
          <t>POMO4</t>
        </is>
      </c>
      <c r="B463" t="n">
        <v>5.34</v>
      </c>
      <c r="C463" t="n">
        <v>19.32</v>
      </c>
      <c r="D463" t="n">
        <v>5.34</v>
      </c>
      <c r="E463" t="n">
        <v>1.64</v>
      </c>
      <c r="F463" t="n">
        <v>0.7</v>
      </c>
      <c r="G463" t="n">
        <v>25.49</v>
      </c>
      <c r="H463" t="n">
        <v>15.36</v>
      </c>
      <c r="I463" t="n">
        <v>13.81</v>
      </c>
      <c r="J463" t="n">
        <v>4.8</v>
      </c>
      <c r="K463" t="n">
        <v>5.8</v>
      </c>
      <c r="L463" t="n">
        <v>1.12</v>
      </c>
      <c r="M463" t="n">
        <v>0.38</v>
      </c>
      <c r="N463" t="n">
        <v>0.74</v>
      </c>
      <c r="O463" t="n">
        <v>2.41</v>
      </c>
      <c r="P463" t="n">
        <v>-1.72</v>
      </c>
      <c r="Q463" t="n">
        <v>1.97</v>
      </c>
      <c r="R463" t="n">
        <v>30.72</v>
      </c>
      <c r="S463" t="n">
        <v>13.13</v>
      </c>
      <c r="T463" t="n">
        <v>13.41</v>
      </c>
      <c r="U463" t="n">
        <v>0.43</v>
      </c>
      <c r="V463" t="n">
        <v>0.57</v>
      </c>
      <c r="W463" t="n">
        <v>0.95</v>
      </c>
      <c r="X463" t="n">
        <v>20.33</v>
      </c>
      <c r="Y463" t="n">
        <v>64.41</v>
      </c>
      <c r="Z463" t="n">
        <v>47091782.23</v>
      </c>
      <c r="AA463" t="n">
        <v>3.25</v>
      </c>
      <c r="AB463" t="n">
        <v>1</v>
      </c>
      <c r="AC463" t="n">
        <v>0.52</v>
      </c>
      <c r="AD463" t="n">
        <v>6497560213.61</v>
      </c>
    </row>
    <row r="464">
      <c r="A464" t="inlineStr">
        <is>
          <t>PORT3</t>
        </is>
      </c>
      <c r="B464" t="n">
        <v>18.75</v>
      </c>
      <c r="D464" t="n">
        <v>12.35</v>
      </c>
      <c r="E464" t="n">
        <v>3.01</v>
      </c>
      <c r="F464" t="n">
        <v>1.3</v>
      </c>
      <c r="G464" t="n">
        <v>48.59</v>
      </c>
      <c r="H464" t="n">
        <v>33.87</v>
      </c>
      <c r="I464" t="n">
        <v>21.21</v>
      </c>
      <c r="J464" t="n">
        <v>7.74</v>
      </c>
      <c r="K464" t="n">
        <v>9.779999999999999</v>
      </c>
      <c r="L464" t="n">
        <v>2.05</v>
      </c>
      <c r="M464" t="n">
        <v>0.8</v>
      </c>
      <c r="N464" t="n">
        <v>2.62</v>
      </c>
      <c r="O464" t="n">
        <v>-299.66</v>
      </c>
      <c r="P464" t="n">
        <v>-1.57</v>
      </c>
      <c r="Q464" t="n">
        <v>0.97</v>
      </c>
      <c r="R464" t="n">
        <v>24.37</v>
      </c>
      <c r="S464" t="n">
        <v>10.56</v>
      </c>
      <c r="T464" t="n">
        <v>15.74</v>
      </c>
      <c r="U464" t="n">
        <v>0.43</v>
      </c>
      <c r="V464" t="n">
        <v>0.57</v>
      </c>
      <c r="W464" t="n">
        <v>0.5</v>
      </c>
      <c r="X464" t="n">
        <v>12.8</v>
      </c>
      <c r="Y464" t="n">
        <v>42.19</v>
      </c>
      <c r="Z464" t="n">
        <v>1155515</v>
      </c>
      <c r="AA464" t="n">
        <v>6.23</v>
      </c>
      <c r="AB464" t="n">
        <v>1.52</v>
      </c>
      <c r="AC464" t="n">
        <v>0.3</v>
      </c>
      <c r="AD464" t="n">
        <v>8304973125</v>
      </c>
    </row>
    <row r="465">
      <c r="A465" t="inlineStr">
        <is>
          <t>POSI3</t>
        </is>
      </c>
      <c r="B465" t="n">
        <v>3.54</v>
      </c>
      <c r="C465" t="n">
        <v>5.07</v>
      </c>
      <c r="D465" t="n">
        <v>51.06</v>
      </c>
      <c r="E465" t="n">
        <v>0.32</v>
      </c>
      <c r="F465" t="n">
        <v>0.11</v>
      </c>
      <c r="G465" t="n">
        <v>24.87</v>
      </c>
      <c r="H465" t="n">
        <v>7.33</v>
      </c>
      <c r="I465" t="n">
        <v>0.29</v>
      </c>
      <c r="J465" t="n">
        <v>2.03</v>
      </c>
      <c r="K465" t="n">
        <v>4.55</v>
      </c>
      <c r="L465" t="n">
        <v>2.5</v>
      </c>
      <c r="M465" t="n">
        <v>0.4</v>
      </c>
      <c r="N465" t="n">
        <v>0.15</v>
      </c>
      <c r="O465" t="n">
        <v>0.44</v>
      </c>
      <c r="P465" t="n">
        <v>-0.31</v>
      </c>
      <c r="Q465" t="n">
        <v>1.69</v>
      </c>
      <c r="R465" t="n">
        <v>0.63</v>
      </c>
      <c r="S465" t="n">
        <v>0.22</v>
      </c>
      <c r="T465" t="n">
        <v>8.42</v>
      </c>
      <c r="U465" t="n">
        <v>0.36</v>
      </c>
      <c r="V465" t="n">
        <v>0.64</v>
      </c>
      <c r="W465" t="n">
        <v>0.77</v>
      </c>
      <c r="X465" t="n">
        <v>8.880000000000001</v>
      </c>
      <c r="Y465" t="n">
        <v>-44.75</v>
      </c>
      <c r="Z465" t="n">
        <v>1867754.77</v>
      </c>
      <c r="AA465" t="n">
        <v>10.98</v>
      </c>
      <c r="AB465" t="n">
        <v>0.07000000000000001</v>
      </c>
      <c r="AC465" t="n">
        <v>0.22</v>
      </c>
      <c r="AD465" t="n">
        <v>506226000</v>
      </c>
    </row>
    <row r="466">
      <c r="A466" t="inlineStr">
        <is>
          <t>POWE3</t>
        </is>
      </c>
      <c r="B466" t="n">
        <v>10.9</v>
      </c>
      <c r="D466" t="n">
        <v>23.92</v>
      </c>
      <c r="E466" t="n">
        <v>0.99</v>
      </c>
      <c r="F466" t="n">
        <v>0.38</v>
      </c>
      <c r="G466" t="n">
        <v>6.82</v>
      </c>
      <c r="H466" t="n">
        <v>3.52</v>
      </c>
      <c r="I466" t="n">
        <v>2.59</v>
      </c>
      <c r="J466" t="n">
        <v>17.55</v>
      </c>
      <c r="K466" t="n">
        <v>10.6</v>
      </c>
      <c r="L466" t="n">
        <v>-6.96</v>
      </c>
      <c r="M466" t="n">
        <v>-0.39</v>
      </c>
      <c r="N466" t="n">
        <v>0.62</v>
      </c>
      <c r="O466" t="n">
        <v>6.57</v>
      </c>
      <c r="P466" t="n">
        <v>-0.74</v>
      </c>
      <c r="Q466" t="n">
        <v>1.13</v>
      </c>
      <c r="R466" t="n">
        <v>4.13</v>
      </c>
      <c r="S466" t="n">
        <v>1.58</v>
      </c>
      <c r="T466" t="n">
        <v>3.81</v>
      </c>
      <c r="U466" t="n">
        <v>0.38</v>
      </c>
      <c r="V466" t="n">
        <v>0.62</v>
      </c>
      <c r="W466" t="n">
        <v>0.61</v>
      </c>
      <c r="AA466" t="n">
        <v>11.02</v>
      </c>
      <c r="AB466" t="n">
        <v>0.46</v>
      </c>
      <c r="AC466" t="n">
        <v>-1.77</v>
      </c>
      <c r="AD466" t="n">
        <v>977237930.4</v>
      </c>
    </row>
    <row r="467">
      <c r="A467" t="inlineStr">
        <is>
          <t>PPAR3</t>
        </is>
      </c>
      <c r="B467" t="n">
        <v>14.6</v>
      </c>
      <c r="C467" t="n">
        <v>80.13</v>
      </c>
      <c r="D467" t="n">
        <v>1.21</v>
      </c>
      <c r="E467" t="n">
        <v>0.1</v>
      </c>
      <c r="F467" t="n">
        <v>0.07000000000000001</v>
      </c>
      <c r="J467" t="n">
        <v>1.37</v>
      </c>
      <c r="K467" t="n">
        <v>0.63</v>
      </c>
      <c r="L467" t="n">
        <v>-0.74</v>
      </c>
      <c r="M467" t="n">
        <v>-0.05</v>
      </c>
      <c r="O467" t="n">
        <v>2</v>
      </c>
      <c r="P467" t="n">
        <v>-0.07000000000000001</v>
      </c>
      <c r="Q467" t="n">
        <v>3.32</v>
      </c>
      <c r="R467" t="n">
        <v>8.1</v>
      </c>
      <c r="S467" t="n">
        <v>5.69</v>
      </c>
      <c r="T467" t="n">
        <v>7.03</v>
      </c>
      <c r="U467" t="n">
        <v>0.7</v>
      </c>
      <c r="V467" t="n">
        <v>0.3</v>
      </c>
      <c r="W467" t="n">
        <v>0</v>
      </c>
      <c r="AA467" t="n">
        <v>148.64</v>
      </c>
      <c r="AB467" t="n">
        <v>12.04</v>
      </c>
      <c r="AC467" t="n">
        <v>0.01</v>
      </c>
      <c r="AD467" t="n">
        <v>4721494</v>
      </c>
    </row>
    <row r="468">
      <c r="A468" t="inlineStr">
        <is>
          <t>PPAR4</t>
        </is>
      </c>
      <c r="B468" t="n">
        <v>0</v>
      </c>
      <c r="D468" t="n">
        <v>0</v>
      </c>
      <c r="E468" t="n">
        <v>0</v>
      </c>
      <c r="F468" t="n">
        <v>0</v>
      </c>
      <c r="J468" t="n">
        <v>0</v>
      </c>
      <c r="K468" t="n">
        <v>0.63</v>
      </c>
      <c r="L468" t="n">
        <v>-0.74</v>
      </c>
      <c r="M468" t="n">
        <v>-0.05</v>
      </c>
      <c r="O468" t="n">
        <v>0</v>
      </c>
      <c r="P468" t="n">
        <v>0</v>
      </c>
      <c r="Q468" t="n">
        <v>3.32</v>
      </c>
      <c r="R468" t="n">
        <v>8.1</v>
      </c>
      <c r="S468" t="n">
        <v>5.69</v>
      </c>
      <c r="T468" t="n">
        <v>7.03</v>
      </c>
      <c r="U468" t="n">
        <v>0.7</v>
      </c>
      <c r="V468" t="n">
        <v>0.3</v>
      </c>
      <c r="W468" t="n">
        <v>0</v>
      </c>
      <c r="AA468" t="n">
        <v>148.64</v>
      </c>
      <c r="AB468" t="n">
        <v>12.04</v>
      </c>
      <c r="AC468" t="n">
        <v>0</v>
      </c>
      <c r="AD468" t="n">
        <v>4721494</v>
      </c>
    </row>
    <row r="469">
      <c r="A469" t="inlineStr">
        <is>
          <t>PPLA11</t>
        </is>
      </c>
      <c r="B469" t="n">
        <v>49</v>
      </c>
      <c r="D469" t="n">
        <v>0.15</v>
      </c>
      <c r="E469" t="n">
        <v>114.92</v>
      </c>
      <c r="F469" t="n">
        <v>3.27</v>
      </c>
      <c r="J469" t="n">
        <v>0.15</v>
      </c>
      <c r="K469" t="n">
        <v>0.15</v>
      </c>
      <c r="L469" t="n">
        <v>0</v>
      </c>
      <c r="M469" t="n">
        <v>-0.13</v>
      </c>
      <c r="O469" t="n">
        <v>-919.34</v>
      </c>
      <c r="P469" t="n">
        <v>-102.15</v>
      </c>
      <c r="Q469" t="n">
        <v>1</v>
      </c>
      <c r="R469" t="n">
        <v>74950</v>
      </c>
      <c r="S469" t="n">
        <v>2133.81</v>
      </c>
      <c r="T469" t="n">
        <v>74950</v>
      </c>
      <c r="U469" t="n">
        <v>0.03</v>
      </c>
      <c r="V469" t="n">
        <v>0.97</v>
      </c>
      <c r="W469" t="n">
        <v>0</v>
      </c>
      <c r="Z469" t="n">
        <v>237</v>
      </c>
      <c r="AA469" t="n">
        <v>0.43</v>
      </c>
      <c r="AB469" t="n">
        <v>319.58</v>
      </c>
      <c r="AC469" t="n">
        <v>0</v>
      </c>
      <c r="AD469" t="n">
        <v>919338</v>
      </c>
    </row>
    <row r="470">
      <c r="A470" t="inlineStr">
        <is>
          <t>PRIO3</t>
        </is>
      </c>
      <c r="B470" t="n">
        <v>58.27</v>
      </c>
      <c r="D470" t="n">
        <v>19.63</v>
      </c>
      <c r="E470" t="n">
        <v>1.91</v>
      </c>
      <c r="F470" t="n">
        <v>0.8</v>
      </c>
      <c r="G470" t="n">
        <v>25.55</v>
      </c>
      <c r="H470" t="n">
        <v>18.08</v>
      </c>
      <c r="I470" t="n">
        <v>14.65</v>
      </c>
      <c r="J470" t="n">
        <v>15.9</v>
      </c>
      <c r="K470" t="n">
        <v>23.49</v>
      </c>
      <c r="L470" t="n">
        <v>7.54</v>
      </c>
      <c r="M470" t="n">
        <v>0.91</v>
      </c>
      <c r="N470" t="n">
        <v>2.88</v>
      </c>
      <c r="O470" t="n">
        <v>9.960000000000001</v>
      </c>
      <c r="P470" t="n">
        <v>-0.96</v>
      </c>
      <c r="Q470" t="n">
        <v>1.92</v>
      </c>
      <c r="R470" t="n">
        <v>9.720000000000001</v>
      </c>
      <c r="S470" t="n">
        <v>4.08</v>
      </c>
      <c r="T470" t="n">
        <v>2.82</v>
      </c>
      <c r="U470" t="n">
        <v>0.42</v>
      </c>
      <c r="V470" t="n">
        <v>0.58</v>
      </c>
      <c r="W470" t="n">
        <v>0.28</v>
      </c>
      <c r="X470" t="n">
        <v>52.26</v>
      </c>
      <c r="Y470" t="n">
        <v>41.73</v>
      </c>
      <c r="Z470" t="n">
        <v>377197877.23</v>
      </c>
      <c r="AA470" t="n">
        <v>30.52</v>
      </c>
      <c r="AB470" t="n">
        <v>2.97</v>
      </c>
      <c r="AC470" t="n">
        <v>-0.25</v>
      </c>
      <c r="AD470" t="n">
        <v>50962448311.83</v>
      </c>
    </row>
    <row r="471">
      <c r="A471" t="inlineStr">
        <is>
          <t>PRNR3</t>
        </is>
      </c>
      <c r="B471" t="n">
        <v>18.83</v>
      </c>
      <c r="D471" t="n">
        <v>24.87</v>
      </c>
      <c r="E471" t="n">
        <v>1.98</v>
      </c>
      <c r="F471" t="n">
        <v>0.57</v>
      </c>
      <c r="G471" t="n">
        <v>18.6</v>
      </c>
      <c r="H471" t="n">
        <v>9.06</v>
      </c>
      <c r="I471" t="n">
        <v>2.67</v>
      </c>
      <c r="J471" t="n">
        <v>7.33</v>
      </c>
      <c r="K471" t="n">
        <v>10.91</v>
      </c>
      <c r="L471" t="n">
        <v>3.58</v>
      </c>
      <c r="M471" t="n">
        <v>0.97</v>
      </c>
      <c r="N471" t="n">
        <v>0.66</v>
      </c>
      <c r="O471" t="n">
        <v>4.04</v>
      </c>
      <c r="P471" t="n">
        <v>-1.03</v>
      </c>
      <c r="Q471" t="n">
        <v>1.47</v>
      </c>
      <c r="R471" t="n">
        <v>7.98</v>
      </c>
      <c r="S471" t="n">
        <v>2.3</v>
      </c>
      <c r="T471" t="n">
        <v>8.02</v>
      </c>
      <c r="U471" t="n">
        <v>0.29</v>
      </c>
      <c r="V471" t="n">
        <v>0.67</v>
      </c>
      <c r="W471" t="n">
        <v>0.86</v>
      </c>
      <c r="X471" t="n">
        <v>45.21</v>
      </c>
      <c r="Z471" t="n">
        <v>5779389.18</v>
      </c>
      <c r="AA471" t="n">
        <v>9.49</v>
      </c>
      <c r="AB471" t="n">
        <v>0.76</v>
      </c>
      <c r="AC471" t="n">
        <v>0.08</v>
      </c>
      <c r="AD471" t="n">
        <v>1074207890.6</v>
      </c>
    </row>
    <row r="472">
      <c r="A472" t="inlineStr">
        <is>
          <t>PSSA3</t>
        </is>
      </c>
      <c r="B472" t="n">
        <v>53.56</v>
      </c>
      <c r="C472" t="n">
        <v>5.62</v>
      </c>
      <c r="D472" t="n">
        <v>9.41</v>
      </c>
      <c r="E472" t="n">
        <v>2.23</v>
      </c>
      <c r="F472" t="n">
        <v>0.6</v>
      </c>
      <c r="G472" t="n">
        <v>100</v>
      </c>
      <c r="H472" t="n">
        <v>7.63</v>
      </c>
      <c r="I472" t="n">
        <v>8.81</v>
      </c>
      <c r="J472" t="n">
        <v>10.86</v>
      </c>
      <c r="K472" t="n">
        <v>6.93</v>
      </c>
      <c r="L472" t="n">
        <v>-4.09</v>
      </c>
      <c r="M472" t="n">
        <v>-0.84</v>
      </c>
      <c r="N472" t="n">
        <v>0.83</v>
      </c>
      <c r="O472" t="n">
        <v>5.22</v>
      </c>
      <c r="P472" t="n">
        <v>-1.48</v>
      </c>
      <c r="Q472" t="n">
        <v>1.24</v>
      </c>
      <c r="R472" t="n">
        <v>23.7</v>
      </c>
      <c r="S472" t="n">
        <v>6.41</v>
      </c>
      <c r="T472" t="n">
        <v>14.03</v>
      </c>
      <c r="U472" t="n">
        <v>0.27</v>
      </c>
      <c r="V472" t="n">
        <v>0.73</v>
      </c>
      <c r="W472" t="n">
        <v>0.73</v>
      </c>
      <c r="X472" t="n">
        <v>17.03</v>
      </c>
      <c r="Y472" t="n">
        <v>16.88</v>
      </c>
      <c r="Z472" t="n">
        <v>68677293.86</v>
      </c>
      <c r="AA472" t="n">
        <v>24.03</v>
      </c>
      <c r="AB472" t="n">
        <v>5.7</v>
      </c>
      <c r="AC472" t="n">
        <v>0.31</v>
      </c>
      <c r="AD472" t="n">
        <v>35148418221.6</v>
      </c>
    </row>
    <row r="473">
      <c r="A473" t="inlineStr">
        <is>
          <t>PTBL3</t>
        </is>
      </c>
      <c r="B473" t="n">
        <v>1.65</v>
      </c>
      <c r="D473" t="n">
        <v>-0.78</v>
      </c>
      <c r="E473" t="n">
        <v>-6.29</v>
      </c>
      <c r="F473" t="n">
        <v>0.06</v>
      </c>
      <c r="G473" t="n">
        <v>34.74</v>
      </c>
      <c r="H473" t="n">
        <v>5</v>
      </c>
      <c r="I473" t="n">
        <v>-11.49</v>
      </c>
      <c r="J473" t="n">
        <v>1.78</v>
      </c>
      <c r="K473" t="n">
        <v>10.76</v>
      </c>
      <c r="L473" t="n">
        <v>8.960000000000001</v>
      </c>
      <c r="N473" t="n">
        <v>0.09</v>
      </c>
      <c r="O473" t="n">
        <v>-4.01</v>
      </c>
      <c r="P473" t="n">
        <v>-0.1</v>
      </c>
      <c r="Q473" t="n">
        <v>0.96</v>
      </c>
      <c r="R473" t="n">
        <v>-812.08</v>
      </c>
      <c r="S473" t="n">
        <v>-8.35</v>
      </c>
      <c r="T473" t="n">
        <v>2.22</v>
      </c>
      <c r="U473" t="n">
        <v>-0.01</v>
      </c>
      <c r="V473" t="n">
        <v>1.01</v>
      </c>
      <c r="W473" t="n">
        <v>0.73</v>
      </c>
      <c r="X473" t="n">
        <v>14.37</v>
      </c>
      <c r="Z473" t="n">
        <v>412201.18</v>
      </c>
      <c r="AA473" t="n">
        <v>-0.26</v>
      </c>
      <c r="AB473" t="n">
        <v>-2.13</v>
      </c>
      <c r="AC473" t="n">
        <v>0</v>
      </c>
      <c r="AD473" t="n">
        <v>235448099.62</v>
      </c>
    </row>
    <row r="474">
      <c r="A474" t="inlineStr">
        <is>
          <t>PTCA11</t>
        </is>
      </c>
      <c r="B474" t="n">
        <v>0</v>
      </c>
      <c r="D474" t="n">
        <v>0</v>
      </c>
      <c r="E474" t="n">
        <v>0</v>
      </c>
      <c r="F474" t="n">
        <v>0</v>
      </c>
      <c r="G474" t="n">
        <v>46.99</v>
      </c>
      <c r="H474" t="n">
        <v>10.44</v>
      </c>
      <c r="I474" t="n">
        <v>4.59</v>
      </c>
      <c r="J474" t="n">
        <v>0</v>
      </c>
      <c r="K474" t="n">
        <v>2.16</v>
      </c>
      <c r="L474" t="n">
        <v>2.16</v>
      </c>
      <c r="M474" t="n">
        <v>0.87</v>
      </c>
      <c r="N474" t="n">
        <v>0</v>
      </c>
      <c r="O474" t="n">
        <v>0</v>
      </c>
      <c r="P474" t="n">
        <v>0</v>
      </c>
      <c r="Q474" t="n">
        <v>2.43</v>
      </c>
      <c r="R474" t="n">
        <v>17.76</v>
      </c>
      <c r="S474" t="n">
        <v>5.6</v>
      </c>
      <c r="T474" t="n">
        <v>8.380000000000001</v>
      </c>
      <c r="U474" t="n">
        <v>0.32</v>
      </c>
      <c r="V474" t="n">
        <v>0.68</v>
      </c>
      <c r="W474" t="n">
        <v>1.22</v>
      </c>
      <c r="X474" t="n">
        <v>26.36</v>
      </c>
      <c r="Y474" t="n">
        <v>29.84</v>
      </c>
      <c r="AA474" t="n">
        <v>30.17</v>
      </c>
      <c r="AB474" t="n">
        <v>5.36</v>
      </c>
      <c r="AC474" t="n">
        <v>0</v>
      </c>
      <c r="AD474" t="n">
        <v>0</v>
      </c>
    </row>
    <row r="475">
      <c r="A475" t="inlineStr">
        <is>
          <t>PTCA3</t>
        </is>
      </c>
      <c r="B475" t="n">
        <v>0</v>
      </c>
      <c r="D475" t="n">
        <v>0</v>
      </c>
      <c r="E475" t="n">
        <v>0</v>
      </c>
      <c r="F475" t="n">
        <v>0</v>
      </c>
      <c r="G475" t="n">
        <v>46.99</v>
      </c>
      <c r="H475" t="n">
        <v>10.44</v>
      </c>
      <c r="I475" t="n">
        <v>4.59</v>
      </c>
      <c r="J475" t="n">
        <v>0</v>
      </c>
      <c r="K475" t="n">
        <v>2.16</v>
      </c>
      <c r="L475" t="n">
        <v>2.16</v>
      </c>
      <c r="M475" t="n">
        <v>0.87</v>
      </c>
      <c r="N475" t="n">
        <v>0</v>
      </c>
      <c r="O475" t="n">
        <v>0</v>
      </c>
      <c r="P475" t="n">
        <v>0</v>
      </c>
      <c r="Q475" t="n">
        <v>2.43</v>
      </c>
      <c r="R475" t="n">
        <v>17.76</v>
      </c>
      <c r="S475" t="n">
        <v>5.6</v>
      </c>
      <c r="T475" t="n">
        <v>8.380000000000001</v>
      </c>
      <c r="U475" t="n">
        <v>0.32</v>
      </c>
      <c r="V475" t="n">
        <v>0.68</v>
      </c>
      <c r="W475" t="n">
        <v>1.22</v>
      </c>
      <c r="X475" t="n">
        <v>26.36</v>
      </c>
      <c r="Y475" t="n">
        <v>29.84</v>
      </c>
      <c r="AA475" t="n">
        <v>30.17</v>
      </c>
      <c r="AB475" t="n">
        <v>5.36</v>
      </c>
      <c r="AC475" t="n">
        <v>0</v>
      </c>
      <c r="AD475" t="n">
        <v>0</v>
      </c>
    </row>
    <row r="476">
      <c r="A476" t="inlineStr">
        <is>
          <t>PTNT3</t>
        </is>
      </c>
      <c r="B476" t="n">
        <v>8.42</v>
      </c>
      <c r="C476" t="n">
        <v>3.15</v>
      </c>
      <c r="D476" t="n">
        <v>14.31</v>
      </c>
      <c r="E476" t="n">
        <v>0.93</v>
      </c>
      <c r="F476" t="n">
        <v>0.35</v>
      </c>
      <c r="G476" t="n">
        <v>15.94</v>
      </c>
      <c r="H476" t="n">
        <v>4.43</v>
      </c>
      <c r="I476" t="n">
        <v>3.41</v>
      </c>
      <c r="J476" t="n">
        <v>11.02</v>
      </c>
      <c r="K476" t="n">
        <v>15.16</v>
      </c>
      <c r="L476" t="n">
        <v>4.07</v>
      </c>
      <c r="M476" t="n">
        <v>0.34</v>
      </c>
      <c r="N476" t="n">
        <v>0.49</v>
      </c>
      <c r="O476" t="n">
        <v>0.8100000000000001</v>
      </c>
      <c r="P476" t="n">
        <v>-0.89</v>
      </c>
      <c r="Q476" t="n">
        <v>3.47</v>
      </c>
      <c r="R476" t="n">
        <v>6.48</v>
      </c>
      <c r="S476" t="n">
        <v>2.44</v>
      </c>
      <c r="T476" t="n">
        <v>0.93</v>
      </c>
      <c r="U476" t="n">
        <v>0.38</v>
      </c>
      <c r="V476" t="n">
        <v>0.57</v>
      </c>
      <c r="W476" t="n">
        <v>0.71</v>
      </c>
      <c r="X476" t="n">
        <v>12.5</v>
      </c>
      <c r="Z476" t="n">
        <v>0</v>
      </c>
      <c r="AA476" t="n">
        <v>9.07</v>
      </c>
      <c r="AB476" t="n">
        <v>0.59</v>
      </c>
      <c r="AC476" t="n">
        <v>-0.54</v>
      </c>
      <c r="AD476" t="n">
        <v>407113794.08</v>
      </c>
    </row>
    <row r="477">
      <c r="A477" t="inlineStr">
        <is>
          <t>PTNT4</t>
        </is>
      </c>
      <c r="B477" t="n">
        <v>8.5</v>
      </c>
      <c r="D477" t="n">
        <v>14.45</v>
      </c>
      <c r="E477" t="n">
        <v>0.9399999999999999</v>
      </c>
      <c r="F477" t="n">
        <v>0.35</v>
      </c>
      <c r="G477" t="n">
        <v>15.94</v>
      </c>
      <c r="H477" t="n">
        <v>4.43</v>
      </c>
      <c r="I477" t="n">
        <v>3.41</v>
      </c>
      <c r="J477" t="n">
        <v>11.12</v>
      </c>
      <c r="K477" t="n">
        <v>15.16</v>
      </c>
      <c r="L477" t="n">
        <v>4.07</v>
      </c>
      <c r="M477" t="n">
        <v>0.34</v>
      </c>
      <c r="N477" t="n">
        <v>0.49</v>
      </c>
      <c r="O477" t="n">
        <v>0.8100000000000001</v>
      </c>
      <c r="P477" t="n">
        <v>-0.9</v>
      </c>
      <c r="Q477" t="n">
        <v>3.47</v>
      </c>
      <c r="R477" t="n">
        <v>6.48</v>
      </c>
      <c r="S477" t="n">
        <v>2.44</v>
      </c>
      <c r="T477" t="n">
        <v>0.93</v>
      </c>
      <c r="U477" t="n">
        <v>0.38</v>
      </c>
      <c r="V477" t="n">
        <v>0.57</v>
      </c>
      <c r="W477" t="n">
        <v>0.71</v>
      </c>
      <c r="X477" t="n">
        <v>12.5</v>
      </c>
      <c r="Z477" t="n">
        <v>0</v>
      </c>
      <c r="AA477" t="n">
        <v>9.07</v>
      </c>
      <c r="AB477" t="n">
        <v>0.59</v>
      </c>
      <c r="AC477" t="n">
        <v>-0.54</v>
      </c>
      <c r="AD477" t="n">
        <v>407113794.08</v>
      </c>
    </row>
    <row r="478">
      <c r="A478" t="inlineStr">
        <is>
          <t>QUAL3</t>
        </is>
      </c>
      <c r="B478" t="n">
        <v>1.45</v>
      </c>
      <c r="C478" t="n">
        <v>1.24</v>
      </c>
      <c r="D478" t="n">
        <v>27.03</v>
      </c>
      <c r="E478" t="n">
        <v>0.32</v>
      </c>
      <c r="F478" t="n">
        <v>0.1</v>
      </c>
      <c r="G478" t="n">
        <v>87.58</v>
      </c>
      <c r="H478" t="n">
        <v>21.25</v>
      </c>
      <c r="I478" t="n">
        <v>1.1</v>
      </c>
      <c r="J478" t="n">
        <v>1.39</v>
      </c>
      <c r="K478" t="n">
        <v>4.09</v>
      </c>
      <c r="L478" t="n">
        <v>2.69</v>
      </c>
      <c r="M478" t="n">
        <v>0.61</v>
      </c>
      <c r="N478" t="n">
        <v>0.3</v>
      </c>
      <c r="O478" t="n">
        <v>-3.59</v>
      </c>
      <c r="P478" t="n">
        <v>-0.15</v>
      </c>
      <c r="Q478" t="n">
        <v>0.92</v>
      </c>
      <c r="R478" t="n">
        <v>1.17</v>
      </c>
      <c r="S478" t="n">
        <v>0.38</v>
      </c>
      <c r="T478" t="n">
        <v>4.11</v>
      </c>
      <c r="U478" t="n">
        <v>0.33</v>
      </c>
      <c r="V478" t="n">
        <v>0.67</v>
      </c>
      <c r="W478" t="n">
        <v>0.35</v>
      </c>
      <c r="X478" t="n">
        <v>-6.77</v>
      </c>
      <c r="Y478" t="n">
        <v>-47.78</v>
      </c>
      <c r="Z478" t="n">
        <v>4022745.05</v>
      </c>
      <c r="AA478" t="n">
        <v>4.59</v>
      </c>
      <c r="AB478" t="n">
        <v>0.05</v>
      </c>
      <c r="AC478" t="n">
        <v>0.09</v>
      </c>
      <c r="AD478" t="n">
        <v>411820771.25</v>
      </c>
    </row>
    <row r="479">
      <c r="A479" t="inlineStr">
        <is>
          <t>QUSW3</t>
        </is>
      </c>
      <c r="B479" t="n">
        <v>0</v>
      </c>
      <c r="D479" t="n">
        <v>0</v>
      </c>
      <c r="E479" t="n">
        <v>0</v>
      </c>
      <c r="F479" t="n">
        <v>0</v>
      </c>
      <c r="G479" t="n">
        <v>103.91</v>
      </c>
      <c r="H479" t="n">
        <v>61.14</v>
      </c>
      <c r="I479" t="n">
        <v>35.49</v>
      </c>
      <c r="J479" t="n">
        <v>0</v>
      </c>
      <c r="K479" t="n">
        <v>1.7</v>
      </c>
      <c r="L479" t="n">
        <v>1.7</v>
      </c>
      <c r="M479" t="n">
        <v>0.5</v>
      </c>
      <c r="N479" t="n">
        <v>0</v>
      </c>
      <c r="O479" t="n">
        <v>0</v>
      </c>
      <c r="P479" t="n">
        <v>0</v>
      </c>
      <c r="Q479" t="n">
        <v>1.12</v>
      </c>
      <c r="R479" t="n">
        <v>17.21</v>
      </c>
      <c r="S479" t="n">
        <v>7.66</v>
      </c>
      <c r="T479" t="n">
        <v>15.74</v>
      </c>
      <c r="U479" t="n">
        <v>0.45</v>
      </c>
      <c r="V479" t="n">
        <v>0.55</v>
      </c>
      <c r="W479" t="n">
        <v>0.22</v>
      </c>
      <c r="X479" t="n">
        <v>-12.65</v>
      </c>
      <c r="Y479" t="n">
        <v>15.99</v>
      </c>
      <c r="AA479" t="n">
        <v>142.53</v>
      </c>
      <c r="AB479" t="n">
        <v>24.53</v>
      </c>
      <c r="AC479" t="n">
        <v>0</v>
      </c>
      <c r="AD479" t="n">
        <v>0</v>
      </c>
    </row>
    <row r="480">
      <c r="A480" t="inlineStr">
        <is>
          <t>QVQP3B</t>
        </is>
      </c>
      <c r="B480" t="n">
        <v>0.28</v>
      </c>
      <c r="D480" t="n">
        <v>-853.28</v>
      </c>
      <c r="E480" t="n">
        <v>648.49</v>
      </c>
      <c r="F480" t="n">
        <v>648.49</v>
      </c>
      <c r="J480" t="n">
        <v>-779.4400000000001</v>
      </c>
      <c r="K480" t="n">
        <v>-778.74</v>
      </c>
      <c r="L480" t="n">
        <v>0.7</v>
      </c>
      <c r="M480" t="n">
        <v>-0.58</v>
      </c>
      <c r="O480" t="n">
        <v>648.49</v>
      </c>
      <c r="R480" t="n">
        <v>-76</v>
      </c>
      <c r="S480" t="n">
        <v>-76</v>
      </c>
      <c r="T480" t="n">
        <v>-83.2</v>
      </c>
      <c r="U480" t="n">
        <v>1</v>
      </c>
      <c r="V480" t="n">
        <v>0</v>
      </c>
      <c r="W480" t="n">
        <v>0</v>
      </c>
      <c r="Z480" t="n">
        <v>0</v>
      </c>
      <c r="AA480" t="n">
        <v>0</v>
      </c>
      <c r="AB480" t="n">
        <v>0</v>
      </c>
      <c r="AC480" t="n">
        <v>32.37</v>
      </c>
      <c r="AD480" t="n">
        <v>81061498.28</v>
      </c>
    </row>
    <row r="481">
      <c r="A481" t="inlineStr">
        <is>
          <t>RADL3</t>
        </is>
      </c>
      <c r="B481" t="n">
        <v>17.71</v>
      </c>
      <c r="C481" t="n">
        <v>2.51</v>
      </c>
      <c r="D481" t="n">
        <v>24.05</v>
      </c>
      <c r="E481" t="n">
        <v>4.23</v>
      </c>
      <c r="F481" t="n">
        <v>1.23</v>
      </c>
      <c r="G481" t="n">
        <v>30.1</v>
      </c>
      <c r="H481" t="n">
        <v>6.07</v>
      </c>
      <c r="I481" t="n">
        <v>2.89</v>
      </c>
      <c r="J481" t="n">
        <v>11.43</v>
      </c>
      <c r="K481" t="n">
        <v>12.61</v>
      </c>
      <c r="L481" t="n">
        <v>1.15</v>
      </c>
      <c r="M481" t="n">
        <v>0.43</v>
      </c>
      <c r="N481" t="n">
        <v>0.6899999999999999</v>
      </c>
      <c r="O481" t="n">
        <v>6.34</v>
      </c>
      <c r="P481" t="n">
        <v>-3.13</v>
      </c>
      <c r="Q481" t="n">
        <v>1.47</v>
      </c>
      <c r="R481" t="n">
        <v>17.6</v>
      </c>
      <c r="S481" t="n">
        <v>5.11</v>
      </c>
      <c r="T481" t="n">
        <v>22.81</v>
      </c>
      <c r="U481" t="n">
        <v>0.29</v>
      </c>
      <c r="V481" t="n">
        <v>0.71</v>
      </c>
      <c r="W481" t="n">
        <v>1.77</v>
      </c>
      <c r="X481" t="n">
        <v>17.14</v>
      </c>
      <c r="Y481" t="n">
        <v>21.67</v>
      </c>
      <c r="Z481" t="n">
        <v>165384482.82</v>
      </c>
      <c r="AA481" t="n">
        <v>4.19</v>
      </c>
      <c r="AB481" t="n">
        <v>0.74</v>
      </c>
      <c r="AC481" t="n">
        <v>2.44</v>
      </c>
      <c r="AD481" t="n">
        <v>31139567702.88</v>
      </c>
    </row>
    <row r="482">
      <c r="A482" t="inlineStr">
        <is>
          <t>RAIL3</t>
        </is>
      </c>
      <c r="B482" t="n">
        <v>13.95</v>
      </c>
      <c r="C482" t="n">
        <v>0.78</v>
      </c>
      <c r="D482" t="n">
        <v>24.98</v>
      </c>
      <c r="E482" t="n">
        <v>1.87</v>
      </c>
      <c r="F482" t="n">
        <v>0.48</v>
      </c>
      <c r="G482" t="n">
        <v>45.56</v>
      </c>
      <c r="H482" t="n">
        <v>34.22</v>
      </c>
      <c r="I482" t="n">
        <v>7.34</v>
      </c>
      <c r="J482" t="n">
        <v>5.36</v>
      </c>
      <c r="K482" t="n">
        <v>8.99</v>
      </c>
      <c r="L482" t="n">
        <v>3.6</v>
      </c>
      <c r="M482" t="n">
        <v>1.26</v>
      </c>
      <c r="N482" t="n">
        <v>1.83</v>
      </c>
      <c r="O482" t="n">
        <v>11.47</v>
      </c>
      <c r="P482" t="n">
        <v>-0.57</v>
      </c>
      <c r="Q482" t="n">
        <v>1.37</v>
      </c>
      <c r="R482" t="n">
        <v>7.49</v>
      </c>
      <c r="S482" t="n">
        <v>1.94</v>
      </c>
      <c r="T482" t="n">
        <v>10.83</v>
      </c>
      <c r="U482" t="n">
        <v>0.26</v>
      </c>
      <c r="V482" t="n">
        <v>0.74</v>
      </c>
      <c r="W482" t="n">
        <v>0.26</v>
      </c>
      <c r="X482" t="n">
        <v>14.73</v>
      </c>
      <c r="Y482" t="n">
        <v>28.48</v>
      </c>
      <c r="Z482" t="n">
        <v>129134659.86</v>
      </c>
      <c r="AA482" t="n">
        <v>7.48</v>
      </c>
      <c r="AB482" t="n">
        <v>0.5600000000000001</v>
      </c>
      <c r="AC482" t="n">
        <v>-0.14</v>
      </c>
      <c r="AD482" t="n">
        <v>26097953782.68</v>
      </c>
    </row>
    <row r="483">
      <c r="A483" t="inlineStr">
        <is>
          <t>RAIZ4</t>
        </is>
      </c>
      <c r="B483" t="n">
        <v>0.26</v>
      </c>
      <c r="D483" t="n">
        <v>-0.1</v>
      </c>
      <c r="E483" t="n">
        <v>-0.34</v>
      </c>
      <c r="F483" t="n">
        <v>0.03</v>
      </c>
      <c r="G483" t="n">
        <v>4.79</v>
      </c>
      <c r="H483" t="n">
        <v>-3.8</v>
      </c>
      <c r="I483" t="n">
        <v>-11.98</v>
      </c>
      <c r="J483" t="n">
        <v>-0.33</v>
      </c>
      <c r="K483" t="n">
        <v>-7.6</v>
      </c>
      <c r="L483" t="n">
        <v>-7.27</v>
      </c>
      <c r="N483" t="n">
        <v>0.01</v>
      </c>
      <c r="O483" t="n">
        <v>-0.05</v>
      </c>
      <c r="P483" t="n">
        <v>-0.04</v>
      </c>
      <c r="Q483" t="n">
        <v>0.43</v>
      </c>
      <c r="R483" t="n">
        <v>-326.87</v>
      </c>
      <c r="S483" t="n">
        <v>-25.66</v>
      </c>
      <c r="T483" t="n">
        <v>-25.72</v>
      </c>
      <c r="U483" t="n">
        <v>-0.08</v>
      </c>
      <c r="V483" t="n">
        <v>1.08</v>
      </c>
      <c r="W483" t="n">
        <v>2.14</v>
      </c>
      <c r="X483" t="n">
        <v>20.36</v>
      </c>
      <c r="Z483" t="n">
        <v>4993564.5</v>
      </c>
      <c r="AA483" t="n">
        <v>-0.8</v>
      </c>
      <c r="AB483" t="n">
        <v>-2.61</v>
      </c>
      <c r="AC483" t="n">
        <v>0</v>
      </c>
      <c r="AD483" t="n">
        <v>2795177560.68</v>
      </c>
    </row>
    <row r="484">
      <c r="A484" t="inlineStr">
        <is>
          <t>RANI3</t>
        </is>
      </c>
      <c r="B484" t="n">
        <v>8.029999999999999</v>
      </c>
      <c r="C484" t="n">
        <v>5.98</v>
      </c>
      <c r="D484" t="n">
        <v>9.109999999999999</v>
      </c>
      <c r="E484" t="n">
        <v>1.25</v>
      </c>
      <c r="F484" t="n">
        <v>0.48</v>
      </c>
      <c r="G484" t="n">
        <v>39.03</v>
      </c>
      <c r="H484" t="n">
        <v>24.18</v>
      </c>
      <c r="I484" t="n">
        <v>12.12</v>
      </c>
      <c r="J484" t="n">
        <v>4.56</v>
      </c>
      <c r="K484" t="n">
        <v>7.24</v>
      </c>
      <c r="L484" t="n">
        <v>2.68</v>
      </c>
      <c r="M484" t="n">
        <v>0.74</v>
      </c>
      <c r="N484" t="n">
        <v>1.1</v>
      </c>
      <c r="O484" t="n">
        <v>2.66</v>
      </c>
      <c r="P484" t="n">
        <v>-0.72</v>
      </c>
      <c r="Q484" t="n">
        <v>2.19</v>
      </c>
      <c r="R484" t="n">
        <v>13.78</v>
      </c>
      <c r="S484" t="n">
        <v>5.27</v>
      </c>
      <c r="T484" t="n">
        <v>8.970000000000001</v>
      </c>
      <c r="U484" t="n">
        <v>0.38</v>
      </c>
      <c r="V484" t="n">
        <v>0.62</v>
      </c>
      <c r="W484" t="n">
        <v>0.43</v>
      </c>
      <c r="X484" t="n">
        <v>10.37</v>
      </c>
      <c r="Y484" t="n">
        <v>16.93</v>
      </c>
      <c r="Z484" t="n">
        <v>3429432.23</v>
      </c>
      <c r="AA484" t="n">
        <v>6.38</v>
      </c>
      <c r="AB484" t="n">
        <v>0.88</v>
      </c>
      <c r="AC484" t="n">
        <v>-0.25</v>
      </c>
      <c r="AD484" t="n">
        <v>1846314764.19</v>
      </c>
    </row>
    <row r="485">
      <c r="A485" t="inlineStr">
        <is>
          <t>RANI4</t>
        </is>
      </c>
      <c r="B485" t="n">
        <v>5.5</v>
      </c>
      <c r="D485" t="n">
        <v>6.25</v>
      </c>
      <c r="E485" t="n">
        <v>0.86</v>
      </c>
      <c r="F485" t="n">
        <v>0.33</v>
      </c>
      <c r="G485" t="n">
        <v>39.03</v>
      </c>
      <c r="H485" t="n">
        <v>24.18</v>
      </c>
      <c r="I485" t="n">
        <v>12.12</v>
      </c>
      <c r="J485" t="n">
        <v>3.13</v>
      </c>
      <c r="K485" t="n">
        <v>7.24</v>
      </c>
      <c r="L485" t="n">
        <v>2.68</v>
      </c>
      <c r="M485" t="n">
        <v>0.74</v>
      </c>
      <c r="N485" t="n">
        <v>0.76</v>
      </c>
      <c r="O485" t="n">
        <v>1.82</v>
      </c>
      <c r="P485" t="n">
        <v>-0.49</v>
      </c>
      <c r="Q485" t="n">
        <v>2.19</v>
      </c>
      <c r="R485" t="n">
        <v>13.78</v>
      </c>
      <c r="S485" t="n">
        <v>5.27</v>
      </c>
      <c r="T485" t="n">
        <v>8.970000000000001</v>
      </c>
      <c r="U485" t="n">
        <v>0.38</v>
      </c>
      <c r="V485" t="n">
        <v>0.62</v>
      </c>
      <c r="W485" t="n">
        <v>0.43</v>
      </c>
      <c r="X485" t="n">
        <v>10.37</v>
      </c>
      <c r="Y485" t="n">
        <v>16.93</v>
      </c>
      <c r="AA485" t="n">
        <v>6.38</v>
      </c>
      <c r="AB485" t="n">
        <v>0.88</v>
      </c>
      <c r="AC485" t="n">
        <v>-0.17</v>
      </c>
      <c r="AD485" t="n">
        <v>1846314764.19</v>
      </c>
    </row>
    <row r="486">
      <c r="A486" t="inlineStr">
        <is>
          <t>RAPT3</t>
        </is>
      </c>
      <c r="B486" t="n">
        <v>4.64</v>
      </c>
      <c r="D486" t="n">
        <v>-5.58</v>
      </c>
      <c r="E486" t="n">
        <v>0.52</v>
      </c>
      <c r="F486" t="n">
        <v>0.09</v>
      </c>
      <c r="G486" t="n">
        <v>25.08</v>
      </c>
      <c r="H486" t="n">
        <v>6.71</v>
      </c>
      <c r="I486" t="n">
        <v>-2.23</v>
      </c>
      <c r="J486" t="n">
        <v>1.86</v>
      </c>
      <c r="K486" t="n">
        <v>8.119999999999999</v>
      </c>
      <c r="L486" t="n">
        <v>6.21</v>
      </c>
      <c r="M486" t="n">
        <v>1.75</v>
      </c>
      <c r="N486" t="n">
        <v>0.12</v>
      </c>
      <c r="O486" t="n">
        <v>0.3</v>
      </c>
      <c r="P486" t="n">
        <v>-0.19</v>
      </c>
      <c r="Q486" t="n">
        <v>2.07</v>
      </c>
      <c r="R486" t="n">
        <v>-9.35</v>
      </c>
      <c r="S486" t="n">
        <v>-1.53</v>
      </c>
      <c r="T486" t="n">
        <v>5.81</v>
      </c>
      <c r="U486" t="n">
        <v>0.16</v>
      </c>
      <c r="V486" t="n">
        <v>0.76</v>
      </c>
      <c r="W486" t="n">
        <v>0.6899999999999999</v>
      </c>
      <c r="X486" t="n">
        <v>19.64</v>
      </c>
      <c r="Z486" t="n">
        <v>82169.05</v>
      </c>
      <c r="AA486" t="n">
        <v>8.890000000000001</v>
      </c>
      <c r="AB486" t="n">
        <v>-0.83</v>
      </c>
      <c r="AC486" t="n">
        <v>0.03</v>
      </c>
      <c r="AD486" t="n">
        <v>1674215502.03</v>
      </c>
    </row>
    <row r="487">
      <c r="A487" t="inlineStr">
        <is>
          <t>RAPT4</t>
        </is>
      </c>
      <c r="B487" t="n">
        <v>4.85</v>
      </c>
      <c r="D487" t="n">
        <v>-5.85</v>
      </c>
      <c r="E487" t="n">
        <v>0.55</v>
      </c>
      <c r="F487" t="n">
        <v>0.09</v>
      </c>
      <c r="G487" t="n">
        <v>25.08</v>
      </c>
      <c r="H487" t="n">
        <v>6.71</v>
      </c>
      <c r="I487" t="n">
        <v>-2.23</v>
      </c>
      <c r="J487" t="n">
        <v>1.94</v>
      </c>
      <c r="K487" t="n">
        <v>8.119999999999999</v>
      </c>
      <c r="L487" t="n">
        <v>6.21</v>
      </c>
      <c r="M487" t="n">
        <v>1.75</v>
      </c>
      <c r="N487" t="n">
        <v>0.13</v>
      </c>
      <c r="O487" t="n">
        <v>0.32</v>
      </c>
      <c r="P487" t="n">
        <v>-0.2</v>
      </c>
      <c r="Q487" t="n">
        <v>2.07</v>
      </c>
      <c r="R487" t="n">
        <v>-9.35</v>
      </c>
      <c r="S487" t="n">
        <v>-1.53</v>
      </c>
      <c r="T487" t="n">
        <v>5.81</v>
      </c>
      <c r="U487" t="n">
        <v>0.16</v>
      </c>
      <c r="V487" t="n">
        <v>0.76</v>
      </c>
      <c r="W487" t="n">
        <v>0.6899999999999999</v>
      </c>
      <c r="X487" t="n">
        <v>19.64</v>
      </c>
      <c r="Z487" t="n">
        <v>8863285.77</v>
      </c>
      <c r="AA487" t="n">
        <v>8.890000000000001</v>
      </c>
      <c r="AB487" t="n">
        <v>-0.83</v>
      </c>
      <c r="AC487" t="n">
        <v>0.03</v>
      </c>
      <c r="AD487" t="n">
        <v>1674215502.03</v>
      </c>
    </row>
    <row r="488">
      <c r="A488" t="inlineStr">
        <is>
          <t>RCSL3</t>
        </is>
      </c>
      <c r="B488" t="n">
        <v>0.47</v>
      </c>
      <c r="D488" t="n">
        <v>-3.59</v>
      </c>
      <c r="E488" t="n">
        <v>-4.37</v>
      </c>
      <c r="F488" t="n">
        <v>1.78</v>
      </c>
      <c r="G488" t="n">
        <v>-8.109999999999999</v>
      </c>
      <c r="H488" t="n">
        <v>-1425.17</v>
      </c>
      <c r="I488" t="n">
        <v>-2762.42</v>
      </c>
      <c r="J488" t="n">
        <v>-6.95</v>
      </c>
      <c r="K488" t="n">
        <v>-8.77</v>
      </c>
      <c r="L488" t="n">
        <v>0</v>
      </c>
      <c r="N488" t="n">
        <v>99.05</v>
      </c>
      <c r="O488" t="n">
        <v>30.37</v>
      </c>
      <c r="P488" t="n">
        <v>-2.62</v>
      </c>
      <c r="Q488" t="n">
        <v>1.22</v>
      </c>
      <c r="R488" t="n">
        <v>-121.91</v>
      </c>
      <c r="S488" t="n">
        <v>-49.67</v>
      </c>
      <c r="T488" t="n">
        <v>61.91</v>
      </c>
      <c r="U488" t="n">
        <v>-0.41</v>
      </c>
      <c r="V488" t="n">
        <v>1.41</v>
      </c>
      <c r="W488" t="n">
        <v>0.02</v>
      </c>
      <c r="X488" t="n">
        <v>-43.97</v>
      </c>
      <c r="Z488" t="n">
        <v>25665.86</v>
      </c>
      <c r="AA488" t="n">
        <v>-0.11</v>
      </c>
      <c r="AB488" t="n">
        <v>-0.13</v>
      </c>
      <c r="AC488" t="n">
        <v>0.29</v>
      </c>
      <c r="AD488" t="n">
        <v>75479755.36</v>
      </c>
    </row>
    <row r="489">
      <c r="A489" t="inlineStr">
        <is>
          <t>RCSL4</t>
        </is>
      </c>
      <c r="B489" t="n">
        <v>0.66</v>
      </c>
      <c r="D489" t="n">
        <v>-5.04</v>
      </c>
      <c r="E489" t="n">
        <v>-6.14</v>
      </c>
      <c r="F489" t="n">
        <v>2.5</v>
      </c>
      <c r="G489" t="n">
        <v>-8.109999999999999</v>
      </c>
      <c r="H489" t="n">
        <v>-1425.17</v>
      </c>
      <c r="I489" t="n">
        <v>-2762.42</v>
      </c>
      <c r="J489" t="n">
        <v>-9.76</v>
      </c>
      <c r="K489" t="n">
        <v>-8.77</v>
      </c>
      <c r="L489" t="n">
        <v>0</v>
      </c>
      <c r="N489" t="n">
        <v>139.09</v>
      </c>
      <c r="O489" t="n">
        <v>42.65</v>
      </c>
      <c r="P489" t="n">
        <v>-3.68</v>
      </c>
      <c r="Q489" t="n">
        <v>1.22</v>
      </c>
      <c r="R489" t="n">
        <v>-121.91</v>
      </c>
      <c r="S489" t="n">
        <v>-49.67</v>
      </c>
      <c r="T489" t="n">
        <v>61.91</v>
      </c>
      <c r="U489" t="n">
        <v>-0.41</v>
      </c>
      <c r="V489" t="n">
        <v>1.41</v>
      </c>
      <c r="W489" t="n">
        <v>0.02</v>
      </c>
      <c r="X489" t="n">
        <v>-43.97</v>
      </c>
      <c r="Z489" t="n">
        <v>2295587.5</v>
      </c>
      <c r="AA489" t="n">
        <v>-0.11</v>
      </c>
      <c r="AB489" t="n">
        <v>-0.13</v>
      </c>
      <c r="AC489" t="n">
        <v>0.41</v>
      </c>
      <c r="AD489" t="n">
        <v>75479755.36</v>
      </c>
    </row>
    <row r="490">
      <c r="A490" t="inlineStr">
        <is>
          <t>RDNI3</t>
        </is>
      </c>
      <c r="B490" t="n">
        <v>2.14</v>
      </c>
      <c r="D490" t="n">
        <v>-0.43</v>
      </c>
      <c r="E490" t="n">
        <v>4.13</v>
      </c>
      <c r="F490" t="n">
        <v>0.1</v>
      </c>
      <c r="G490" t="n">
        <v>1.47</v>
      </c>
      <c r="H490" t="n">
        <v>-40.54</v>
      </c>
      <c r="I490" t="n">
        <v>-60.48</v>
      </c>
      <c r="J490" t="n">
        <v>-0.64</v>
      </c>
      <c r="K490" t="n">
        <v>-3.59</v>
      </c>
      <c r="L490" t="n">
        <v>-2.95</v>
      </c>
      <c r="M490" t="n">
        <v>19.01</v>
      </c>
      <c r="N490" t="n">
        <v>0.26</v>
      </c>
      <c r="O490" t="n">
        <v>0.82</v>
      </c>
      <c r="P490" t="n">
        <v>-0.23</v>
      </c>
      <c r="Q490" t="n">
        <v>1.3</v>
      </c>
      <c r="R490" t="n">
        <v>-961.84</v>
      </c>
      <c r="S490" t="n">
        <v>-24.32</v>
      </c>
      <c r="T490" t="n">
        <v>-32.32</v>
      </c>
      <c r="U490" t="n">
        <v>0.03</v>
      </c>
      <c r="V490" t="n">
        <v>0.96</v>
      </c>
      <c r="W490" t="n">
        <v>0.4</v>
      </c>
      <c r="X490" t="n">
        <v>1.98</v>
      </c>
      <c r="Z490" t="n">
        <v>3199</v>
      </c>
      <c r="AA490" t="n">
        <v>0.52</v>
      </c>
      <c r="AB490" t="n">
        <v>-4.99</v>
      </c>
      <c r="AC490" t="n">
        <v>-0.01</v>
      </c>
      <c r="AD490" t="n">
        <v>93667389.12</v>
      </c>
    </row>
    <row r="491">
      <c r="A491" t="inlineStr">
        <is>
          <t>RDOR3</t>
        </is>
      </c>
      <c r="B491" t="n">
        <v>33.78</v>
      </c>
      <c r="C491" t="n">
        <v>12.57</v>
      </c>
      <c r="D491" t="n">
        <v>16.41</v>
      </c>
      <c r="E491" t="n">
        <v>3.83</v>
      </c>
      <c r="F491" t="n">
        <v>0.6899999999999999</v>
      </c>
      <c r="G491" t="n">
        <v>22.21</v>
      </c>
      <c r="H491" t="n">
        <v>18.35</v>
      </c>
      <c r="I491" t="n">
        <v>8.08</v>
      </c>
      <c r="J491" t="n">
        <v>7.23</v>
      </c>
      <c r="K491" t="n">
        <v>7.93</v>
      </c>
      <c r="L491" t="n">
        <v>0.6899999999999999</v>
      </c>
      <c r="M491" t="n">
        <v>0.37</v>
      </c>
      <c r="N491" t="n">
        <v>1.33</v>
      </c>
      <c r="O491" t="n">
        <v>2.12</v>
      </c>
      <c r="P491" t="n">
        <v>-1.38</v>
      </c>
      <c r="Q491" t="n">
        <v>2.86</v>
      </c>
      <c r="R491" t="n">
        <v>23.35</v>
      </c>
      <c r="S491" t="n">
        <v>4.2</v>
      </c>
      <c r="T491" t="n">
        <v>13.6</v>
      </c>
      <c r="U491" t="n">
        <v>0.18</v>
      </c>
      <c r="V491" t="n">
        <v>0.8</v>
      </c>
      <c r="W491" t="n">
        <v>0.52</v>
      </c>
      <c r="X491" t="n">
        <v>31.77</v>
      </c>
      <c r="Y491" t="n">
        <v>60.87</v>
      </c>
      <c r="Z491" t="n">
        <v>162961468.77</v>
      </c>
      <c r="AA491" t="n">
        <v>8.82</v>
      </c>
      <c r="AB491" t="n">
        <v>2.06</v>
      </c>
      <c r="AC491" t="n">
        <v>1.26</v>
      </c>
      <c r="AD491" t="n">
        <v>75856307097.39999</v>
      </c>
    </row>
    <row r="492">
      <c r="A492" t="inlineStr">
        <is>
          <t>RECV3</t>
        </is>
      </c>
      <c r="B492" t="n">
        <v>10.37</v>
      </c>
      <c r="C492" t="n">
        <v>6.58</v>
      </c>
      <c r="D492" t="n">
        <v>5.69</v>
      </c>
      <c r="E492" t="n">
        <v>0.73</v>
      </c>
      <c r="F492" t="n">
        <v>0.34</v>
      </c>
      <c r="G492" t="n">
        <v>30.8</v>
      </c>
      <c r="H492" t="n">
        <v>20.52</v>
      </c>
      <c r="I492" t="n">
        <v>17.93</v>
      </c>
      <c r="J492" t="n">
        <v>4.97</v>
      </c>
      <c r="K492" t="n">
        <v>7.46</v>
      </c>
      <c r="L492" t="n">
        <v>2.48</v>
      </c>
      <c r="M492" t="n">
        <v>0.36</v>
      </c>
      <c r="N492" t="n">
        <v>1.02</v>
      </c>
      <c r="O492" t="n">
        <v>2.5</v>
      </c>
      <c r="P492" t="n">
        <v>-0.45</v>
      </c>
      <c r="Q492" t="n">
        <v>2.18</v>
      </c>
      <c r="R492" t="n">
        <v>12.74</v>
      </c>
      <c r="S492" t="n">
        <v>5.9</v>
      </c>
      <c r="T492" t="n">
        <v>6.27</v>
      </c>
      <c r="U492" t="n">
        <v>0.46</v>
      </c>
      <c r="V492" t="n">
        <v>0.54</v>
      </c>
      <c r="W492" t="n">
        <v>0.33</v>
      </c>
      <c r="X492" t="n">
        <v>32</v>
      </c>
      <c r="Z492" t="n">
        <v>22151841</v>
      </c>
      <c r="AA492" t="n">
        <v>14.3</v>
      </c>
      <c r="AB492" t="n">
        <v>1.82</v>
      </c>
      <c r="AC492" t="n">
        <v>-1.55</v>
      </c>
      <c r="AD492" t="n">
        <v>3049279289.14</v>
      </c>
    </row>
    <row r="493">
      <c r="A493" t="inlineStr">
        <is>
          <t>REDE3</t>
        </is>
      </c>
      <c r="B493" t="n">
        <v>5.78</v>
      </c>
      <c r="C493" t="n">
        <v>7.19</v>
      </c>
      <c r="D493" t="n">
        <v>13.08</v>
      </c>
      <c r="E493" t="n">
        <v>2.38</v>
      </c>
      <c r="F493" t="n">
        <v>0.42</v>
      </c>
      <c r="G493" t="n">
        <v>25.32</v>
      </c>
      <c r="H493" t="n">
        <v>18.51</v>
      </c>
      <c r="I493" t="n">
        <v>5.72</v>
      </c>
      <c r="J493" t="n">
        <v>4.05</v>
      </c>
      <c r="K493" t="n">
        <v>8.44</v>
      </c>
      <c r="L493" t="n">
        <v>4.4</v>
      </c>
      <c r="M493" t="n">
        <v>2.59</v>
      </c>
      <c r="N493" t="n">
        <v>0.75</v>
      </c>
      <c r="O493" t="n">
        <v>3.09</v>
      </c>
      <c r="P493" t="n">
        <v>-0.59</v>
      </c>
      <c r="Q493" t="n">
        <v>1.88</v>
      </c>
      <c r="R493" t="n">
        <v>18.19</v>
      </c>
      <c r="S493" t="n">
        <v>3.19</v>
      </c>
      <c r="T493" t="n">
        <v>12.41</v>
      </c>
      <c r="U493" t="n">
        <v>0.18</v>
      </c>
      <c r="V493" t="n">
        <v>0.8100000000000001</v>
      </c>
      <c r="W493" t="n">
        <v>0.5600000000000001</v>
      </c>
      <c r="X493" t="n">
        <v>11.41</v>
      </c>
      <c r="Y493" t="n">
        <v>4.51</v>
      </c>
      <c r="Z493" t="n">
        <v>6996.91</v>
      </c>
      <c r="AA493" t="n">
        <v>2.43</v>
      </c>
      <c r="AB493" t="n">
        <v>0.44</v>
      </c>
      <c r="AC493" t="n">
        <v>-0.9</v>
      </c>
      <c r="AD493" t="n">
        <v>14844220501.42</v>
      </c>
    </row>
    <row r="494">
      <c r="A494" t="inlineStr">
        <is>
          <t>RENT3</t>
        </is>
      </c>
      <c r="B494" t="n">
        <v>37.27</v>
      </c>
      <c r="C494" t="n">
        <v>5.6</v>
      </c>
      <c r="D494" t="n">
        <v>18.6</v>
      </c>
      <c r="E494" t="n">
        <v>1.59</v>
      </c>
      <c r="F494" t="n">
        <v>0.49</v>
      </c>
      <c r="G494" t="n">
        <v>26.39</v>
      </c>
      <c r="H494" t="n">
        <v>19.31</v>
      </c>
      <c r="I494" t="n">
        <v>5.13</v>
      </c>
      <c r="J494" t="n">
        <v>4.94</v>
      </c>
      <c r="K494" t="n">
        <v>8.75</v>
      </c>
      <c r="L494" t="n">
        <v>3.81</v>
      </c>
      <c r="M494" t="n">
        <v>1.23</v>
      </c>
      <c r="N494" t="n">
        <v>0.95</v>
      </c>
      <c r="O494" t="n">
        <v>11.18</v>
      </c>
      <c r="P494" t="n">
        <v>-0.64</v>
      </c>
      <c r="Q494" t="n">
        <v>1.23</v>
      </c>
      <c r="R494" t="n">
        <v>8.57</v>
      </c>
      <c r="S494" t="n">
        <v>2.64</v>
      </c>
      <c r="T494" t="n">
        <v>10.68</v>
      </c>
      <c r="U494" t="n">
        <v>0.31</v>
      </c>
      <c r="V494" t="n">
        <v>0.6899999999999999</v>
      </c>
      <c r="W494" t="n">
        <v>0.51</v>
      </c>
      <c r="X494" t="n">
        <v>32.3</v>
      </c>
      <c r="Y494" t="n">
        <v>16.55</v>
      </c>
      <c r="Z494" t="n">
        <v>266205646.77</v>
      </c>
      <c r="AA494" t="n">
        <v>23.4</v>
      </c>
      <c r="AB494" t="n">
        <v>2.01</v>
      </c>
      <c r="AC494" t="n">
        <v>1.08</v>
      </c>
      <c r="AD494" t="n">
        <v>41934873568.5</v>
      </c>
    </row>
    <row r="495">
      <c r="A495" t="inlineStr">
        <is>
          <t>RENT4</t>
        </is>
      </c>
      <c r="B495" t="n">
        <v>36.22</v>
      </c>
      <c r="D495" t="n">
        <v>18.08</v>
      </c>
      <c r="E495" t="n">
        <v>1.55</v>
      </c>
      <c r="F495" t="n">
        <v>0.48</v>
      </c>
      <c r="G495" t="n">
        <v>26.39</v>
      </c>
      <c r="H495" t="n">
        <v>19.31</v>
      </c>
      <c r="I495" t="n">
        <v>5.13</v>
      </c>
      <c r="J495" t="n">
        <v>4.81</v>
      </c>
      <c r="K495" t="n">
        <v>8.75</v>
      </c>
      <c r="L495" t="n">
        <v>3.81</v>
      </c>
      <c r="M495" t="n">
        <v>1.23</v>
      </c>
      <c r="N495" t="n">
        <v>0.93</v>
      </c>
      <c r="O495" t="n">
        <v>10.87</v>
      </c>
      <c r="P495" t="n">
        <v>-0.62</v>
      </c>
      <c r="Q495" t="n">
        <v>1.23</v>
      </c>
      <c r="R495" t="n">
        <v>8.57</v>
      </c>
      <c r="S495" t="n">
        <v>2.64</v>
      </c>
      <c r="T495" t="n">
        <v>10.68</v>
      </c>
      <c r="U495" t="n">
        <v>0.31</v>
      </c>
      <c r="V495" t="n">
        <v>0.6899999999999999</v>
      </c>
      <c r="W495" t="n">
        <v>0.51</v>
      </c>
      <c r="X495" t="n">
        <v>32.3</v>
      </c>
      <c r="Y495" t="n">
        <v>16.55</v>
      </c>
      <c r="Z495" t="n">
        <v>5271949.95</v>
      </c>
      <c r="AA495" t="n">
        <v>23.4</v>
      </c>
      <c r="AB495" t="n">
        <v>2.01</v>
      </c>
      <c r="AC495" t="n">
        <v>1.05</v>
      </c>
      <c r="AD495" t="n">
        <v>41934873568.5</v>
      </c>
    </row>
    <row r="496">
      <c r="A496" t="inlineStr">
        <is>
          <t>RIAA3</t>
        </is>
      </c>
      <c r="B496" t="n">
        <v>7.64</v>
      </c>
      <c r="C496" t="n">
        <v>31.78</v>
      </c>
      <c r="D496" t="n">
        <v>2.55</v>
      </c>
      <c r="E496" t="n">
        <v>0.72</v>
      </c>
      <c r="F496" t="n">
        <v>0.27</v>
      </c>
      <c r="G496" t="n">
        <v>60.93</v>
      </c>
      <c r="H496" t="n">
        <v>22.34</v>
      </c>
      <c r="I496" t="n">
        <v>14.2</v>
      </c>
      <c r="J496" t="n">
        <v>1.62</v>
      </c>
      <c r="K496" t="n">
        <v>2.08</v>
      </c>
      <c r="L496" t="n">
        <v>0.46</v>
      </c>
      <c r="M496" t="n">
        <v>0.21</v>
      </c>
      <c r="N496" t="n">
        <v>0.36</v>
      </c>
      <c r="O496" t="n">
        <v>1.13</v>
      </c>
      <c r="P496" t="n">
        <v>-0.77</v>
      </c>
      <c r="Q496" t="n">
        <v>1.6</v>
      </c>
      <c r="R496" t="n">
        <v>28.33</v>
      </c>
      <c r="S496" t="n">
        <v>10.69</v>
      </c>
      <c r="T496" t="n">
        <v>26.65</v>
      </c>
      <c r="U496" t="n">
        <v>0.38</v>
      </c>
      <c r="V496" t="n">
        <v>0.62</v>
      </c>
      <c r="W496" t="n">
        <v>0.75</v>
      </c>
      <c r="X496" t="n">
        <v>10.94</v>
      </c>
      <c r="Z496" t="n">
        <v>8866227.59</v>
      </c>
      <c r="AA496" t="n">
        <v>10.59</v>
      </c>
      <c r="AB496" t="n">
        <v>3</v>
      </c>
      <c r="AC496" t="n">
        <v>0.01</v>
      </c>
      <c r="AD496" t="n">
        <v>3840801832.35</v>
      </c>
    </row>
    <row r="497">
      <c r="A497" t="inlineStr">
        <is>
          <t>RLOG3</t>
        </is>
      </c>
      <c r="B497" t="n">
        <v>23.08</v>
      </c>
      <c r="D497" t="n">
        <v>82.76000000000001</v>
      </c>
      <c r="E497" t="n">
        <v>4.26</v>
      </c>
      <c r="F497" t="n">
        <v>0.23</v>
      </c>
      <c r="G497" t="n">
        <v>34.71</v>
      </c>
      <c r="H497" t="n">
        <v>29.67</v>
      </c>
      <c r="I497" t="n">
        <v>1.85</v>
      </c>
      <c r="J497" t="n">
        <v>5.17</v>
      </c>
      <c r="K497" t="n">
        <v>12.09</v>
      </c>
      <c r="L497" t="n">
        <v>6.92</v>
      </c>
      <c r="M497" t="n">
        <v>5.71</v>
      </c>
      <c r="N497" t="n">
        <v>1.53</v>
      </c>
      <c r="O497" t="n">
        <v>1.49</v>
      </c>
      <c r="P497" t="n">
        <v>-0.31</v>
      </c>
      <c r="Q497" t="n">
        <v>2.64</v>
      </c>
      <c r="R497" t="n">
        <v>5.15</v>
      </c>
      <c r="S497" t="n">
        <v>0.28</v>
      </c>
      <c r="T497" t="n">
        <v>5.46</v>
      </c>
      <c r="U497" t="n">
        <v>0.05</v>
      </c>
      <c r="V497" t="n">
        <v>0.71</v>
      </c>
      <c r="W497" t="n">
        <v>0.15</v>
      </c>
      <c r="X497" t="n">
        <v>50.58</v>
      </c>
      <c r="Y497" t="n">
        <v>4.37</v>
      </c>
      <c r="AA497" t="n">
        <v>5.41</v>
      </c>
      <c r="AB497" t="n">
        <v>0.28</v>
      </c>
      <c r="AC497" t="n">
        <v>-2.42</v>
      </c>
      <c r="AD497" t="n">
        <v>10691215482.28</v>
      </c>
    </row>
    <row r="498">
      <c r="A498" t="inlineStr">
        <is>
          <t>RNEW11</t>
        </is>
      </c>
      <c r="B498" t="n">
        <v>3.23</v>
      </c>
      <c r="D498" t="n">
        <v>-2.84</v>
      </c>
      <c r="E498" t="n">
        <v>0.35</v>
      </c>
      <c r="F498" t="n">
        <v>0.13</v>
      </c>
      <c r="G498" t="n">
        <v>-5.45</v>
      </c>
      <c r="H498" t="n">
        <v>1.1</v>
      </c>
      <c r="I498" t="n">
        <v>-26</v>
      </c>
      <c r="J498" t="n">
        <v>66.75</v>
      </c>
      <c r="K498" t="n">
        <v>175.68</v>
      </c>
      <c r="L498" t="n">
        <v>108.93</v>
      </c>
      <c r="M498" t="n">
        <v>0.57</v>
      </c>
      <c r="N498" t="n">
        <v>0.74</v>
      </c>
      <c r="O498" t="n">
        <v>-3.58</v>
      </c>
      <c r="P498" t="n">
        <v>-0.14</v>
      </c>
      <c r="Q498" t="n">
        <v>0.6899999999999999</v>
      </c>
      <c r="R498" t="n">
        <v>-12.28</v>
      </c>
      <c r="S498" t="n">
        <v>-4.65</v>
      </c>
      <c r="T498" t="n">
        <v>0.19</v>
      </c>
      <c r="U498" t="n">
        <v>0.38</v>
      </c>
      <c r="V498" t="n">
        <v>0.62</v>
      </c>
      <c r="W498" t="n">
        <v>0.18</v>
      </c>
      <c r="X498" t="n">
        <v>48.84</v>
      </c>
      <c r="Z498" t="n">
        <v>1615</v>
      </c>
      <c r="AA498" t="n">
        <v>9.27</v>
      </c>
      <c r="AB498" t="n">
        <v>-1.14</v>
      </c>
      <c r="AC498" t="n">
        <v>-0.11</v>
      </c>
      <c r="AD498" t="n">
        <v>401720944.15</v>
      </c>
    </row>
    <row r="499">
      <c r="A499" t="inlineStr">
        <is>
          <t>RNEW3</t>
        </is>
      </c>
      <c r="B499" t="n">
        <v>0.76</v>
      </c>
      <c r="D499" t="n">
        <v>-2</v>
      </c>
      <c r="E499" t="n">
        <v>0.25</v>
      </c>
      <c r="F499" t="n">
        <v>0.09</v>
      </c>
      <c r="G499" t="n">
        <v>-5.45</v>
      </c>
      <c r="H499" t="n">
        <v>1.1</v>
      </c>
      <c r="I499" t="n">
        <v>-26</v>
      </c>
      <c r="J499" t="n">
        <v>47.12</v>
      </c>
      <c r="K499" t="n">
        <v>175.68</v>
      </c>
      <c r="L499" t="n">
        <v>108.93</v>
      </c>
      <c r="M499" t="n">
        <v>0.57</v>
      </c>
      <c r="N499" t="n">
        <v>0.52</v>
      </c>
      <c r="O499" t="n">
        <v>-2.52</v>
      </c>
      <c r="P499" t="n">
        <v>-0.1</v>
      </c>
      <c r="Q499" t="n">
        <v>0.6899999999999999</v>
      </c>
      <c r="R499" t="n">
        <v>-12.28</v>
      </c>
      <c r="S499" t="n">
        <v>-4.65</v>
      </c>
      <c r="T499" t="n">
        <v>0.19</v>
      </c>
      <c r="U499" t="n">
        <v>0.38</v>
      </c>
      <c r="V499" t="n">
        <v>0.62</v>
      </c>
      <c r="W499" t="n">
        <v>0.18</v>
      </c>
      <c r="X499" t="n">
        <v>48.84</v>
      </c>
      <c r="Z499" t="n">
        <v>35622.55</v>
      </c>
      <c r="AA499" t="n">
        <v>3.09</v>
      </c>
      <c r="AB499" t="n">
        <v>-0.38</v>
      </c>
      <c r="AC499" t="n">
        <v>-0.08</v>
      </c>
      <c r="AD499" t="n">
        <v>401720944.15</v>
      </c>
    </row>
    <row r="500">
      <c r="A500" t="inlineStr">
        <is>
          <t>RNEW4</t>
        </is>
      </c>
      <c r="B500" t="n">
        <v>0.74</v>
      </c>
      <c r="D500" t="n">
        <v>-1.95</v>
      </c>
      <c r="E500" t="n">
        <v>0.24</v>
      </c>
      <c r="F500" t="n">
        <v>0.09</v>
      </c>
      <c r="G500" t="n">
        <v>-5.45</v>
      </c>
      <c r="H500" t="n">
        <v>1.1</v>
      </c>
      <c r="I500" t="n">
        <v>-26</v>
      </c>
      <c r="J500" t="n">
        <v>45.88</v>
      </c>
      <c r="K500" t="n">
        <v>175.68</v>
      </c>
      <c r="L500" t="n">
        <v>108.93</v>
      </c>
      <c r="M500" t="n">
        <v>0.57</v>
      </c>
      <c r="N500" t="n">
        <v>0.51</v>
      </c>
      <c r="O500" t="n">
        <v>-2.46</v>
      </c>
      <c r="P500" t="n">
        <v>-0.1</v>
      </c>
      <c r="Q500" t="n">
        <v>0.6899999999999999</v>
      </c>
      <c r="R500" t="n">
        <v>-12.28</v>
      </c>
      <c r="S500" t="n">
        <v>-4.65</v>
      </c>
      <c r="T500" t="n">
        <v>0.19</v>
      </c>
      <c r="U500" t="n">
        <v>0.38</v>
      </c>
      <c r="V500" t="n">
        <v>0.62</v>
      </c>
      <c r="W500" t="n">
        <v>0.18</v>
      </c>
      <c r="X500" t="n">
        <v>48.84</v>
      </c>
      <c r="Z500" t="n">
        <v>46052.41</v>
      </c>
      <c r="AA500" t="n">
        <v>3.09</v>
      </c>
      <c r="AB500" t="n">
        <v>-0.38</v>
      </c>
      <c r="AC500" t="n">
        <v>-0.08</v>
      </c>
      <c r="AD500" t="n">
        <v>401720944.15</v>
      </c>
    </row>
    <row r="501">
      <c r="A501" t="inlineStr">
        <is>
          <t>ROMI3</t>
        </is>
      </c>
      <c r="B501" t="n">
        <v>5.89</v>
      </c>
      <c r="C501" t="n">
        <v>7.13</v>
      </c>
      <c r="D501" t="n">
        <v>7.31</v>
      </c>
      <c r="E501" t="n">
        <v>0.44</v>
      </c>
      <c r="F501" t="n">
        <v>0.21</v>
      </c>
      <c r="G501" t="n">
        <v>27.17</v>
      </c>
      <c r="H501" t="n">
        <v>6</v>
      </c>
      <c r="I501" t="n">
        <v>5.8</v>
      </c>
      <c r="J501" t="n">
        <v>7.08</v>
      </c>
      <c r="K501" t="n">
        <v>14.61</v>
      </c>
      <c r="L501" t="n">
        <v>7.49</v>
      </c>
      <c r="M501" t="n">
        <v>0.47</v>
      </c>
      <c r="N501" t="n">
        <v>0.42</v>
      </c>
      <c r="O501" t="n">
        <v>0.63</v>
      </c>
      <c r="P501" t="n">
        <v>-0.52</v>
      </c>
      <c r="Q501" t="n">
        <v>2.19</v>
      </c>
      <c r="R501" t="n">
        <v>6.01</v>
      </c>
      <c r="S501" t="n">
        <v>2.81</v>
      </c>
      <c r="T501" t="n">
        <v>1.52</v>
      </c>
      <c r="U501" t="n">
        <v>0.47</v>
      </c>
      <c r="V501" t="n">
        <v>0.53</v>
      </c>
      <c r="W501" t="n">
        <v>0.48</v>
      </c>
      <c r="X501" t="n">
        <v>6.39</v>
      </c>
      <c r="Y501" t="n">
        <v>-15.53</v>
      </c>
      <c r="Z501" t="n">
        <v>825021.27</v>
      </c>
      <c r="AA501" t="n">
        <v>13.41</v>
      </c>
      <c r="AB501" t="n">
        <v>0.8100000000000001</v>
      </c>
      <c r="AC501" t="n">
        <v>-0.41</v>
      </c>
      <c r="AD501" t="n">
        <v>551570822.24</v>
      </c>
    </row>
    <row r="502">
      <c r="A502" t="inlineStr">
        <is>
          <t>RPAD3</t>
        </is>
      </c>
      <c r="B502" t="n">
        <v>6.51</v>
      </c>
      <c r="C502" t="n">
        <v>0.14</v>
      </c>
      <c r="D502" t="n">
        <v>6.39</v>
      </c>
      <c r="E502" t="n">
        <v>0.54</v>
      </c>
      <c r="F502" t="n">
        <v>0.53</v>
      </c>
      <c r="J502" t="n">
        <v>7.46</v>
      </c>
      <c r="K502" t="n">
        <v>5.71</v>
      </c>
      <c r="L502" t="n">
        <v>-1.74</v>
      </c>
      <c r="M502" t="n">
        <v>-0.13</v>
      </c>
      <c r="O502" t="n">
        <v>4.29</v>
      </c>
      <c r="P502" t="n">
        <v>-0.61</v>
      </c>
      <c r="Q502" t="n">
        <v>35</v>
      </c>
      <c r="R502" t="n">
        <v>8.43</v>
      </c>
      <c r="S502" t="n">
        <v>8.34</v>
      </c>
      <c r="T502" t="n">
        <v>6.7</v>
      </c>
      <c r="U502" t="n">
        <v>0.99</v>
      </c>
      <c r="V502" t="n">
        <v>0.01</v>
      </c>
      <c r="W502" t="n">
        <v>0</v>
      </c>
      <c r="Y502" t="n">
        <v>20.49</v>
      </c>
      <c r="Z502" t="n">
        <v>162.75</v>
      </c>
      <c r="AA502" t="n">
        <v>12.08</v>
      </c>
      <c r="AB502" t="n">
        <v>1.02</v>
      </c>
      <c r="AC502" t="n">
        <v>-0.04</v>
      </c>
      <c r="AD502" t="n">
        <v>550894864.8200001</v>
      </c>
    </row>
    <row r="503">
      <c r="A503" t="inlineStr">
        <is>
          <t>RPAD5</t>
        </is>
      </c>
      <c r="B503" t="n">
        <v>7</v>
      </c>
      <c r="C503" t="n">
        <v>8.19</v>
      </c>
      <c r="D503" t="n">
        <v>6.87</v>
      </c>
      <c r="E503" t="n">
        <v>0.58</v>
      </c>
      <c r="F503" t="n">
        <v>0.57</v>
      </c>
      <c r="J503" t="n">
        <v>8.02</v>
      </c>
      <c r="K503" t="n">
        <v>5.71</v>
      </c>
      <c r="L503" t="n">
        <v>-1.74</v>
      </c>
      <c r="M503" t="n">
        <v>-0.13</v>
      </c>
      <c r="O503" t="n">
        <v>4.61</v>
      </c>
      <c r="P503" t="n">
        <v>-0.66</v>
      </c>
      <c r="Q503" t="n">
        <v>35</v>
      </c>
      <c r="R503" t="n">
        <v>8.43</v>
      </c>
      <c r="S503" t="n">
        <v>8.34</v>
      </c>
      <c r="T503" t="n">
        <v>6.7</v>
      </c>
      <c r="U503" t="n">
        <v>0.99</v>
      </c>
      <c r="V503" t="n">
        <v>0.01</v>
      </c>
      <c r="W503" t="n">
        <v>0</v>
      </c>
      <c r="Y503" t="n">
        <v>20.49</v>
      </c>
      <c r="Z503" t="n">
        <v>350</v>
      </c>
      <c r="AA503" t="n">
        <v>12.08</v>
      </c>
      <c r="AB503" t="n">
        <v>1.02</v>
      </c>
      <c r="AC503" t="n">
        <v>-0.04</v>
      </c>
      <c r="AD503" t="n">
        <v>550894864.8200001</v>
      </c>
    </row>
    <row r="504">
      <c r="A504" t="inlineStr">
        <is>
          <t>RPAD6</t>
        </is>
      </c>
      <c r="B504" t="n">
        <v>6.5</v>
      </c>
      <c r="C504" t="n">
        <v>0.16</v>
      </c>
      <c r="D504" t="n">
        <v>6.38</v>
      </c>
      <c r="E504" t="n">
        <v>0.54</v>
      </c>
      <c r="F504" t="n">
        <v>0.53</v>
      </c>
      <c r="J504" t="n">
        <v>7.45</v>
      </c>
      <c r="K504" t="n">
        <v>5.71</v>
      </c>
      <c r="L504" t="n">
        <v>-1.74</v>
      </c>
      <c r="M504" t="n">
        <v>-0.13</v>
      </c>
      <c r="O504" t="n">
        <v>4.28</v>
      </c>
      <c r="P504" t="n">
        <v>-0.61</v>
      </c>
      <c r="Q504" t="n">
        <v>35</v>
      </c>
      <c r="R504" t="n">
        <v>8.43</v>
      </c>
      <c r="S504" t="n">
        <v>8.34</v>
      </c>
      <c r="T504" t="n">
        <v>6.7</v>
      </c>
      <c r="U504" t="n">
        <v>0.99</v>
      </c>
      <c r="V504" t="n">
        <v>0.01</v>
      </c>
      <c r="W504" t="n">
        <v>0</v>
      </c>
      <c r="Y504" t="n">
        <v>20.49</v>
      </c>
      <c r="Z504" t="n">
        <v>1170</v>
      </c>
      <c r="AA504" t="n">
        <v>12.08</v>
      </c>
      <c r="AB504" t="n">
        <v>1.02</v>
      </c>
      <c r="AC504" t="n">
        <v>-0.04</v>
      </c>
      <c r="AD504" t="n">
        <v>550894864.8200001</v>
      </c>
    </row>
    <row r="505">
      <c r="A505" t="inlineStr">
        <is>
          <t>RPMG3</t>
        </is>
      </c>
      <c r="B505" t="n">
        <v>1.15</v>
      </c>
      <c r="D505" t="n">
        <v>-0.05</v>
      </c>
      <c r="E505" t="n">
        <v>-0.01</v>
      </c>
      <c r="F505" t="n">
        <v>0.01</v>
      </c>
      <c r="G505" t="n">
        <v>-14.43</v>
      </c>
      <c r="H505" t="n">
        <v>-20.96</v>
      </c>
      <c r="I505" t="n">
        <v>-19.19</v>
      </c>
      <c r="J505" t="n">
        <v>-0.04</v>
      </c>
      <c r="K505" t="n">
        <v>-0.01</v>
      </c>
      <c r="L505" t="n">
        <v>0.03</v>
      </c>
      <c r="N505" t="n">
        <v>0.01</v>
      </c>
      <c r="O505" t="n">
        <v>-0.02</v>
      </c>
      <c r="P505" t="n">
        <v>-0.17</v>
      </c>
      <c r="Q505" t="n">
        <v>0.76</v>
      </c>
      <c r="R505" t="n">
        <v>-22.32</v>
      </c>
      <c r="S505" t="n">
        <v>-16.12</v>
      </c>
      <c r="T505" t="n">
        <v>24.36</v>
      </c>
      <c r="U505" t="n">
        <v>-0.72</v>
      </c>
      <c r="V505" t="n">
        <v>1.72</v>
      </c>
      <c r="W505" t="n">
        <v>0.84</v>
      </c>
      <c r="X505" t="n">
        <v>42.58</v>
      </c>
      <c r="Z505" t="n">
        <v>3511.05</v>
      </c>
      <c r="AA505" t="n">
        <v>-109.81</v>
      </c>
      <c r="AB505" t="n">
        <v>-24.51</v>
      </c>
      <c r="AC505" t="n">
        <v>0</v>
      </c>
      <c r="AD505" t="n">
        <v>77845373.34999999</v>
      </c>
    </row>
    <row r="506">
      <c r="A506" t="inlineStr">
        <is>
          <t>RSID3</t>
        </is>
      </c>
      <c r="B506" t="n">
        <v>1.6</v>
      </c>
      <c r="D506" t="n">
        <v>0.39</v>
      </c>
      <c r="E506" t="n">
        <v>-0.04</v>
      </c>
      <c r="F506" t="n">
        <v>0.07000000000000001</v>
      </c>
      <c r="G506" t="n">
        <v>18.63</v>
      </c>
      <c r="H506" t="n">
        <v>33.41</v>
      </c>
      <c r="I506" t="n">
        <v>53.86</v>
      </c>
      <c r="J506" t="n">
        <v>0.64</v>
      </c>
      <c r="K506" t="n">
        <v>8.109999999999999</v>
      </c>
      <c r="L506" t="n">
        <v>7.48</v>
      </c>
      <c r="N506" t="n">
        <v>0.21</v>
      </c>
      <c r="O506" t="n">
        <v>-0.28</v>
      </c>
      <c r="P506" t="n">
        <v>-0.12</v>
      </c>
      <c r="Q506" t="n">
        <v>0.59</v>
      </c>
      <c r="R506" t="n">
        <v>-10.46</v>
      </c>
      <c r="S506" t="n">
        <v>18.37</v>
      </c>
      <c r="T506" t="n">
        <v>-8.69</v>
      </c>
      <c r="U506" t="n">
        <v>-1.76</v>
      </c>
      <c r="V506" t="n">
        <v>2.76</v>
      </c>
      <c r="W506" t="n">
        <v>0.34</v>
      </c>
      <c r="X506" t="n">
        <v>19.21</v>
      </c>
      <c r="Z506" t="n">
        <v>0</v>
      </c>
      <c r="AA506" t="n">
        <v>-38.77</v>
      </c>
      <c r="AB506" t="n">
        <v>4.05</v>
      </c>
      <c r="AC506" t="n">
        <v>-0.01</v>
      </c>
      <c r="AD506" t="n">
        <v>32435526.4</v>
      </c>
    </row>
    <row r="507">
      <c r="A507" t="inlineStr">
        <is>
          <t>RSUL3</t>
        </is>
      </c>
      <c r="B507" t="n">
        <v>0</v>
      </c>
      <c r="D507" t="n">
        <v>0</v>
      </c>
      <c r="E507" t="n">
        <v>0</v>
      </c>
      <c r="F507" t="n">
        <v>0</v>
      </c>
      <c r="G507" t="n">
        <v>41.67</v>
      </c>
      <c r="H507" t="n">
        <v>23.4</v>
      </c>
      <c r="I507" t="n">
        <v>14.96</v>
      </c>
      <c r="J507" t="n">
        <v>0</v>
      </c>
      <c r="K507" t="n">
        <v>0.77</v>
      </c>
      <c r="L507" t="n">
        <v>-0.3</v>
      </c>
      <c r="M507" t="n">
        <v>-0.1</v>
      </c>
      <c r="N507" t="n">
        <v>0</v>
      </c>
      <c r="O507" t="n">
        <v>0</v>
      </c>
      <c r="P507" t="n">
        <v>0</v>
      </c>
      <c r="Q507" t="n">
        <v>3.22</v>
      </c>
      <c r="R507" t="n">
        <v>21.84</v>
      </c>
      <c r="S507" t="n">
        <v>13.44</v>
      </c>
      <c r="T507" t="n">
        <v>9.33</v>
      </c>
      <c r="U507" t="n">
        <v>0.62</v>
      </c>
      <c r="V507" t="n">
        <v>0.38</v>
      </c>
      <c r="W507" t="n">
        <v>0.9</v>
      </c>
      <c r="X507" t="n">
        <v>16.58</v>
      </c>
      <c r="AA507" t="n">
        <v>47.32</v>
      </c>
      <c r="AB507" t="n">
        <v>10.34</v>
      </c>
      <c r="AC507" t="n">
        <v>0</v>
      </c>
      <c r="AD507" t="n">
        <v>104799450</v>
      </c>
    </row>
    <row r="508">
      <c r="A508" t="inlineStr">
        <is>
          <t>RSUL4</t>
        </is>
      </c>
      <c r="B508" t="n">
        <v>41.81</v>
      </c>
      <c r="D508" t="n">
        <v>4.06</v>
      </c>
      <c r="E508" t="n">
        <v>0.89</v>
      </c>
      <c r="F508" t="n">
        <v>0.55</v>
      </c>
      <c r="G508" t="n">
        <v>41.67</v>
      </c>
      <c r="H508" t="n">
        <v>23.4</v>
      </c>
      <c r="I508" t="n">
        <v>14.96</v>
      </c>
      <c r="J508" t="n">
        <v>2.6</v>
      </c>
      <c r="K508" t="n">
        <v>0.77</v>
      </c>
      <c r="L508" t="n">
        <v>-0.3</v>
      </c>
      <c r="M508" t="n">
        <v>-0.1</v>
      </c>
      <c r="N508" t="n">
        <v>0.61</v>
      </c>
      <c r="O508" t="n">
        <v>1.39</v>
      </c>
      <c r="P508" t="n">
        <v>-1.27</v>
      </c>
      <c r="Q508" t="n">
        <v>3.22</v>
      </c>
      <c r="R508" t="n">
        <v>21.84</v>
      </c>
      <c r="S508" t="n">
        <v>13.44</v>
      </c>
      <c r="T508" t="n">
        <v>9.33</v>
      </c>
      <c r="U508" t="n">
        <v>0.62</v>
      </c>
      <c r="V508" t="n">
        <v>0.38</v>
      </c>
      <c r="W508" t="n">
        <v>0.9</v>
      </c>
      <c r="X508" t="n">
        <v>16.58</v>
      </c>
      <c r="Z508" t="n">
        <v>254540.91</v>
      </c>
      <c r="AA508" t="n">
        <v>47.32</v>
      </c>
      <c r="AB508" t="n">
        <v>10.34</v>
      </c>
      <c r="AC508" t="n">
        <v>0.58</v>
      </c>
      <c r="AD508" t="n">
        <v>104799450</v>
      </c>
    </row>
    <row r="509">
      <c r="A509" t="inlineStr">
        <is>
          <t>SANB11</t>
        </is>
      </c>
      <c r="B509" t="n">
        <v>25.81</v>
      </c>
      <c r="C509" t="n">
        <v>8.93</v>
      </c>
      <c r="D509" t="n">
        <v>7.41</v>
      </c>
      <c r="E509" t="n">
        <v>0.77</v>
      </c>
      <c r="F509" t="n">
        <v>0.07000000000000001</v>
      </c>
      <c r="G509" t="n">
        <v>35.45</v>
      </c>
      <c r="H509" t="n">
        <v>10.12</v>
      </c>
      <c r="I509" t="n">
        <v>7.87</v>
      </c>
      <c r="J509" t="n">
        <v>5.76</v>
      </c>
      <c r="K509" t="n">
        <v>5.73</v>
      </c>
      <c r="N509" t="n">
        <v>0.58</v>
      </c>
      <c r="O509" t="n">
        <v>-1.18</v>
      </c>
      <c r="P509" t="n">
        <v>-0.08</v>
      </c>
      <c r="Q509" t="n">
        <v>0.23</v>
      </c>
      <c r="R509" t="n">
        <v>10.34</v>
      </c>
      <c r="S509" t="n">
        <v>1.01</v>
      </c>
      <c r="U509" t="n">
        <v>0.1</v>
      </c>
      <c r="V509" t="n">
        <v>0.9</v>
      </c>
      <c r="W509" t="n">
        <v>0.13</v>
      </c>
      <c r="X509" t="n">
        <v>20.95</v>
      </c>
      <c r="Y509" t="n">
        <v>-0.57</v>
      </c>
      <c r="Z509" t="n">
        <v>95463714.59</v>
      </c>
      <c r="AA509" t="n">
        <v>33.71</v>
      </c>
      <c r="AB509" t="n">
        <v>3.49</v>
      </c>
      <c r="AC509" t="n">
        <v>-2.52</v>
      </c>
      <c r="AD509" t="n">
        <v>96356124005.35001</v>
      </c>
    </row>
    <row r="510">
      <c r="A510" t="inlineStr">
        <is>
          <t>SANB3</t>
        </is>
      </c>
      <c r="B510" t="n">
        <v>12.74</v>
      </c>
      <c r="C510" t="n">
        <v>8.609999999999999</v>
      </c>
      <c r="D510" t="n">
        <v>7.32</v>
      </c>
      <c r="E510" t="n">
        <v>0.76</v>
      </c>
      <c r="F510" t="n">
        <v>0.07000000000000001</v>
      </c>
      <c r="G510" t="n">
        <v>35.45</v>
      </c>
      <c r="H510" t="n">
        <v>10.12</v>
      </c>
      <c r="I510" t="n">
        <v>7.87</v>
      </c>
      <c r="J510" t="n">
        <v>5.69</v>
      </c>
      <c r="K510" t="n">
        <v>5.73</v>
      </c>
      <c r="N510" t="n">
        <v>0.58</v>
      </c>
      <c r="O510" t="n">
        <v>-1.16</v>
      </c>
      <c r="P510" t="n">
        <v>-0.08</v>
      </c>
      <c r="Q510" t="n">
        <v>0.23</v>
      </c>
      <c r="R510" t="n">
        <v>10.34</v>
      </c>
      <c r="S510" t="n">
        <v>1.01</v>
      </c>
      <c r="U510" t="n">
        <v>0.1</v>
      </c>
      <c r="V510" t="n">
        <v>0.9</v>
      </c>
      <c r="W510" t="n">
        <v>0.13</v>
      </c>
      <c r="X510" t="n">
        <v>20.95</v>
      </c>
      <c r="Y510" t="n">
        <v>-0.57</v>
      </c>
      <c r="Z510" t="n">
        <v>2546499.55</v>
      </c>
      <c r="AA510" t="n">
        <v>16.86</v>
      </c>
      <c r="AB510" t="n">
        <v>1.74</v>
      </c>
      <c r="AC510" t="n">
        <v>-2.49</v>
      </c>
      <c r="AD510" t="n">
        <v>96356124005.35001</v>
      </c>
    </row>
    <row r="511">
      <c r="A511" t="inlineStr">
        <is>
          <t>SANB4</t>
        </is>
      </c>
      <c r="B511" t="n">
        <v>13.1</v>
      </c>
      <c r="C511" t="n">
        <v>9.23</v>
      </c>
      <c r="D511" t="n">
        <v>7.51</v>
      </c>
      <c r="E511" t="n">
        <v>0.78</v>
      </c>
      <c r="F511" t="n">
        <v>0.08</v>
      </c>
      <c r="G511" t="n">
        <v>35.45</v>
      </c>
      <c r="H511" t="n">
        <v>10.12</v>
      </c>
      <c r="I511" t="n">
        <v>7.87</v>
      </c>
      <c r="J511" t="n">
        <v>5.84</v>
      </c>
      <c r="K511" t="n">
        <v>5.73</v>
      </c>
      <c r="N511" t="n">
        <v>0.59</v>
      </c>
      <c r="O511" t="n">
        <v>-1.19</v>
      </c>
      <c r="P511" t="n">
        <v>-0.08</v>
      </c>
      <c r="Q511" t="n">
        <v>0.23</v>
      </c>
      <c r="R511" t="n">
        <v>10.34</v>
      </c>
      <c r="S511" t="n">
        <v>1.01</v>
      </c>
      <c r="U511" t="n">
        <v>0.1</v>
      </c>
      <c r="V511" t="n">
        <v>0.9</v>
      </c>
      <c r="W511" t="n">
        <v>0.13</v>
      </c>
      <c r="X511" t="n">
        <v>20.95</v>
      </c>
      <c r="Y511" t="n">
        <v>-0.57</v>
      </c>
      <c r="Z511" t="n">
        <v>2697456.55</v>
      </c>
      <c r="AA511" t="n">
        <v>16.86</v>
      </c>
      <c r="AB511" t="n">
        <v>1.74</v>
      </c>
      <c r="AC511" t="n">
        <v>-2.55</v>
      </c>
      <c r="AD511" t="n">
        <v>96356124005.35001</v>
      </c>
    </row>
    <row r="512">
      <c r="A512" t="inlineStr">
        <is>
          <t>SAPR11</t>
        </is>
      </c>
      <c r="B512" t="n">
        <v>35.67</v>
      </c>
      <c r="C512" t="n">
        <v>1.55</v>
      </c>
      <c r="D512" t="n">
        <v>8.82</v>
      </c>
      <c r="E512" t="n">
        <v>0.85</v>
      </c>
      <c r="F512" t="n">
        <v>0.4</v>
      </c>
      <c r="G512" t="n">
        <v>57.82</v>
      </c>
      <c r="H512" t="n">
        <v>27.82</v>
      </c>
      <c r="I512" t="n">
        <v>16.66</v>
      </c>
      <c r="J512" t="n">
        <v>5.28</v>
      </c>
      <c r="K512" t="n">
        <v>6.23</v>
      </c>
      <c r="L512" t="n">
        <v>0.9399999999999999</v>
      </c>
      <c r="M512" t="n">
        <v>0.15</v>
      </c>
      <c r="N512" t="n">
        <v>1.47</v>
      </c>
      <c r="O512" t="n">
        <v>20.19</v>
      </c>
      <c r="P512" t="n">
        <v>-0.55</v>
      </c>
      <c r="Q512" t="n">
        <v>1.08</v>
      </c>
      <c r="R512" t="n">
        <v>9.640000000000001</v>
      </c>
      <c r="S512" t="n">
        <v>4.56</v>
      </c>
      <c r="T512" t="n">
        <v>7.59</v>
      </c>
      <c r="U512" t="n">
        <v>0.47</v>
      </c>
      <c r="V512" t="n">
        <v>0.53</v>
      </c>
      <c r="W512" t="n">
        <v>0.27</v>
      </c>
      <c r="X512" t="n">
        <v>8.470000000000001</v>
      </c>
      <c r="Y512" t="n">
        <v>4.21</v>
      </c>
      <c r="Z512" t="n">
        <v>34285456.14</v>
      </c>
      <c r="AA512" t="n">
        <v>42.02</v>
      </c>
      <c r="AB512" t="n">
        <v>4.05</v>
      </c>
      <c r="AC512" t="n">
        <v>-0.18</v>
      </c>
      <c r="AD512" t="n">
        <v>10808141871.89</v>
      </c>
    </row>
    <row r="513">
      <c r="A513" t="inlineStr">
        <is>
          <t>SAPR3</t>
        </is>
      </c>
      <c r="B513" t="n">
        <v>7.85</v>
      </c>
      <c r="C513" t="n">
        <v>1.3</v>
      </c>
      <c r="D513" t="n">
        <v>9.69</v>
      </c>
      <c r="E513" t="n">
        <v>0.93</v>
      </c>
      <c r="F513" t="n">
        <v>0.44</v>
      </c>
      <c r="G513" t="n">
        <v>57.82</v>
      </c>
      <c r="H513" t="n">
        <v>27.82</v>
      </c>
      <c r="I513" t="n">
        <v>16.66</v>
      </c>
      <c r="J513" t="n">
        <v>5.8</v>
      </c>
      <c r="K513" t="n">
        <v>6.23</v>
      </c>
      <c r="L513" t="n">
        <v>0.9399999999999999</v>
      </c>
      <c r="M513" t="n">
        <v>0.15</v>
      </c>
      <c r="N513" t="n">
        <v>1.61</v>
      </c>
      <c r="O513" t="n">
        <v>22.19</v>
      </c>
      <c r="P513" t="n">
        <v>-0.6</v>
      </c>
      <c r="Q513" t="n">
        <v>1.08</v>
      </c>
      <c r="R513" t="n">
        <v>9.640000000000001</v>
      </c>
      <c r="S513" t="n">
        <v>4.56</v>
      </c>
      <c r="T513" t="n">
        <v>7.59</v>
      </c>
      <c r="U513" t="n">
        <v>0.47</v>
      </c>
      <c r="V513" t="n">
        <v>0.53</v>
      </c>
      <c r="W513" t="n">
        <v>0.27</v>
      </c>
      <c r="X513" t="n">
        <v>8.470000000000001</v>
      </c>
      <c r="Y513" t="n">
        <v>4.21</v>
      </c>
      <c r="Z513" t="n">
        <v>757672.8199999999</v>
      </c>
      <c r="AA513" t="n">
        <v>8.4</v>
      </c>
      <c r="AB513" t="n">
        <v>0.8100000000000001</v>
      </c>
      <c r="AC513" t="n">
        <v>-0.2</v>
      </c>
      <c r="AD513" t="n">
        <v>10808141871.89</v>
      </c>
    </row>
    <row r="514">
      <c r="A514" t="inlineStr">
        <is>
          <t>SAPR4</t>
        </is>
      </c>
      <c r="B514" t="n">
        <v>6.96</v>
      </c>
      <c r="C514" t="n">
        <v>1.61</v>
      </c>
      <c r="D514" t="n">
        <v>8.6</v>
      </c>
      <c r="E514" t="n">
        <v>0.83</v>
      </c>
      <c r="F514" t="n">
        <v>0.39</v>
      </c>
      <c r="G514" t="n">
        <v>57.82</v>
      </c>
      <c r="H514" t="n">
        <v>27.82</v>
      </c>
      <c r="I514" t="n">
        <v>16.66</v>
      </c>
      <c r="J514" t="n">
        <v>5.15</v>
      </c>
      <c r="K514" t="n">
        <v>6.23</v>
      </c>
      <c r="L514" t="n">
        <v>0.9399999999999999</v>
      </c>
      <c r="M514" t="n">
        <v>0.15</v>
      </c>
      <c r="N514" t="n">
        <v>1.43</v>
      </c>
      <c r="O514" t="n">
        <v>19.7</v>
      </c>
      <c r="P514" t="n">
        <v>-0.53</v>
      </c>
      <c r="Q514" t="n">
        <v>1.08</v>
      </c>
      <c r="R514" t="n">
        <v>9.640000000000001</v>
      </c>
      <c r="S514" t="n">
        <v>4.56</v>
      </c>
      <c r="T514" t="n">
        <v>7.59</v>
      </c>
      <c r="U514" t="n">
        <v>0.47</v>
      </c>
      <c r="V514" t="n">
        <v>0.53</v>
      </c>
      <c r="W514" t="n">
        <v>0.27</v>
      </c>
      <c r="X514" t="n">
        <v>8.470000000000001</v>
      </c>
      <c r="Y514" t="n">
        <v>4.21</v>
      </c>
      <c r="Z514" t="n">
        <v>5947145.64</v>
      </c>
      <c r="AA514" t="n">
        <v>8.4</v>
      </c>
      <c r="AB514" t="n">
        <v>0.8100000000000001</v>
      </c>
      <c r="AC514" t="n">
        <v>-0.18</v>
      </c>
      <c r="AD514" t="n">
        <v>10808141871.89</v>
      </c>
    </row>
    <row r="515">
      <c r="A515" t="inlineStr">
        <is>
          <t>SAUD3</t>
        </is>
      </c>
      <c r="B515" t="n">
        <v>14.84</v>
      </c>
      <c r="C515" t="n">
        <v>5.35</v>
      </c>
      <c r="D515" t="n">
        <v>76.76000000000001</v>
      </c>
      <c r="E515" t="n">
        <v>30.28</v>
      </c>
      <c r="F515" t="n">
        <v>20.41</v>
      </c>
      <c r="G515" t="n">
        <v>34.83</v>
      </c>
      <c r="H515" t="n">
        <v>30.64</v>
      </c>
      <c r="I515" t="n">
        <v>23.09</v>
      </c>
      <c r="J515" t="n">
        <v>57.85</v>
      </c>
      <c r="K515" t="n">
        <v>57.3</v>
      </c>
      <c r="L515" t="n">
        <v>-0.7</v>
      </c>
      <c r="M515" t="n">
        <v>-0.37</v>
      </c>
      <c r="N515" t="n">
        <v>17.72</v>
      </c>
      <c r="O515" t="n">
        <v>478.34</v>
      </c>
      <c r="P515" t="n">
        <v>-29.65</v>
      </c>
      <c r="Q515" t="n">
        <v>1.16</v>
      </c>
      <c r="R515" t="n">
        <v>39.45</v>
      </c>
      <c r="S515" t="n">
        <v>26.59</v>
      </c>
      <c r="T515" t="n">
        <v>19.06</v>
      </c>
      <c r="U515" t="n">
        <v>0.67</v>
      </c>
      <c r="V515" t="n">
        <v>0.32</v>
      </c>
      <c r="W515" t="n">
        <v>1.15</v>
      </c>
      <c r="X515" t="n">
        <v>6.51</v>
      </c>
      <c r="Y515" t="n">
        <v>9.359999999999999</v>
      </c>
      <c r="Z515" t="n">
        <v>42062784.68</v>
      </c>
      <c r="AA515" t="n">
        <v>0.49</v>
      </c>
      <c r="AB515" t="n">
        <v>0.19</v>
      </c>
      <c r="AC515" t="n">
        <v>157.27</v>
      </c>
      <c r="AD515" t="n">
        <v>43482849999.97</v>
      </c>
    </row>
    <row r="516">
      <c r="A516" t="inlineStr">
        <is>
          <t>SBFG3</t>
        </is>
      </c>
      <c r="B516" t="n">
        <v>9.369999999999999</v>
      </c>
      <c r="C516" t="n">
        <v>5.79</v>
      </c>
      <c r="D516" t="n">
        <v>6.46</v>
      </c>
      <c r="E516" t="n">
        <v>0.7</v>
      </c>
      <c r="F516" t="n">
        <v>0.24</v>
      </c>
      <c r="G516" t="n">
        <v>48.56</v>
      </c>
      <c r="H516" t="n">
        <v>6.85</v>
      </c>
      <c r="I516" t="n">
        <v>4.2</v>
      </c>
      <c r="J516" t="n">
        <v>3.96</v>
      </c>
      <c r="K516" t="n">
        <v>8.869999999999999</v>
      </c>
      <c r="L516" t="n">
        <v>4.92</v>
      </c>
      <c r="M516" t="n">
        <v>0.87</v>
      </c>
      <c r="N516" t="n">
        <v>0.27</v>
      </c>
      <c r="O516" t="n">
        <v>1.7</v>
      </c>
      <c r="P516" t="n">
        <v>-0.47</v>
      </c>
      <c r="Q516" t="n">
        <v>1.39</v>
      </c>
      <c r="R516" t="n">
        <v>10.84</v>
      </c>
      <c r="S516" t="n">
        <v>3.67</v>
      </c>
      <c r="T516" t="n">
        <v>8.17</v>
      </c>
      <c r="U516" t="n">
        <v>0.34</v>
      </c>
      <c r="V516" t="n">
        <v>0.66</v>
      </c>
      <c r="W516" t="n">
        <v>0.87</v>
      </c>
      <c r="X516" t="n">
        <v>26.3</v>
      </c>
      <c r="Z516" t="n">
        <v>15562163.41</v>
      </c>
      <c r="AA516" t="n">
        <v>13.39</v>
      </c>
      <c r="AB516" t="n">
        <v>1.45</v>
      </c>
      <c r="AC516" t="n">
        <v>-0.16</v>
      </c>
      <c r="AD516" t="n">
        <v>2159014983.84</v>
      </c>
    </row>
    <row r="517">
      <c r="A517" t="inlineStr">
        <is>
          <t>SBSP3</t>
        </is>
      </c>
      <c r="B517" t="n">
        <v>27</v>
      </c>
      <c r="C517" t="n">
        <v>2.58</v>
      </c>
      <c r="D517" t="n">
        <v>10.9</v>
      </c>
      <c r="E517" t="n">
        <v>2.18</v>
      </c>
      <c r="F517" t="n">
        <v>0.82</v>
      </c>
      <c r="G517" t="n">
        <v>36.58</v>
      </c>
      <c r="H517" t="n">
        <v>33.15</v>
      </c>
      <c r="I517" t="n">
        <v>22.03</v>
      </c>
      <c r="J517" t="n">
        <v>7.24</v>
      </c>
      <c r="K517" t="n">
        <v>9.710000000000001</v>
      </c>
      <c r="L517" t="n">
        <v>2.47</v>
      </c>
      <c r="M517" t="n">
        <v>0.74</v>
      </c>
      <c r="N517" t="n">
        <v>2.4</v>
      </c>
      <c r="O517" t="n">
        <v>8.630000000000001</v>
      </c>
      <c r="P517" t="n">
        <v>-1.05</v>
      </c>
      <c r="Q517" t="n">
        <v>1.74</v>
      </c>
      <c r="R517" t="n">
        <v>19.97</v>
      </c>
      <c r="S517" t="n">
        <v>7.48</v>
      </c>
      <c r="T517" t="n">
        <v>7.32</v>
      </c>
      <c r="U517" t="n">
        <v>0.37</v>
      </c>
      <c r="V517" t="n">
        <v>0.62</v>
      </c>
      <c r="W517" t="n">
        <v>0.34</v>
      </c>
      <c r="X517" t="n">
        <v>16.44</v>
      </c>
      <c r="Y517" t="n">
        <v>55.08</v>
      </c>
      <c r="Z517" t="n">
        <v>347845891.68</v>
      </c>
      <c r="AA517" t="n">
        <v>12.4</v>
      </c>
      <c r="AB517" t="n">
        <v>2.48</v>
      </c>
      <c r="AC517" t="n">
        <v>-0.74</v>
      </c>
      <c r="AD517" t="n">
        <v>95127173334.75</v>
      </c>
    </row>
    <row r="518">
      <c r="A518" t="inlineStr">
        <is>
          <t>SCAR3</t>
        </is>
      </c>
      <c r="B518" t="n">
        <v>13.1</v>
      </c>
      <c r="C518" t="n">
        <v>54.33</v>
      </c>
      <c r="D518" t="n">
        <v>16.84</v>
      </c>
      <c r="E518" t="n">
        <v>0.73</v>
      </c>
      <c r="F518" t="n">
        <v>0.27</v>
      </c>
      <c r="G518" t="n">
        <v>46.94</v>
      </c>
      <c r="H518" t="n">
        <v>18.55</v>
      </c>
      <c r="I518" t="n">
        <v>15.76</v>
      </c>
      <c r="J518" t="n">
        <v>14.3</v>
      </c>
      <c r="K518" t="n">
        <v>23.19</v>
      </c>
      <c r="L518" t="n">
        <v>8.789999999999999</v>
      </c>
      <c r="M518" t="n">
        <v>0.45</v>
      </c>
      <c r="N518" t="n">
        <v>2.65</v>
      </c>
      <c r="O518" t="n">
        <v>5.76</v>
      </c>
      <c r="P518" t="n">
        <v>-0.33</v>
      </c>
      <c r="Q518" t="n">
        <v>1.36</v>
      </c>
      <c r="R518" t="n">
        <v>4.32</v>
      </c>
      <c r="S518" t="n">
        <v>1.59</v>
      </c>
      <c r="T518" t="n">
        <v>1.84</v>
      </c>
      <c r="U518" t="n">
        <v>0.37</v>
      </c>
      <c r="V518" t="n">
        <v>0.64</v>
      </c>
      <c r="W518" t="n">
        <v>0.1</v>
      </c>
      <c r="X518" t="n">
        <v>-2.45</v>
      </c>
      <c r="Y518" t="n">
        <v>-12.49</v>
      </c>
      <c r="Z518" t="n">
        <v>189396.77</v>
      </c>
      <c r="AA518" t="n">
        <v>17.99</v>
      </c>
      <c r="AB518" t="n">
        <v>0.78</v>
      </c>
      <c r="AC518" t="n">
        <v>-0.07000000000000001</v>
      </c>
      <c r="AD518" t="n">
        <v>759823118.04</v>
      </c>
    </row>
    <row r="519">
      <c r="A519" t="inlineStr">
        <is>
          <t>SEDU3</t>
        </is>
      </c>
      <c r="B519" t="n">
        <v>23.8</v>
      </c>
      <c r="D519" t="n">
        <v>-13.36</v>
      </c>
      <c r="E519" t="n">
        <v>15</v>
      </c>
      <c r="F519" t="n">
        <v>1.53</v>
      </c>
      <c r="G519" t="n">
        <v>48.36</v>
      </c>
      <c r="H519" t="n">
        <v>-15.73</v>
      </c>
      <c r="I519" t="n">
        <v>-25.77</v>
      </c>
      <c r="J519" t="n">
        <v>-21.89</v>
      </c>
      <c r="K519" t="n">
        <v>-27.94</v>
      </c>
      <c r="L519" t="n">
        <v>-6.05</v>
      </c>
      <c r="M519" t="n">
        <v>4.15</v>
      </c>
      <c r="N519" t="n">
        <v>3.44</v>
      </c>
      <c r="O519" t="n">
        <v>57.9</v>
      </c>
      <c r="P519" t="n">
        <v>-2.27</v>
      </c>
      <c r="Q519" t="n">
        <v>1.09</v>
      </c>
      <c r="R519" t="n">
        <v>-112.29</v>
      </c>
      <c r="S519" t="n">
        <v>-11.46</v>
      </c>
      <c r="T519" t="n">
        <v>-13.15</v>
      </c>
      <c r="U519" t="n">
        <v>0.1</v>
      </c>
      <c r="V519" t="n">
        <v>0.9</v>
      </c>
      <c r="W519" t="n">
        <v>0.44</v>
      </c>
      <c r="X519" t="n">
        <v>12.49</v>
      </c>
      <c r="AA519" t="n">
        <v>1.59</v>
      </c>
      <c r="AB519" t="n">
        <v>-1.78</v>
      </c>
      <c r="AC519" t="n">
        <v>0.01</v>
      </c>
      <c r="AD519" t="n">
        <v>6238667820</v>
      </c>
    </row>
    <row r="520">
      <c r="A520" t="inlineStr">
        <is>
          <t>SEER3</t>
        </is>
      </c>
      <c r="B520" t="n">
        <v>11.68</v>
      </c>
      <c r="C520" t="n">
        <v>2.05</v>
      </c>
      <c r="D520" t="n">
        <v>6.08</v>
      </c>
      <c r="E520" t="n">
        <v>1.06</v>
      </c>
      <c r="F520" t="n">
        <v>0.42</v>
      </c>
      <c r="G520" t="n">
        <v>59.66</v>
      </c>
      <c r="H520" t="n">
        <v>20.61</v>
      </c>
      <c r="I520" t="n">
        <v>10.91</v>
      </c>
      <c r="J520" t="n">
        <v>3.22</v>
      </c>
      <c r="K520" t="n">
        <v>4.08</v>
      </c>
      <c r="L520" t="n">
        <v>0.84</v>
      </c>
      <c r="M520" t="n">
        <v>0.28</v>
      </c>
      <c r="N520" t="n">
        <v>0.66</v>
      </c>
      <c r="O520" t="n">
        <v>3.38</v>
      </c>
      <c r="P520" t="n">
        <v>-0.64</v>
      </c>
      <c r="Q520" t="n">
        <v>1.56</v>
      </c>
      <c r="R520" t="n">
        <v>17.4</v>
      </c>
      <c r="S520" t="n">
        <v>6.91</v>
      </c>
      <c r="T520" t="n">
        <v>19.39</v>
      </c>
      <c r="U520" t="n">
        <v>0.4</v>
      </c>
      <c r="V520" t="n">
        <v>0.6</v>
      </c>
      <c r="W520" t="n">
        <v>0.63</v>
      </c>
      <c r="X520" t="n">
        <v>12.13</v>
      </c>
      <c r="Y520" t="n">
        <v>8.369999999999999</v>
      </c>
      <c r="Z520" t="n">
        <v>7766990</v>
      </c>
      <c r="AA520" t="n">
        <v>11.01</v>
      </c>
      <c r="AB520" t="n">
        <v>1.92</v>
      </c>
      <c r="AC520" t="n">
        <v>0.02</v>
      </c>
      <c r="AD520" t="n">
        <v>1506042252</v>
      </c>
    </row>
    <row r="521">
      <c r="A521" t="inlineStr">
        <is>
          <t>SEQL3</t>
        </is>
      </c>
      <c r="B521" t="n">
        <v>0.07000000000000001</v>
      </c>
      <c r="D521" t="n">
        <v>-1.28</v>
      </c>
      <c r="E521" t="n">
        <v>-1.75</v>
      </c>
      <c r="F521" t="n">
        <v>0.64</v>
      </c>
      <c r="G521" t="n">
        <v>7.71</v>
      </c>
      <c r="H521" t="n">
        <v>-33.49</v>
      </c>
      <c r="I521" t="n">
        <v>-61.27</v>
      </c>
      <c r="J521" t="n">
        <v>-2.35</v>
      </c>
      <c r="K521" t="n">
        <v>-4.12</v>
      </c>
      <c r="L521" t="n">
        <v>-1.78</v>
      </c>
      <c r="N521" t="n">
        <v>0.79</v>
      </c>
      <c r="O521" t="n">
        <v>-1.33</v>
      </c>
      <c r="P521" t="n">
        <v>-0.77</v>
      </c>
      <c r="Q521" t="n">
        <v>0.26</v>
      </c>
      <c r="R521" t="n">
        <v>-136.47</v>
      </c>
      <c r="S521" t="n">
        <v>-50.14</v>
      </c>
      <c r="T521" t="n">
        <v>-188.29</v>
      </c>
      <c r="U521" t="n">
        <v>-0.37</v>
      </c>
      <c r="V521" t="n">
        <v>1.37</v>
      </c>
      <c r="W521" t="n">
        <v>0.82</v>
      </c>
      <c r="X521" t="n">
        <v>-9.890000000000001</v>
      </c>
      <c r="Z521" t="n">
        <v>45492.36</v>
      </c>
      <c r="AA521" t="n">
        <v>-0.04</v>
      </c>
      <c r="AB521" t="n">
        <v>-0.05</v>
      </c>
      <c r="AC521" t="n">
        <v>0.02</v>
      </c>
      <c r="AD521" t="n">
        <v>445934207.04</v>
      </c>
    </row>
    <row r="522">
      <c r="A522" t="inlineStr">
        <is>
          <t>SGPS3</t>
        </is>
      </c>
      <c r="B522" t="n">
        <v>1.64</v>
      </c>
      <c r="D522" t="n">
        <v>-0.03</v>
      </c>
      <c r="E522" t="n">
        <v>-0.02</v>
      </c>
      <c r="F522" t="n">
        <v>0.01</v>
      </c>
      <c r="G522" t="n">
        <v>4.26</v>
      </c>
      <c r="H522" t="n">
        <v>-86.62</v>
      </c>
      <c r="I522" t="n">
        <v>-139.61</v>
      </c>
      <c r="J522" t="n">
        <v>-0.04</v>
      </c>
      <c r="K522" t="n">
        <v>-2.72</v>
      </c>
      <c r="L522" t="n">
        <v>-2.68</v>
      </c>
      <c r="N522" t="n">
        <v>0.04</v>
      </c>
      <c r="O522" t="n">
        <v>-0.01</v>
      </c>
      <c r="P522" t="n">
        <v>-0.01</v>
      </c>
      <c r="Q522" t="n">
        <v>0.25</v>
      </c>
      <c r="R522" t="n">
        <v>-64.45999999999999</v>
      </c>
      <c r="S522" t="n">
        <v>-26.55</v>
      </c>
      <c r="T522" t="n">
        <v>-303.18</v>
      </c>
      <c r="U522" t="n">
        <v>-0.41</v>
      </c>
      <c r="V522" t="n">
        <v>1.41</v>
      </c>
      <c r="W522" t="n">
        <v>0.19</v>
      </c>
      <c r="X522" t="n">
        <v>-20.94</v>
      </c>
      <c r="AA522" t="n">
        <v>-95.16</v>
      </c>
      <c r="AB522" t="n">
        <v>-61.34</v>
      </c>
      <c r="AC522" t="n">
        <v>0</v>
      </c>
      <c r="AD522" t="n">
        <v>16400000</v>
      </c>
    </row>
    <row r="523">
      <c r="A523" t="inlineStr">
        <is>
          <t>SHOW3</t>
        </is>
      </c>
      <c r="B523" t="n">
        <v>6.06</v>
      </c>
      <c r="D523" t="n">
        <v>-0.93</v>
      </c>
      <c r="E523" t="n">
        <v>0.41</v>
      </c>
      <c r="F523" t="n">
        <v>0.13</v>
      </c>
      <c r="G523" t="n">
        <v>28.06</v>
      </c>
      <c r="H523" t="n">
        <v>-8.81</v>
      </c>
      <c r="I523" t="n">
        <v>-22.8</v>
      </c>
      <c r="J523" t="n">
        <v>-2.42</v>
      </c>
      <c r="K523" t="n">
        <v>-0.73</v>
      </c>
      <c r="L523" t="n">
        <v>1.69</v>
      </c>
      <c r="M523" t="n">
        <v>-0.28</v>
      </c>
      <c r="N523" t="n">
        <v>0.21</v>
      </c>
      <c r="O523" t="n">
        <v>1.09</v>
      </c>
      <c r="P523" t="n">
        <v>-0.26</v>
      </c>
      <c r="Q523" t="n">
        <v>1.3</v>
      </c>
      <c r="R523" t="n">
        <v>-43.49</v>
      </c>
      <c r="S523" t="n">
        <v>-13.74</v>
      </c>
      <c r="T523" t="n">
        <v>-13.15</v>
      </c>
      <c r="U523" t="n">
        <v>0.32</v>
      </c>
      <c r="V523" t="n">
        <v>0.68</v>
      </c>
      <c r="W523" t="n">
        <v>0.6</v>
      </c>
      <c r="X523" t="n">
        <v>35.22</v>
      </c>
      <c r="Z523" t="n">
        <v>329842.45</v>
      </c>
      <c r="AA523" t="n">
        <v>14.86</v>
      </c>
      <c r="AB523" t="n">
        <v>-6.46</v>
      </c>
      <c r="AC523" t="n">
        <v>0.02</v>
      </c>
      <c r="AD523" t="n">
        <v>40717222.48</v>
      </c>
    </row>
    <row r="524">
      <c r="A524" t="inlineStr">
        <is>
          <t>SHUL3</t>
        </is>
      </c>
      <c r="B524" t="n">
        <v>27.31</v>
      </c>
      <c r="C524" t="n">
        <v>1.49</v>
      </c>
      <c r="D524" t="n">
        <v>35.74</v>
      </c>
      <c r="E524" t="n">
        <v>6.38</v>
      </c>
      <c r="F524" t="n">
        <v>3.26</v>
      </c>
      <c r="G524" t="n">
        <v>22.44</v>
      </c>
      <c r="H524" t="n">
        <v>10.96</v>
      </c>
      <c r="I524" t="n">
        <v>14.43</v>
      </c>
      <c r="J524" t="n">
        <v>47.06</v>
      </c>
      <c r="K524" t="n">
        <v>23.88</v>
      </c>
      <c r="L524" t="n">
        <v>-0.65</v>
      </c>
      <c r="M524" t="n">
        <v>-0.09</v>
      </c>
      <c r="N524" t="n">
        <v>5.16</v>
      </c>
      <c r="O524" t="n">
        <v>8.359999999999999</v>
      </c>
      <c r="P524" t="n">
        <v>-9.08</v>
      </c>
      <c r="Q524" t="n">
        <v>2.56</v>
      </c>
      <c r="R524" t="n">
        <v>17.86</v>
      </c>
      <c r="S524" t="n">
        <v>9.130000000000001</v>
      </c>
      <c r="T524" t="n">
        <v>8.48</v>
      </c>
      <c r="U524" t="n">
        <v>0.51</v>
      </c>
      <c r="V524" t="n">
        <v>0.49</v>
      </c>
      <c r="W524" t="n">
        <v>0.63</v>
      </c>
      <c r="X524" t="n">
        <v>13.02</v>
      </c>
      <c r="Y524" t="n">
        <v>14</v>
      </c>
      <c r="AA524" t="n">
        <v>4.28</v>
      </c>
      <c r="AB524" t="n">
        <v>0.76</v>
      </c>
      <c r="AC524" t="n">
        <v>14.32</v>
      </c>
      <c r="AD524" t="n">
        <v>5087014816.52</v>
      </c>
    </row>
    <row r="525">
      <c r="A525" t="inlineStr">
        <is>
          <t>SHUL4</t>
        </is>
      </c>
      <c r="B525" t="n">
        <v>4.48</v>
      </c>
      <c r="C525" t="n">
        <v>10.15</v>
      </c>
      <c r="D525" t="n">
        <v>5.86</v>
      </c>
      <c r="E525" t="n">
        <v>1.05</v>
      </c>
      <c r="F525" t="n">
        <v>0.54</v>
      </c>
      <c r="G525" t="n">
        <v>22.44</v>
      </c>
      <c r="H525" t="n">
        <v>10.96</v>
      </c>
      <c r="I525" t="n">
        <v>14.43</v>
      </c>
      <c r="J525" t="n">
        <v>7.72</v>
      </c>
      <c r="K525" t="n">
        <v>23.88</v>
      </c>
      <c r="L525" t="n">
        <v>-0.65</v>
      </c>
      <c r="M525" t="n">
        <v>-0.09</v>
      </c>
      <c r="N525" t="n">
        <v>0.85</v>
      </c>
      <c r="O525" t="n">
        <v>1.37</v>
      </c>
      <c r="P525" t="n">
        <v>-1.49</v>
      </c>
      <c r="Q525" t="n">
        <v>2.56</v>
      </c>
      <c r="R525" t="n">
        <v>17.86</v>
      </c>
      <c r="S525" t="n">
        <v>9.130000000000001</v>
      </c>
      <c r="T525" t="n">
        <v>8.48</v>
      </c>
      <c r="U525" t="n">
        <v>0.51</v>
      </c>
      <c r="V525" t="n">
        <v>0.49</v>
      </c>
      <c r="W525" t="n">
        <v>0.63</v>
      </c>
      <c r="X525" t="n">
        <v>13.02</v>
      </c>
      <c r="Y525" t="n">
        <v>14</v>
      </c>
      <c r="Z525" t="n">
        <v>2210800.45</v>
      </c>
      <c r="AA525" t="n">
        <v>4.28</v>
      </c>
      <c r="AB525" t="n">
        <v>0.76</v>
      </c>
      <c r="AC525" t="n">
        <v>2.35</v>
      </c>
      <c r="AD525" t="n">
        <v>5087014816.52</v>
      </c>
    </row>
    <row r="526">
      <c r="A526" t="inlineStr">
        <is>
          <t>SIMH3</t>
        </is>
      </c>
      <c r="B526" t="n">
        <v>7.54</v>
      </c>
      <c r="C526" t="n">
        <v>2.27</v>
      </c>
      <c r="D526" t="n">
        <v>-49.29</v>
      </c>
      <c r="E526" t="n">
        <v>1.03</v>
      </c>
      <c r="F526" t="n">
        <v>0.05</v>
      </c>
      <c r="G526" t="n">
        <v>26.35</v>
      </c>
      <c r="H526" t="n">
        <v>18.52</v>
      </c>
      <c r="I526" t="n">
        <v>-0.2</v>
      </c>
      <c r="J526" t="n">
        <v>0.54</v>
      </c>
      <c r="K526" t="n">
        <v>6.06</v>
      </c>
      <c r="L526" t="n">
        <v>5.52</v>
      </c>
      <c r="M526" t="n">
        <v>10.59</v>
      </c>
      <c r="N526" t="n">
        <v>0.1</v>
      </c>
      <c r="O526" t="n">
        <v>0.62</v>
      </c>
      <c r="P526" t="n">
        <v>-0.08</v>
      </c>
      <c r="Q526" t="n">
        <v>1.3</v>
      </c>
      <c r="R526" t="n">
        <v>-2.1</v>
      </c>
      <c r="S526" t="n">
        <v>-0.1</v>
      </c>
      <c r="T526" t="n">
        <v>11.98</v>
      </c>
      <c r="U526" t="n">
        <v>0.05</v>
      </c>
      <c r="V526" t="n">
        <v>0.92</v>
      </c>
      <c r="W526" t="n">
        <v>0.49</v>
      </c>
      <c r="X526" t="n">
        <v>34.72</v>
      </c>
      <c r="Z526" t="n">
        <v>16911906.05</v>
      </c>
      <c r="AA526" t="n">
        <v>7.29</v>
      </c>
      <c r="AB526" t="n">
        <v>-0.15</v>
      </c>
      <c r="AC526" t="n">
        <v>0.79</v>
      </c>
      <c r="AD526" t="n">
        <v>4424895425.78</v>
      </c>
    </row>
    <row r="527">
      <c r="A527" t="inlineStr">
        <is>
          <t>SLCE3</t>
        </is>
      </c>
      <c r="B527" t="n">
        <v>13.12</v>
      </c>
      <c r="C527" t="n">
        <v>6.91</v>
      </c>
      <c r="D527" t="n">
        <v>20.18</v>
      </c>
      <c r="E527" t="n">
        <v>1.23</v>
      </c>
      <c r="F527" t="n">
        <v>0.33</v>
      </c>
      <c r="G527" t="n">
        <v>29.16</v>
      </c>
      <c r="H527" t="n">
        <v>16.38</v>
      </c>
      <c r="I527" t="n">
        <v>3.38</v>
      </c>
      <c r="J527" t="n">
        <v>4.16</v>
      </c>
      <c r="K527" t="n">
        <v>8.19</v>
      </c>
      <c r="L527" t="n">
        <v>4.04</v>
      </c>
      <c r="M527" t="n">
        <v>1.19</v>
      </c>
      <c r="N527" t="n">
        <v>0.68</v>
      </c>
      <c r="O527" t="n">
        <v>1.41</v>
      </c>
      <c r="P527" t="n">
        <v>-0.58</v>
      </c>
      <c r="Q527" t="n">
        <v>2.2</v>
      </c>
      <c r="R527" t="n">
        <v>6.1</v>
      </c>
      <c r="S527" t="n">
        <v>1.64</v>
      </c>
      <c r="T527" t="n">
        <v>11.68</v>
      </c>
      <c r="U527" t="n">
        <v>0.27</v>
      </c>
      <c r="V527" t="n">
        <v>0.7</v>
      </c>
      <c r="W527" t="n">
        <v>0.48</v>
      </c>
      <c r="X527" t="n">
        <v>20.3</v>
      </c>
      <c r="Y527" t="n">
        <v>-7.89</v>
      </c>
      <c r="Z527" t="n">
        <v>42393212.18</v>
      </c>
      <c r="AA527" t="n">
        <v>10.66</v>
      </c>
      <c r="AB527" t="n">
        <v>0.65</v>
      </c>
      <c r="AC527" t="n">
        <v>-0.33</v>
      </c>
      <c r="AD527" t="n">
        <v>6523596764.4</v>
      </c>
    </row>
    <row r="528">
      <c r="A528" t="inlineStr">
        <is>
          <t>SLED3</t>
        </is>
      </c>
      <c r="B528" t="n">
        <v>3.21</v>
      </c>
      <c r="D528" t="n">
        <v>0.45</v>
      </c>
      <c r="E528" t="n">
        <v>-0.08</v>
      </c>
      <c r="F528" t="n">
        <v>0.48</v>
      </c>
      <c r="G528" t="n">
        <v>47.85</v>
      </c>
      <c r="H528" t="n">
        <v>73.94</v>
      </c>
      <c r="I528" t="n">
        <v>92.70999999999999</v>
      </c>
      <c r="J528" t="n">
        <v>0.5600000000000001</v>
      </c>
      <c r="K528" t="n">
        <v>0.95</v>
      </c>
      <c r="L528" t="n">
        <v>0.65</v>
      </c>
      <c r="N528" t="n">
        <v>0.42</v>
      </c>
      <c r="O528" t="n">
        <v>-0.2</v>
      </c>
      <c r="P528" t="n">
        <v>-0.72</v>
      </c>
      <c r="Q528" t="n">
        <v>0.12</v>
      </c>
      <c r="R528" t="n">
        <v>-18.07</v>
      </c>
      <c r="S528" t="n">
        <v>107.04</v>
      </c>
      <c r="T528" t="n">
        <v>-15.91</v>
      </c>
      <c r="U528" t="n">
        <v>-5.92</v>
      </c>
      <c r="V528" t="n">
        <v>6.92</v>
      </c>
      <c r="W528" t="n">
        <v>1.15</v>
      </c>
      <c r="X528" t="n">
        <v>-45.03</v>
      </c>
      <c r="AA528" t="n">
        <v>-39.57</v>
      </c>
      <c r="AB528" t="n">
        <v>7.15</v>
      </c>
      <c r="AC528" t="n">
        <v>-0.02</v>
      </c>
      <c r="AD528" t="n">
        <v>16497692.59</v>
      </c>
    </row>
    <row r="529">
      <c r="A529" t="inlineStr">
        <is>
          <t>SLED4</t>
        </is>
      </c>
      <c r="B529" t="n">
        <v>1.6</v>
      </c>
      <c r="D529" t="n">
        <v>0.22</v>
      </c>
      <c r="E529" t="n">
        <v>-0.04</v>
      </c>
      <c r="F529" t="n">
        <v>0.24</v>
      </c>
      <c r="G529" t="n">
        <v>47.85</v>
      </c>
      <c r="H529" t="n">
        <v>73.94</v>
      </c>
      <c r="I529" t="n">
        <v>92.70999999999999</v>
      </c>
      <c r="J529" t="n">
        <v>0.28</v>
      </c>
      <c r="K529" t="n">
        <v>0.95</v>
      </c>
      <c r="L529" t="n">
        <v>0.65</v>
      </c>
      <c r="N529" t="n">
        <v>0.21</v>
      </c>
      <c r="O529" t="n">
        <v>-0.1</v>
      </c>
      <c r="P529" t="n">
        <v>-0.36</v>
      </c>
      <c r="Q529" t="n">
        <v>0.12</v>
      </c>
      <c r="R529" t="n">
        <v>-18.07</v>
      </c>
      <c r="S529" t="n">
        <v>107.04</v>
      </c>
      <c r="T529" t="n">
        <v>-15.91</v>
      </c>
      <c r="U529" t="n">
        <v>-5.92</v>
      </c>
      <c r="V529" t="n">
        <v>6.92</v>
      </c>
      <c r="W529" t="n">
        <v>1.15</v>
      </c>
      <c r="X529" t="n">
        <v>-45.03</v>
      </c>
      <c r="AA529" t="n">
        <v>-39.57</v>
      </c>
      <c r="AB529" t="n">
        <v>7.15</v>
      </c>
      <c r="AC529" t="n">
        <v>-0.01</v>
      </c>
      <c r="AD529" t="n">
        <v>16497692.59</v>
      </c>
    </row>
    <row r="530">
      <c r="A530" t="inlineStr">
        <is>
          <t>SMFT3</t>
        </is>
      </c>
      <c r="B530" t="n">
        <v>19.48</v>
      </c>
      <c r="C530" t="n">
        <v>5.34</v>
      </c>
      <c r="D530" t="n">
        <v>17.38</v>
      </c>
      <c r="E530" t="n">
        <v>2.02</v>
      </c>
      <c r="F530" t="n">
        <v>0.53</v>
      </c>
      <c r="G530" t="n">
        <v>42.93</v>
      </c>
      <c r="H530" t="n">
        <v>23.71</v>
      </c>
      <c r="I530" t="n">
        <v>9</v>
      </c>
      <c r="J530" t="n">
        <v>6.6</v>
      </c>
      <c r="K530" t="n">
        <v>8.84</v>
      </c>
      <c r="L530" t="n">
        <v>2.26</v>
      </c>
      <c r="M530" t="n">
        <v>0.6899999999999999</v>
      </c>
      <c r="N530" t="n">
        <v>1.56</v>
      </c>
      <c r="O530" t="n">
        <v>4.74</v>
      </c>
      <c r="P530" t="n">
        <v>-0.72</v>
      </c>
      <c r="Q530" t="n">
        <v>1.72</v>
      </c>
      <c r="R530" t="n">
        <v>11.65</v>
      </c>
      <c r="S530" t="n">
        <v>3.05</v>
      </c>
      <c r="T530" t="n">
        <v>12.29</v>
      </c>
      <c r="U530" t="n">
        <v>0.26</v>
      </c>
      <c r="V530" t="n">
        <v>0.74</v>
      </c>
      <c r="W530" t="n">
        <v>0.34</v>
      </c>
      <c r="X530" t="n">
        <v>41.96</v>
      </c>
      <c r="Z530" t="n">
        <v>92300590.31999999</v>
      </c>
      <c r="AA530" t="n">
        <v>9.619999999999999</v>
      </c>
      <c r="AB530" t="n">
        <v>1.12</v>
      </c>
      <c r="AC530" t="n">
        <v>0.36</v>
      </c>
      <c r="AD530" t="n">
        <v>11971402868.92</v>
      </c>
    </row>
    <row r="531">
      <c r="A531" t="inlineStr">
        <is>
          <t>SMLS3</t>
        </is>
      </c>
      <c r="B531" t="n">
        <v>22.4</v>
      </c>
      <c r="D531" t="n">
        <v>10.78</v>
      </c>
      <c r="E531" t="n">
        <v>4.09</v>
      </c>
      <c r="F531" t="n">
        <v>1.02</v>
      </c>
      <c r="G531" t="n">
        <v>85.18000000000001</v>
      </c>
      <c r="H531" t="n">
        <v>41.42</v>
      </c>
      <c r="I531" t="n">
        <v>39.07</v>
      </c>
      <c r="J531" t="n">
        <v>10.17</v>
      </c>
      <c r="K531" t="n">
        <v>9.93</v>
      </c>
      <c r="L531" t="n">
        <v>-0.24</v>
      </c>
      <c r="M531" t="n">
        <v>-0.1</v>
      </c>
      <c r="N531" t="n">
        <v>4.21</v>
      </c>
      <c r="O531" t="n">
        <v>18.78</v>
      </c>
      <c r="P531" t="n">
        <v>-2.54</v>
      </c>
      <c r="Q531" t="n">
        <v>1.1</v>
      </c>
      <c r="R531" t="n">
        <v>37.96</v>
      </c>
      <c r="S531" t="n">
        <v>9.43</v>
      </c>
      <c r="T531" t="n">
        <v>20.63</v>
      </c>
      <c r="U531" t="n">
        <v>0.25</v>
      </c>
      <c r="V531" t="n">
        <v>0.75</v>
      </c>
      <c r="W531" t="n">
        <v>0.24</v>
      </c>
      <c r="AA531" t="n">
        <v>5.47</v>
      </c>
      <c r="AB531" t="n">
        <v>2.08</v>
      </c>
      <c r="AC531" t="n">
        <v>-0.33</v>
      </c>
      <c r="AD531" t="n">
        <v>2781160547.2</v>
      </c>
    </row>
    <row r="532">
      <c r="A532" t="inlineStr">
        <is>
          <t>SMTO3</t>
        </is>
      </c>
      <c r="B532" t="n">
        <v>14.17</v>
      </c>
      <c r="C532" t="n">
        <v>4.75</v>
      </c>
      <c r="D532" t="n">
        <v>5.63</v>
      </c>
      <c r="E532" t="n">
        <v>0.64</v>
      </c>
      <c r="F532" t="n">
        <v>0.2</v>
      </c>
      <c r="G532" t="n">
        <v>26.22</v>
      </c>
      <c r="H532" t="n">
        <v>18.77</v>
      </c>
      <c r="I532" t="n">
        <v>11.25</v>
      </c>
      <c r="J532" t="n">
        <v>3.38</v>
      </c>
      <c r="K532" t="n">
        <v>8.65</v>
      </c>
      <c r="L532" t="n">
        <v>5.27</v>
      </c>
      <c r="M532" t="n">
        <v>1</v>
      </c>
      <c r="N532" t="n">
        <v>0.63</v>
      </c>
      <c r="O532" t="n">
        <v>1.05</v>
      </c>
      <c r="P532" t="n">
        <v>-0.29</v>
      </c>
      <c r="Q532" t="n">
        <v>2.62</v>
      </c>
      <c r="R532" t="n">
        <v>11.35</v>
      </c>
      <c r="S532" t="n">
        <v>3.57</v>
      </c>
      <c r="T532" t="n">
        <v>4.03</v>
      </c>
      <c r="U532" t="n">
        <v>0.31</v>
      </c>
      <c r="V532" t="n">
        <v>0.6899999999999999</v>
      </c>
      <c r="W532" t="n">
        <v>0.32</v>
      </c>
      <c r="X532" t="n">
        <v>11.54</v>
      </c>
      <c r="Y532" t="n">
        <v>-2.04</v>
      </c>
      <c r="Z532" t="n">
        <v>21041612.91</v>
      </c>
      <c r="AA532" t="n">
        <v>22.15</v>
      </c>
      <c r="AB532" t="n">
        <v>2.52</v>
      </c>
      <c r="AC532" t="n">
        <v>0.11</v>
      </c>
      <c r="AD532" t="n">
        <v>4720582552.2</v>
      </c>
    </row>
    <row r="533">
      <c r="A533" t="inlineStr">
        <is>
          <t>SNSY3</t>
        </is>
      </c>
      <c r="B533" t="n">
        <v>9.130000000000001</v>
      </c>
      <c r="D533" t="n">
        <v>-0.23</v>
      </c>
      <c r="E533" t="n">
        <v>-0.03</v>
      </c>
      <c r="F533" t="n">
        <v>0.12</v>
      </c>
      <c r="G533" t="n">
        <v>19.1</v>
      </c>
      <c r="H533" t="n">
        <v>-3.62</v>
      </c>
      <c r="I533" t="n">
        <v>-32.42</v>
      </c>
      <c r="J533" t="n">
        <v>-2.05</v>
      </c>
      <c r="K533" t="n">
        <v>-9.539999999999999</v>
      </c>
      <c r="L533" t="n">
        <v>-7.14</v>
      </c>
      <c r="N533" t="n">
        <v>0.07000000000000001</v>
      </c>
      <c r="O533" t="n">
        <v>-0.34</v>
      </c>
      <c r="P533" t="n">
        <v>-0.29</v>
      </c>
      <c r="Q533" t="n">
        <v>0.61</v>
      </c>
      <c r="R533" t="n">
        <v>-13.19</v>
      </c>
      <c r="S533" t="n">
        <v>-54.35</v>
      </c>
      <c r="T533" t="n">
        <v>1.67</v>
      </c>
      <c r="U533" t="n">
        <v>-4.12</v>
      </c>
      <c r="V533" t="n">
        <v>5.16</v>
      </c>
      <c r="W533" t="n">
        <v>1.68</v>
      </c>
      <c r="X533" t="n">
        <v>13.8</v>
      </c>
      <c r="Z533" t="n">
        <v>231.3</v>
      </c>
      <c r="AA533" t="n">
        <v>-302.39</v>
      </c>
      <c r="AB533" t="n">
        <v>-39.88</v>
      </c>
      <c r="AC533" t="n">
        <v>0</v>
      </c>
      <c r="AD533" t="n">
        <v>82489914.40000001</v>
      </c>
    </row>
    <row r="534">
      <c r="A534" t="inlineStr">
        <is>
          <t>SNSY5</t>
        </is>
      </c>
      <c r="B534" t="n">
        <v>2.47</v>
      </c>
      <c r="D534" t="n">
        <v>-0.06</v>
      </c>
      <c r="E534" t="n">
        <v>-0.01</v>
      </c>
      <c r="F534" t="n">
        <v>0.03</v>
      </c>
      <c r="G534" t="n">
        <v>19.1</v>
      </c>
      <c r="H534" t="n">
        <v>-3.62</v>
      </c>
      <c r="I534" t="n">
        <v>-32.42</v>
      </c>
      <c r="J534" t="n">
        <v>-0.5600000000000001</v>
      </c>
      <c r="K534" t="n">
        <v>-9.539999999999999</v>
      </c>
      <c r="L534" t="n">
        <v>-7.14</v>
      </c>
      <c r="N534" t="n">
        <v>0.02</v>
      </c>
      <c r="O534" t="n">
        <v>-0.09</v>
      </c>
      <c r="P534" t="n">
        <v>-0.08</v>
      </c>
      <c r="Q534" t="n">
        <v>0.61</v>
      </c>
      <c r="R534" t="n">
        <v>-13.19</v>
      </c>
      <c r="S534" t="n">
        <v>-54.35</v>
      </c>
      <c r="T534" t="n">
        <v>1.67</v>
      </c>
      <c r="U534" t="n">
        <v>-4.12</v>
      </c>
      <c r="V534" t="n">
        <v>5.16</v>
      </c>
      <c r="W534" t="n">
        <v>1.68</v>
      </c>
      <c r="X534" t="n">
        <v>13.8</v>
      </c>
      <c r="Z534" t="n">
        <v>21977.14</v>
      </c>
      <c r="AA534" t="n">
        <v>-302.39</v>
      </c>
      <c r="AB534" t="n">
        <v>-39.88</v>
      </c>
      <c r="AC534" t="n">
        <v>0</v>
      </c>
      <c r="AD534" t="n">
        <v>82489914.40000001</v>
      </c>
    </row>
    <row r="535">
      <c r="A535" t="inlineStr">
        <is>
          <t>SNSY6</t>
        </is>
      </c>
      <c r="B535" t="n">
        <v>11.51</v>
      </c>
      <c r="D535" t="n">
        <v>-0.29</v>
      </c>
      <c r="E535" t="n">
        <v>-0.04</v>
      </c>
      <c r="F535" t="n">
        <v>0.16</v>
      </c>
      <c r="G535" t="n">
        <v>19.1</v>
      </c>
      <c r="H535" t="n">
        <v>-3.62</v>
      </c>
      <c r="I535" t="n">
        <v>-32.42</v>
      </c>
      <c r="J535" t="n">
        <v>-2.59</v>
      </c>
      <c r="K535" t="n">
        <v>-9.539999999999999</v>
      </c>
      <c r="L535" t="n">
        <v>-7.14</v>
      </c>
      <c r="N535" t="n">
        <v>0.09</v>
      </c>
      <c r="O535" t="n">
        <v>-0.43</v>
      </c>
      <c r="P535" t="n">
        <v>-0.36</v>
      </c>
      <c r="Q535" t="n">
        <v>0.61</v>
      </c>
      <c r="R535" t="n">
        <v>-13.19</v>
      </c>
      <c r="S535" t="n">
        <v>-54.35</v>
      </c>
      <c r="T535" t="n">
        <v>1.67</v>
      </c>
      <c r="U535" t="n">
        <v>-4.12</v>
      </c>
      <c r="V535" t="n">
        <v>5.16</v>
      </c>
      <c r="W535" t="n">
        <v>1.68</v>
      </c>
      <c r="X535" t="n">
        <v>13.8</v>
      </c>
      <c r="AA535" t="n">
        <v>-302.39</v>
      </c>
      <c r="AB535" t="n">
        <v>-39.88</v>
      </c>
      <c r="AC535" t="n">
        <v>0</v>
      </c>
      <c r="AD535" t="n">
        <v>82489914.40000001</v>
      </c>
    </row>
    <row r="536">
      <c r="A536" t="inlineStr">
        <is>
          <t>SOJA3</t>
        </is>
      </c>
      <c r="B536" t="n">
        <v>5.39</v>
      </c>
      <c r="C536" t="n">
        <v>5.53</v>
      </c>
      <c r="D536" t="n">
        <v>30.96</v>
      </c>
      <c r="E536" t="n">
        <v>0.57</v>
      </c>
      <c r="F536" t="n">
        <v>0.22</v>
      </c>
      <c r="G536" t="n">
        <v>10.86</v>
      </c>
      <c r="H536" t="n">
        <v>4.08</v>
      </c>
      <c r="I536" t="n">
        <v>0.9399999999999999</v>
      </c>
      <c r="J536" t="n">
        <v>7.14</v>
      </c>
      <c r="K536" t="n">
        <v>14.92</v>
      </c>
      <c r="L536" t="n">
        <v>7.81</v>
      </c>
      <c r="M536" t="n">
        <v>0.62</v>
      </c>
      <c r="N536" t="n">
        <v>0.29</v>
      </c>
      <c r="O536" t="n">
        <v>0.41</v>
      </c>
      <c r="P536" t="n">
        <v>-0.6899999999999999</v>
      </c>
      <c r="Q536" t="n">
        <v>4.6</v>
      </c>
      <c r="R536" t="n">
        <v>1.84</v>
      </c>
      <c r="S536" t="n">
        <v>0.71</v>
      </c>
      <c r="T536" t="n">
        <v>1.65</v>
      </c>
      <c r="U536" t="n">
        <v>0.39</v>
      </c>
      <c r="V536" t="n">
        <v>0.61</v>
      </c>
      <c r="W536" t="n">
        <v>0.76</v>
      </c>
      <c r="X536" t="n">
        <v>34.83</v>
      </c>
      <c r="Y536" t="n">
        <v>-18.88</v>
      </c>
      <c r="Z536" t="n">
        <v>3415375.32</v>
      </c>
      <c r="AA536" t="n">
        <v>9.42</v>
      </c>
      <c r="AB536" t="n">
        <v>0.17</v>
      </c>
      <c r="AC536" t="n">
        <v>-0.41</v>
      </c>
      <c r="AD536" t="n">
        <v>760598407.6799999</v>
      </c>
    </row>
    <row r="537">
      <c r="A537" t="inlineStr">
        <is>
          <t>SOMA3</t>
        </is>
      </c>
      <c r="B537" t="n">
        <v>5.95</v>
      </c>
      <c r="D537" t="n">
        <v>2.96</v>
      </c>
      <c r="E537" t="n">
        <v>0.8</v>
      </c>
      <c r="F537" t="n">
        <v>0.49</v>
      </c>
      <c r="G537" t="n">
        <v>56.8</v>
      </c>
      <c r="H537" t="n">
        <v>-46.46</v>
      </c>
      <c r="I537" t="n">
        <v>29.33</v>
      </c>
      <c r="J537" t="n">
        <v>-1.87</v>
      </c>
      <c r="K537" t="n">
        <v>-2.32</v>
      </c>
      <c r="L537" t="n">
        <v>-0.45</v>
      </c>
      <c r="M537" t="n">
        <v>0.19</v>
      </c>
      <c r="N537" t="n">
        <v>0.87</v>
      </c>
      <c r="O537" t="n">
        <v>2.01</v>
      </c>
      <c r="P537" t="n">
        <v>-0.84</v>
      </c>
      <c r="Q537" t="n">
        <v>2.36</v>
      </c>
      <c r="R537" t="n">
        <v>27.15</v>
      </c>
      <c r="S537" t="n">
        <v>16.44</v>
      </c>
      <c r="T537" t="n">
        <v>-47.2</v>
      </c>
      <c r="U537" t="n">
        <v>0.61</v>
      </c>
      <c r="V537" t="n">
        <v>0.39</v>
      </c>
      <c r="W537" t="n">
        <v>0.5600000000000001</v>
      </c>
      <c r="X537" t="n">
        <v>37.72</v>
      </c>
      <c r="Y537" t="n">
        <v>80.87</v>
      </c>
      <c r="Z537" t="n">
        <v>99716529</v>
      </c>
      <c r="AA537" t="n">
        <v>7.4</v>
      </c>
      <c r="AB537" t="n">
        <v>2.01</v>
      </c>
      <c r="AC537" t="n">
        <v>0.01</v>
      </c>
      <c r="AD537" t="n">
        <v>4669246869.35</v>
      </c>
    </row>
    <row r="538">
      <c r="A538" t="inlineStr">
        <is>
          <t>SOND3</t>
        </is>
      </c>
      <c r="B538" t="n">
        <v>38.66</v>
      </c>
      <c r="C538" t="n">
        <v>22.14</v>
      </c>
      <c r="D538" t="n">
        <v>2.81</v>
      </c>
      <c r="E538" t="n">
        <v>1.33</v>
      </c>
      <c r="F538" t="n">
        <v>0.73</v>
      </c>
      <c r="G538" t="n">
        <v>35.67</v>
      </c>
      <c r="H538" t="n">
        <v>19.63</v>
      </c>
      <c r="I538" t="n">
        <v>14.61</v>
      </c>
      <c r="J538" t="n">
        <v>2.09</v>
      </c>
      <c r="K538" t="n">
        <v>2.48</v>
      </c>
      <c r="L538" t="n">
        <v>-0.97</v>
      </c>
      <c r="M538" t="n">
        <v>-0.61</v>
      </c>
      <c r="N538" t="n">
        <v>0.41</v>
      </c>
      <c r="O538" t="n">
        <v>2.61</v>
      </c>
      <c r="P538" t="n">
        <v>-2.06</v>
      </c>
      <c r="Q538" t="n">
        <v>1.76</v>
      </c>
      <c r="R538" t="n">
        <v>47.32</v>
      </c>
      <c r="S538" t="n">
        <v>25.92</v>
      </c>
      <c r="T538" t="n">
        <v>25.23</v>
      </c>
      <c r="U538" t="n">
        <v>0.55</v>
      </c>
      <c r="V538" t="n">
        <v>0.45</v>
      </c>
      <c r="W538" t="n">
        <v>1.77</v>
      </c>
      <c r="X538" t="n">
        <v>28.62</v>
      </c>
      <c r="Y538" t="n">
        <v>9.92</v>
      </c>
      <c r="Z538" t="n">
        <v>3866</v>
      </c>
      <c r="AA538" t="n">
        <v>29.12</v>
      </c>
      <c r="AB538" t="n">
        <v>13.78</v>
      </c>
      <c r="AC538" t="n">
        <v>0.07000000000000001</v>
      </c>
      <c r="AD538" t="n">
        <v>156583431</v>
      </c>
    </row>
    <row r="539">
      <c r="A539" t="inlineStr">
        <is>
          <t>SOND5</t>
        </is>
      </c>
      <c r="B539" t="n">
        <v>77.09</v>
      </c>
      <c r="C539" t="n">
        <v>12.21</v>
      </c>
      <c r="D539" t="n">
        <v>5.6</v>
      </c>
      <c r="E539" t="n">
        <v>2.65</v>
      </c>
      <c r="F539" t="n">
        <v>1.45</v>
      </c>
      <c r="G539" t="n">
        <v>35.67</v>
      </c>
      <c r="H539" t="n">
        <v>19.63</v>
      </c>
      <c r="I539" t="n">
        <v>14.61</v>
      </c>
      <c r="J539" t="n">
        <v>4.16</v>
      </c>
      <c r="K539" t="n">
        <v>2.48</v>
      </c>
      <c r="L539" t="n">
        <v>-0.97</v>
      </c>
      <c r="M539" t="n">
        <v>-0.61</v>
      </c>
      <c r="N539" t="n">
        <v>0.82</v>
      </c>
      <c r="O539" t="n">
        <v>5.19</v>
      </c>
      <c r="P539" t="n">
        <v>-4.11</v>
      </c>
      <c r="Q539" t="n">
        <v>1.76</v>
      </c>
      <c r="R539" t="n">
        <v>47.32</v>
      </c>
      <c r="S539" t="n">
        <v>25.92</v>
      </c>
      <c r="T539" t="n">
        <v>25.23</v>
      </c>
      <c r="U539" t="n">
        <v>0.55</v>
      </c>
      <c r="V539" t="n">
        <v>0.45</v>
      </c>
      <c r="W539" t="n">
        <v>1.77</v>
      </c>
      <c r="X539" t="n">
        <v>28.62</v>
      </c>
      <c r="Y539" t="n">
        <v>9.92</v>
      </c>
      <c r="Z539" t="n">
        <v>4235.91</v>
      </c>
      <c r="AA539" t="n">
        <v>29.12</v>
      </c>
      <c r="AB539" t="n">
        <v>13.78</v>
      </c>
      <c r="AC539" t="n">
        <v>0.13</v>
      </c>
      <c r="AD539" t="n">
        <v>156583431</v>
      </c>
    </row>
    <row r="540">
      <c r="A540" t="inlineStr">
        <is>
          <t>SOND6</t>
        </is>
      </c>
      <c r="B540" t="n">
        <v>79.98</v>
      </c>
      <c r="C540" t="n">
        <v>11.77</v>
      </c>
      <c r="D540" t="n">
        <v>5.81</v>
      </c>
      <c r="E540" t="n">
        <v>2.75</v>
      </c>
      <c r="F540" t="n">
        <v>1.51</v>
      </c>
      <c r="G540" t="n">
        <v>35.67</v>
      </c>
      <c r="H540" t="n">
        <v>19.63</v>
      </c>
      <c r="I540" t="n">
        <v>14.61</v>
      </c>
      <c r="J540" t="n">
        <v>4.32</v>
      </c>
      <c r="K540" t="n">
        <v>2.48</v>
      </c>
      <c r="L540" t="n">
        <v>-0.97</v>
      </c>
      <c r="M540" t="n">
        <v>-0.61</v>
      </c>
      <c r="N540" t="n">
        <v>0.85</v>
      </c>
      <c r="O540" t="n">
        <v>5.39</v>
      </c>
      <c r="P540" t="n">
        <v>-4.27</v>
      </c>
      <c r="Q540" t="n">
        <v>1.76</v>
      </c>
      <c r="R540" t="n">
        <v>47.32</v>
      </c>
      <c r="S540" t="n">
        <v>25.92</v>
      </c>
      <c r="T540" t="n">
        <v>25.23</v>
      </c>
      <c r="U540" t="n">
        <v>0.55</v>
      </c>
      <c r="V540" t="n">
        <v>0.45</v>
      </c>
      <c r="W540" t="n">
        <v>1.77</v>
      </c>
      <c r="X540" t="n">
        <v>28.62</v>
      </c>
      <c r="Y540" t="n">
        <v>9.92</v>
      </c>
      <c r="Z540" t="n">
        <v>0</v>
      </c>
      <c r="AA540" t="n">
        <v>29.12</v>
      </c>
      <c r="AB540" t="n">
        <v>13.78</v>
      </c>
      <c r="AC540" t="n">
        <v>0.14</v>
      </c>
      <c r="AD540" t="n">
        <v>156583431</v>
      </c>
    </row>
    <row r="541">
      <c r="A541" t="inlineStr">
        <is>
          <t>SPRT3B</t>
        </is>
      </c>
      <c r="B541" t="n">
        <v>76.40000000000001</v>
      </c>
      <c r="D541" t="n">
        <v>-1991.34</v>
      </c>
      <c r="E541" t="n">
        <v>1709.07</v>
      </c>
      <c r="F541" t="n">
        <v>1584.9</v>
      </c>
      <c r="J541" t="n">
        <v>-1950.74</v>
      </c>
      <c r="K541" t="n">
        <v>-1949.51</v>
      </c>
      <c r="L541" t="n">
        <v>1.23</v>
      </c>
      <c r="M541" t="n">
        <v>-1.08</v>
      </c>
      <c r="O541" t="n">
        <v>1709.07</v>
      </c>
      <c r="Q541" t="n">
        <v>13.76</v>
      </c>
      <c r="R541" t="n">
        <v>-85.83</v>
      </c>
      <c r="S541" t="n">
        <v>-79.59</v>
      </c>
      <c r="T541" t="n">
        <v>-87.61</v>
      </c>
      <c r="U541" t="n">
        <v>0.93</v>
      </c>
      <c r="V541" t="n">
        <v>0.07000000000000001</v>
      </c>
      <c r="W541" t="n">
        <v>0</v>
      </c>
      <c r="AA541" t="n">
        <v>0.04</v>
      </c>
      <c r="AB541" t="n">
        <v>-0.04</v>
      </c>
      <c r="AC541" t="n">
        <v>308.13</v>
      </c>
      <c r="AD541" t="n">
        <v>370531748.8</v>
      </c>
    </row>
    <row r="542">
      <c r="A542" t="inlineStr">
        <is>
          <t>SQIA3</t>
        </is>
      </c>
      <c r="B542" t="n">
        <v>27.37</v>
      </c>
      <c r="D542" t="n">
        <v>-110.33</v>
      </c>
      <c r="E542" t="n">
        <v>3.7</v>
      </c>
      <c r="F542" t="n">
        <v>1.49</v>
      </c>
      <c r="G542" t="n">
        <v>42.19</v>
      </c>
      <c r="H542" t="n">
        <v>6.45</v>
      </c>
      <c r="I542" t="n">
        <v>-3.26</v>
      </c>
      <c r="J542" t="n">
        <v>55.72</v>
      </c>
      <c r="K542" t="n">
        <v>60.18</v>
      </c>
      <c r="L542" t="n">
        <v>4.46</v>
      </c>
      <c r="M542" t="n">
        <v>0.3</v>
      </c>
      <c r="N542" t="n">
        <v>3.59</v>
      </c>
      <c r="O542" t="n">
        <v>25.87</v>
      </c>
      <c r="P542" t="n">
        <v>-1.84</v>
      </c>
      <c r="Q542" t="n">
        <v>1.43</v>
      </c>
      <c r="R542" t="n">
        <v>-3.35</v>
      </c>
      <c r="S542" t="n">
        <v>-1.35</v>
      </c>
      <c r="T542" t="n">
        <v>2.68</v>
      </c>
      <c r="U542" t="n">
        <v>0.4</v>
      </c>
      <c r="V542" t="n">
        <v>0.58</v>
      </c>
      <c r="W542" t="n">
        <v>0.41</v>
      </c>
      <c r="X542" t="n">
        <v>35.51</v>
      </c>
      <c r="AA542" t="n">
        <v>7.4</v>
      </c>
      <c r="AB542" t="n">
        <v>-0.25</v>
      </c>
      <c r="AC542" t="n">
        <v>0.62</v>
      </c>
      <c r="AD542" t="n">
        <v>2406971773.64</v>
      </c>
    </row>
    <row r="543">
      <c r="A543" t="inlineStr">
        <is>
          <t>SRNA3</t>
        </is>
      </c>
      <c r="B543" t="n">
        <v>1.03</v>
      </c>
      <c r="D543" t="n">
        <v>-12.79</v>
      </c>
      <c r="E543" t="n">
        <v>0.12</v>
      </c>
      <c r="F543" t="n">
        <v>0.03</v>
      </c>
      <c r="G543" t="n">
        <v>14.1</v>
      </c>
      <c r="H543" t="n">
        <v>16.22</v>
      </c>
      <c r="I543" t="n">
        <v>-0.73</v>
      </c>
      <c r="J543" t="n">
        <v>0.57</v>
      </c>
      <c r="K543" t="n">
        <v>9.98</v>
      </c>
      <c r="L543" t="n">
        <v>9.4</v>
      </c>
      <c r="M543" t="n">
        <v>1.95</v>
      </c>
      <c r="N543" t="n">
        <v>0.09</v>
      </c>
      <c r="O543" t="n">
        <v>0.46</v>
      </c>
      <c r="P543" t="n">
        <v>-0.04</v>
      </c>
      <c r="Q543" t="n">
        <v>1.49</v>
      </c>
      <c r="R543" t="n">
        <v>-0.93</v>
      </c>
      <c r="S543" t="n">
        <v>-0.23</v>
      </c>
      <c r="T543" t="n">
        <v>5.57</v>
      </c>
      <c r="U543" t="n">
        <v>0.25</v>
      </c>
      <c r="V543" t="n">
        <v>0.75</v>
      </c>
      <c r="W543" t="n">
        <v>0.32</v>
      </c>
      <c r="Z543" t="n">
        <v>6388</v>
      </c>
      <c r="AA543" t="n">
        <v>8.68</v>
      </c>
      <c r="AB543" t="n">
        <v>-0.08</v>
      </c>
      <c r="AC543" t="n">
        <v>0.01</v>
      </c>
      <c r="AD543" t="n">
        <v>641412472.6799999</v>
      </c>
    </row>
    <row r="544">
      <c r="A544" t="inlineStr">
        <is>
          <t>STBP3</t>
        </is>
      </c>
      <c r="B544" t="n">
        <v>14.42</v>
      </c>
      <c r="D544" t="n">
        <v>13.44</v>
      </c>
      <c r="E544" t="n">
        <v>13.6</v>
      </c>
      <c r="F544" t="n">
        <v>2.24</v>
      </c>
      <c r="G544" t="n">
        <v>59.07</v>
      </c>
      <c r="H544" t="n">
        <v>46.45</v>
      </c>
      <c r="I544" t="n">
        <v>25.05</v>
      </c>
      <c r="J544" t="n">
        <v>7.25</v>
      </c>
      <c r="K544" t="n">
        <v>8.529999999999999</v>
      </c>
      <c r="L544" t="n">
        <v>1.29</v>
      </c>
      <c r="M544" t="n">
        <v>2.41</v>
      </c>
      <c r="N544" t="n">
        <v>3.37</v>
      </c>
      <c r="O544" t="n">
        <v>228.55</v>
      </c>
      <c r="P544" t="n">
        <v>-2.66</v>
      </c>
      <c r="Q544" t="n">
        <v>1.07</v>
      </c>
      <c r="R544" t="n">
        <v>101.21</v>
      </c>
      <c r="S544" t="n">
        <v>16.65</v>
      </c>
      <c r="T544" t="n">
        <v>25.49</v>
      </c>
      <c r="U544" t="n">
        <v>0.16</v>
      </c>
      <c r="V544" t="n">
        <v>0.84</v>
      </c>
      <c r="W544" t="n">
        <v>0.66</v>
      </c>
      <c r="X544" t="n">
        <v>31.3</v>
      </c>
      <c r="Z544" t="n">
        <v>3082209</v>
      </c>
      <c r="AA544" t="n">
        <v>1.06</v>
      </c>
      <c r="AB544" t="n">
        <v>1.07</v>
      </c>
      <c r="AC544" t="n">
        <v>0.79</v>
      </c>
      <c r="AD544" t="n">
        <v>12461336720.98</v>
      </c>
    </row>
    <row r="545">
      <c r="A545" t="inlineStr">
        <is>
          <t>STKF3</t>
        </is>
      </c>
      <c r="B545" t="n">
        <v>0</v>
      </c>
      <c r="D545" t="n">
        <v>0</v>
      </c>
      <c r="E545" t="n">
        <v>0</v>
      </c>
      <c r="F545" t="n">
        <v>0</v>
      </c>
      <c r="G545" t="n">
        <v>54.65</v>
      </c>
      <c r="H545" t="n">
        <v>36.95</v>
      </c>
      <c r="I545" t="n">
        <v>23.68</v>
      </c>
      <c r="J545" t="n">
        <v>0</v>
      </c>
      <c r="K545" t="n">
        <v>3.27</v>
      </c>
      <c r="L545" t="n">
        <v>3.27</v>
      </c>
      <c r="M545" t="n">
        <v>0.25</v>
      </c>
      <c r="N545" t="n">
        <v>0</v>
      </c>
      <c r="O545" t="n">
        <v>0</v>
      </c>
      <c r="P545" t="n">
        <v>0</v>
      </c>
      <c r="Q545" t="n">
        <v>3.14</v>
      </c>
      <c r="R545" t="n">
        <v>4.97</v>
      </c>
      <c r="S545" t="n">
        <v>3.15</v>
      </c>
      <c r="T545" t="n">
        <v>4.97</v>
      </c>
      <c r="U545" t="n">
        <v>0.63</v>
      </c>
      <c r="V545" t="n">
        <v>0.37</v>
      </c>
      <c r="W545" t="n">
        <v>0.13</v>
      </c>
      <c r="X545" t="n">
        <v>24.6</v>
      </c>
      <c r="Y545" t="n">
        <v>27.74</v>
      </c>
      <c r="AA545" t="n">
        <v>8.19</v>
      </c>
      <c r="AB545" t="n">
        <v>0.41</v>
      </c>
      <c r="AC545" t="n">
        <v>0</v>
      </c>
      <c r="AD545" t="n">
        <v>0</v>
      </c>
    </row>
    <row r="546">
      <c r="A546" t="inlineStr">
        <is>
          <t>STTR3</t>
        </is>
      </c>
      <c r="B546" t="n">
        <v>0</v>
      </c>
      <c r="D546" t="n">
        <v>0</v>
      </c>
      <c r="E546" t="n">
        <v>0</v>
      </c>
      <c r="F546" t="n">
        <v>0</v>
      </c>
      <c r="G546" t="n">
        <v>31.37</v>
      </c>
      <c r="H546" t="n">
        <v>17.25</v>
      </c>
      <c r="I546" t="n">
        <v>14.11</v>
      </c>
      <c r="J546" t="n">
        <v>0</v>
      </c>
      <c r="K546" t="n">
        <v>-0.22</v>
      </c>
      <c r="L546" t="n">
        <v>-0.22</v>
      </c>
      <c r="M546" t="n">
        <v>-0.09</v>
      </c>
      <c r="N546" t="n">
        <v>0</v>
      </c>
      <c r="O546" t="n">
        <v>0</v>
      </c>
      <c r="P546" t="n">
        <v>0</v>
      </c>
      <c r="Q546" t="n">
        <v>2.46</v>
      </c>
      <c r="R546" t="n">
        <v>32.1</v>
      </c>
      <c r="S546" t="n">
        <v>17.86</v>
      </c>
      <c r="T546" t="n">
        <v>21.15</v>
      </c>
      <c r="U546" t="n">
        <v>0.5600000000000001</v>
      </c>
      <c r="V546" t="n">
        <v>0.44</v>
      </c>
      <c r="W546" t="n">
        <v>1.27</v>
      </c>
      <c r="X546" t="n">
        <v>22.02</v>
      </c>
      <c r="AA546" t="n">
        <v>2.91</v>
      </c>
      <c r="AB546" t="n">
        <v>0.9399999999999999</v>
      </c>
      <c r="AC546" t="n">
        <v>0</v>
      </c>
      <c r="AD546" t="n">
        <v>0</v>
      </c>
    </row>
    <row r="547">
      <c r="A547" t="inlineStr">
        <is>
          <t>SULA11</t>
        </is>
      </c>
      <c r="B547" t="n">
        <v>20.76</v>
      </c>
      <c r="D547" t="n">
        <v>48.73</v>
      </c>
      <c r="E547" t="n">
        <v>1.06</v>
      </c>
      <c r="F547" t="n">
        <v>0.29</v>
      </c>
      <c r="G547" t="n">
        <v>4.25</v>
      </c>
      <c r="H547" t="n">
        <v>-3.34</v>
      </c>
      <c r="I547" t="n">
        <v>0.83</v>
      </c>
      <c r="J547" t="n">
        <v>-12.06</v>
      </c>
      <c r="K547" t="n">
        <v>7.41</v>
      </c>
      <c r="L547" t="n">
        <v>19.47</v>
      </c>
      <c r="M547" t="n">
        <v>-1.71</v>
      </c>
      <c r="N547" t="n">
        <v>0.4</v>
      </c>
      <c r="O547" t="n">
        <v>0.79</v>
      </c>
      <c r="P547" t="n">
        <v>-0.85</v>
      </c>
      <c r="Q547" t="n">
        <v>2.29</v>
      </c>
      <c r="R547" t="n">
        <v>2.17</v>
      </c>
      <c r="S547" t="n">
        <v>0.6</v>
      </c>
      <c r="T547" t="n">
        <v>-9.49</v>
      </c>
      <c r="U547" t="n">
        <v>0.28</v>
      </c>
      <c r="V547" t="n">
        <v>0.72</v>
      </c>
      <c r="W547" t="n">
        <v>0.73</v>
      </c>
      <c r="X547" t="n">
        <v>4.58</v>
      </c>
      <c r="Y547" t="n">
        <v>-23.56</v>
      </c>
      <c r="Z547" t="n">
        <v>313020093</v>
      </c>
      <c r="AA547" t="n">
        <v>19.64</v>
      </c>
      <c r="AB547" t="n">
        <v>0.43</v>
      </c>
      <c r="AC547" t="n">
        <v>-0.88</v>
      </c>
      <c r="AD547" t="n">
        <v>8840533965.200001</v>
      </c>
    </row>
    <row r="548">
      <c r="A548" t="inlineStr">
        <is>
          <t>SULA3</t>
        </is>
      </c>
      <c r="B548" t="n">
        <v>7.43</v>
      </c>
      <c r="D548" t="n">
        <v>52.32</v>
      </c>
      <c r="E548" t="n">
        <v>1.13</v>
      </c>
      <c r="F548" t="n">
        <v>0.31</v>
      </c>
      <c r="G548" t="n">
        <v>4.25</v>
      </c>
      <c r="H548" t="n">
        <v>-3.34</v>
      </c>
      <c r="I548" t="n">
        <v>0.83</v>
      </c>
      <c r="J548" t="n">
        <v>-12.95</v>
      </c>
      <c r="K548" t="n">
        <v>7.41</v>
      </c>
      <c r="L548" t="n">
        <v>19.47</v>
      </c>
      <c r="M548" t="n">
        <v>-1.71</v>
      </c>
      <c r="N548" t="n">
        <v>0.43</v>
      </c>
      <c r="O548" t="n">
        <v>0.85</v>
      </c>
      <c r="P548" t="n">
        <v>-0.91</v>
      </c>
      <c r="Q548" t="n">
        <v>2.29</v>
      </c>
      <c r="R548" t="n">
        <v>2.17</v>
      </c>
      <c r="S548" t="n">
        <v>0.6</v>
      </c>
      <c r="T548" t="n">
        <v>-9.49</v>
      </c>
      <c r="U548" t="n">
        <v>0.28</v>
      </c>
      <c r="V548" t="n">
        <v>0.72</v>
      </c>
      <c r="W548" t="n">
        <v>0.73</v>
      </c>
      <c r="X548" t="n">
        <v>4.58</v>
      </c>
      <c r="Y548" t="n">
        <v>-23.56</v>
      </c>
      <c r="AA548" t="n">
        <v>6.55</v>
      </c>
      <c r="AB548" t="n">
        <v>0.14</v>
      </c>
      <c r="AC548" t="n">
        <v>-0.95</v>
      </c>
      <c r="AD548" t="n">
        <v>8840533965.200001</v>
      </c>
    </row>
    <row r="549">
      <c r="A549" t="inlineStr">
        <is>
          <t>SULA4</t>
        </is>
      </c>
      <c r="B549" t="n">
        <v>7.63</v>
      </c>
      <c r="D549" t="n">
        <v>53.73</v>
      </c>
      <c r="E549" t="n">
        <v>1.17</v>
      </c>
      <c r="F549" t="n">
        <v>0.32</v>
      </c>
      <c r="G549" t="n">
        <v>4.25</v>
      </c>
      <c r="H549" t="n">
        <v>-3.34</v>
      </c>
      <c r="I549" t="n">
        <v>0.83</v>
      </c>
      <c r="J549" t="n">
        <v>-13.3</v>
      </c>
      <c r="K549" t="n">
        <v>7.41</v>
      </c>
      <c r="L549" t="n">
        <v>19.47</v>
      </c>
      <c r="M549" t="n">
        <v>-1.71</v>
      </c>
      <c r="N549" t="n">
        <v>0.44</v>
      </c>
      <c r="O549" t="n">
        <v>0.88</v>
      </c>
      <c r="P549" t="n">
        <v>-0.93</v>
      </c>
      <c r="Q549" t="n">
        <v>2.29</v>
      </c>
      <c r="R549" t="n">
        <v>2.17</v>
      </c>
      <c r="S549" t="n">
        <v>0.6</v>
      </c>
      <c r="T549" t="n">
        <v>-9.49</v>
      </c>
      <c r="U549" t="n">
        <v>0.28</v>
      </c>
      <c r="V549" t="n">
        <v>0.72</v>
      </c>
      <c r="W549" t="n">
        <v>0.73</v>
      </c>
      <c r="X549" t="n">
        <v>4.58</v>
      </c>
      <c r="Y549" t="n">
        <v>-23.56</v>
      </c>
      <c r="AA549" t="n">
        <v>6.55</v>
      </c>
      <c r="AB549" t="n">
        <v>0.14</v>
      </c>
      <c r="AC549" t="n">
        <v>-0.97</v>
      </c>
      <c r="AD549" t="n">
        <v>8840533965.200001</v>
      </c>
    </row>
    <row r="550">
      <c r="A550" t="inlineStr">
        <is>
          <t>SUZB3</t>
        </is>
      </c>
      <c r="B550" t="n">
        <v>42.72</v>
      </c>
      <c r="C550" t="n">
        <v>2.62</v>
      </c>
      <c r="D550" t="n">
        <v>4.75</v>
      </c>
      <c r="E550" t="n">
        <v>1.12</v>
      </c>
      <c r="F550" t="n">
        <v>0.33</v>
      </c>
      <c r="G550" t="n">
        <v>31.42</v>
      </c>
      <c r="H550" t="n">
        <v>20.52</v>
      </c>
      <c r="I550" t="n">
        <v>22.96</v>
      </c>
      <c r="J550" t="n">
        <v>5.31</v>
      </c>
      <c r="K550" t="n">
        <v>12.06</v>
      </c>
      <c r="L550" t="n">
        <v>6.73</v>
      </c>
      <c r="M550" t="n">
        <v>1.42</v>
      </c>
      <c r="N550" t="n">
        <v>1.09</v>
      </c>
      <c r="O550" t="n">
        <v>1.79</v>
      </c>
      <c r="P550" t="n">
        <v>-0.44</v>
      </c>
      <c r="Q550" t="n">
        <v>3.51</v>
      </c>
      <c r="R550" t="n">
        <v>23.68</v>
      </c>
      <c r="S550" t="n">
        <v>6.86</v>
      </c>
      <c r="T550" t="n">
        <v>-0.36</v>
      </c>
      <c r="U550" t="n">
        <v>0.29</v>
      </c>
      <c r="V550" t="n">
        <v>0.71</v>
      </c>
      <c r="W550" t="n">
        <v>0.3</v>
      </c>
      <c r="X550" t="n">
        <v>10.47</v>
      </c>
      <c r="Z550" t="n">
        <v>199844773.68</v>
      </c>
      <c r="AA550" t="n">
        <v>38</v>
      </c>
      <c r="AB550" t="n">
        <v>9</v>
      </c>
      <c r="AC550" t="n">
        <v>0</v>
      </c>
      <c r="AD550" t="n">
        <v>54205363331.2</v>
      </c>
    </row>
    <row r="551">
      <c r="A551" t="inlineStr">
        <is>
          <t>SYNE3</t>
        </is>
      </c>
      <c r="B551" t="n">
        <v>3.98</v>
      </c>
      <c r="C551" t="n">
        <v>10.53</v>
      </c>
      <c r="D551" t="n">
        <v>9.26</v>
      </c>
      <c r="E551" t="n">
        <v>0.88</v>
      </c>
      <c r="F551" t="n">
        <v>0.27</v>
      </c>
      <c r="G551" t="n">
        <v>54.13</v>
      </c>
      <c r="H551" t="n">
        <v>47.58</v>
      </c>
      <c r="I551" t="n">
        <v>20.11</v>
      </c>
      <c r="J551" t="n">
        <v>3.91</v>
      </c>
      <c r="K551" t="n">
        <v>5.55</v>
      </c>
      <c r="L551" t="n">
        <v>1.62</v>
      </c>
      <c r="M551" t="n">
        <v>0.36</v>
      </c>
      <c r="N551" t="n">
        <v>1.86</v>
      </c>
      <c r="O551" t="n">
        <v>10.93</v>
      </c>
      <c r="P551" t="n">
        <v>-0.31</v>
      </c>
      <c r="Q551" t="n">
        <v>1.27</v>
      </c>
      <c r="R551" t="n">
        <v>9.470000000000001</v>
      </c>
      <c r="S551" t="n">
        <v>2.92</v>
      </c>
      <c r="T551" t="n">
        <v>6.66</v>
      </c>
      <c r="U551" t="n">
        <v>0.31</v>
      </c>
      <c r="V551" t="n">
        <v>0.35</v>
      </c>
      <c r="W551" t="n">
        <v>0.15</v>
      </c>
      <c r="X551" t="n">
        <v>-7.59</v>
      </c>
      <c r="Y551" t="n">
        <v>5.31</v>
      </c>
      <c r="Z551" t="n">
        <v>1159170.59</v>
      </c>
      <c r="AA551" t="n">
        <v>4.54</v>
      </c>
      <c r="AB551" t="n">
        <v>0.43</v>
      </c>
      <c r="AC551" t="n">
        <v>-0.1</v>
      </c>
      <c r="AD551" t="n">
        <v>609051335.55</v>
      </c>
    </row>
    <row r="552">
      <c r="A552" t="inlineStr">
        <is>
          <t>TAEE11</t>
        </is>
      </c>
      <c r="B552" t="n">
        <v>39.21</v>
      </c>
      <c r="C552" t="n">
        <v>8.35</v>
      </c>
      <c r="D552" t="n">
        <v>8.619999999999999</v>
      </c>
      <c r="E552" t="n">
        <v>1.7</v>
      </c>
      <c r="F552" t="n">
        <v>0.58</v>
      </c>
      <c r="G552" t="n">
        <v>54.77</v>
      </c>
      <c r="H552" t="n">
        <v>57.4</v>
      </c>
      <c r="I552" t="n">
        <v>33.52</v>
      </c>
      <c r="J552" t="n">
        <v>5.03</v>
      </c>
      <c r="K552" t="n">
        <v>8.789999999999999</v>
      </c>
      <c r="L552" t="n">
        <v>3.75</v>
      </c>
      <c r="M552" t="n">
        <v>1.27</v>
      </c>
      <c r="N552" t="n">
        <v>2.89</v>
      </c>
      <c r="O552" t="n">
        <v>6.21</v>
      </c>
      <c r="P552" t="n">
        <v>-0.7</v>
      </c>
      <c r="Q552" t="n">
        <v>2.29</v>
      </c>
      <c r="R552" t="n">
        <v>19.7</v>
      </c>
      <c r="S552" t="n">
        <v>6.74</v>
      </c>
      <c r="T552" t="n">
        <v>13.41</v>
      </c>
      <c r="U552" t="n">
        <v>0.34</v>
      </c>
      <c r="V552" t="n">
        <v>0.66</v>
      </c>
      <c r="W552" t="n">
        <v>0.2</v>
      </c>
      <c r="X552" t="n">
        <v>5.36</v>
      </c>
      <c r="Y552" t="n">
        <v>-7.07</v>
      </c>
      <c r="Z552" t="n">
        <v>69958362.86</v>
      </c>
      <c r="AA552" t="n">
        <v>23.1</v>
      </c>
      <c r="AB552" t="n">
        <v>4.55</v>
      </c>
      <c r="AC552" t="n">
        <v>-1.24</v>
      </c>
      <c r="AD552" t="n">
        <v>13518137110.68</v>
      </c>
    </row>
    <row r="553">
      <c r="A553" t="inlineStr">
        <is>
          <t>TAEE3</t>
        </is>
      </c>
      <c r="B553" t="n">
        <v>12.94</v>
      </c>
      <c r="C553" t="n">
        <v>8.44</v>
      </c>
      <c r="D553" t="n">
        <v>8.529999999999999</v>
      </c>
      <c r="E553" t="n">
        <v>1.68</v>
      </c>
      <c r="F553" t="n">
        <v>0.57</v>
      </c>
      <c r="G553" t="n">
        <v>54.77</v>
      </c>
      <c r="H553" t="n">
        <v>57.4</v>
      </c>
      <c r="I553" t="n">
        <v>33.52</v>
      </c>
      <c r="J553" t="n">
        <v>4.98</v>
      </c>
      <c r="K553" t="n">
        <v>8.789999999999999</v>
      </c>
      <c r="L553" t="n">
        <v>3.75</v>
      </c>
      <c r="M553" t="n">
        <v>1.27</v>
      </c>
      <c r="N553" t="n">
        <v>2.86</v>
      </c>
      <c r="O553" t="n">
        <v>6.14</v>
      </c>
      <c r="P553" t="n">
        <v>-0.6899999999999999</v>
      </c>
      <c r="Q553" t="n">
        <v>2.29</v>
      </c>
      <c r="R553" t="n">
        <v>19.7</v>
      </c>
      <c r="S553" t="n">
        <v>6.74</v>
      </c>
      <c r="T553" t="n">
        <v>13.41</v>
      </c>
      <c r="U553" t="n">
        <v>0.34</v>
      </c>
      <c r="V553" t="n">
        <v>0.66</v>
      </c>
      <c r="W553" t="n">
        <v>0.2</v>
      </c>
      <c r="X553" t="n">
        <v>5.36</v>
      </c>
      <c r="Y553" t="n">
        <v>-7.07</v>
      </c>
      <c r="Z553" t="n">
        <v>1129610.23</v>
      </c>
      <c r="AA553" t="n">
        <v>7.7</v>
      </c>
      <c r="AB553" t="n">
        <v>1.52</v>
      </c>
      <c r="AC553" t="n">
        <v>-1.23</v>
      </c>
      <c r="AD553" t="n">
        <v>13518137110.68</v>
      </c>
    </row>
    <row r="554">
      <c r="A554" t="inlineStr">
        <is>
          <t>TAEE4</t>
        </is>
      </c>
      <c r="B554" t="n">
        <v>13.21</v>
      </c>
      <c r="C554" t="n">
        <v>8.279999999999999</v>
      </c>
      <c r="D554" t="n">
        <v>8.710000000000001</v>
      </c>
      <c r="E554" t="n">
        <v>1.72</v>
      </c>
      <c r="F554" t="n">
        <v>0.59</v>
      </c>
      <c r="G554" t="n">
        <v>54.77</v>
      </c>
      <c r="H554" t="n">
        <v>57.4</v>
      </c>
      <c r="I554" t="n">
        <v>33.52</v>
      </c>
      <c r="J554" t="n">
        <v>5.08</v>
      </c>
      <c r="K554" t="n">
        <v>8.789999999999999</v>
      </c>
      <c r="L554" t="n">
        <v>3.75</v>
      </c>
      <c r="M554" t="n">
        <v>1.27</v>
      </c>
      <c r="N554" t="n">
        <v>2.92</v>
      </c>
      <c r="O554" t="n">
        <v>6.27</v>
      </c>
      <c r="P554" t="n">
        <v>-0.7</v>
      </c>
      <c r="Q554" t="n">
        <v>2.29</v>
      </c>
      <c r="R554" t="n">
        <v>19.7</v>
      </c>
      <c r="S554" t="n">
        <v>6.74</v>
      </c>
      <c r="T554" t="n">
        <v>13.41</v>
      </c>
      <c r="U554" t="n">
        <v>0.34</v>
      </c>
      <c r="V554" t="n">
        <v>0.66</v>
      </c>
      <c r="W554" t="n">
        <v>0.2</v>
      </c>
      <c r="X554" t="n">
        <v>5.36</v>
      </c>
      <c r="Y554" t="n">
        <v>-7.07</v>
      </c>
      <c r="Z554" t="n">
        <v>2042780.68</v>
      </c>
      <c r="AA554" t="n">
        <v>7.7</v>
      </c>
      <c r="AB554" t="n">
        <v>1.52</v>
      </c>
      <c r="AC554" t="n">
        <v>-1.26</v>
      </c>
      <c r="AD554" t="n">
        <v>13518137110.68</v>
      </c>
    </row>
    <row r="555">
      <c r="A555" t="inlineStr">
        <is>
          <t>TASA3</t>
        </is>
      </c>
      <c r="B555" t="n">
        <v>5.1</v>
      </c>
      <c r="C555" t="n">
        <v>0.06</v>
      </c>
      <c r="D555" t="n">
        <v>-18.91</v>
      </c>
      <c r="E555" t="n">
        <v>0.6</v>
      </c>
      <c r="F555" t="n">
        <v>0.29</v>
      </c>
      <c r="G555" t="n">
        <v>33.32</v>
      </c>
      <c r="H555" t="n">
        <v>1.45</v>
      </c>
      <c r="I555" t="n">
        <v>-2.56</v>
      </c>
      <c r="J555" t="n">
        <v>33.41</v>
      </c>
      <c r="K555" t="n">
        <v>57.64</v>
      </c>
      <c r="L555" t="n">
        <v>25.44</v>
      </c>
      <c r="M555" t="n">
        <v>0.46</v>
      </c>
      <c r="N555" t="n">
        <v>0.48</v>
      </c>
      <c r="O555" t="n">
        <v>1.46</v>
      </c>
      <c r="P555" t="n">
        <v>-0.66</v>
      </c>
      <c r="Q555" t="n">
        <v>1.53</v>
      </c>
      <c r="R555" t="n">
        <v>-3.16</v>
      </c>
      <c r="S555" t="n">
        <v>-1.52</v>
      </c>
      <c r="T555" t="n">
        <v>-1.45</v>
      </c>
      <c r="U555" t="n">
        <v>0.48</v>
      </c>
      <c r="V555" t="n">
        <v>0.52</v>
      </c>
      <c r="W555" t="n">
        <v>0.59</v>
      </c>
      <c r="X555" t="n">
        <v>-3.77</v>
      </c>
      <c r="Z555" t="n">
        <v>51058.86</v>
      </c>
      <c r="AA555" t="n">
        <v>8.52</v>
      </c>
      <c r="AB555" t="n">
        <v>-0.27</v>
      </c>
      <c r="AC555" t="n">
        <v>0.13</v>
      </c>
      <c r="AD555" t="n">
        <v>684699126.84</v>
      </c>
    </row>
    <row r="556">
      <c r="A556" t="inlineStr">
        <is>
          <t>TASA4</t>
        </is>
      </c>
      <c r="B556" t="n">
        <v>4.82</v>
      </c>
      <c r="C556" t="n">
        <v>0.06</v>
      </c>
      <c r="D556" t="n">
        <v>-17.87</v>
      </c>
      <c r="E556" t="n">
        <v>0.57</v>
      </c>
      <c r="F556" t="n">
        <v>0.27</v>
      </c>
      <c r="G556" t="n">
        <v>33.32</v>
      </c>
      <c r="H556" t="n">
        <v>1.45</v>
      </c>
      <c r="I556" t="n">
        <v>-2.56</v>
      </c>
      <c r="J556" t="n">
        <v>31.57</v>
      </c>
      <c r="K556" t="n">
        <v>57.64</v>
      </c>
      <c r="L556" t="n">
        <v>25.44</v>
      </c>
      <c r="M556" t="n">
        <v>0.46</v>
      </c>
      <c r="N556" t="n">
        <v>0.46</v>
      </c>
      <c r="O556" t="n">
        <v>1.38</v>
      </c>
      <c r="P556" t="n">
        <v>-0.63</v>
      </c>
      <c r="Q556" t="n">
        <v>1.53</v>
      </c>
      <c r="R556" t="n">
        <v>-3.16</v>
      </c>
      <c r="S556" t="n">
        <v>-1.52</v>
      </c>
      <c r="T556" t="n">
        <v>-1.45</v>
      </c>
      <c r="U556" t="n">
        <v>0.48</v>
      </c>
      <c r="V556" t="n">
        <v>0.52</v>
      </c>
      <c r="W556" t="n">
        <v>0.59</v>
      </c>
      <c r="X556" t="n">
        <v>-3.77</v>
      </c>
      <c r="Z556" t="n">
        <v>949321.41</v>
      </c>
      <c r="AA556" t="n">
        <v>8.52</v>
      </c>
      <c r="AB556" t="n">
        <v>-0.27</v>
      </c>
      <c r="AC556" t="n">
        <v>0.12</v>
      </c>
      <c r="AD556" t="n">
        <v>684699126.84</v>
      </c>
    </row>
    <row r="557">
      <c r="A557" t="inlineStr">
        <is>
          <t>TCNO3</t>
        </is>
      </c>
      <c r="B557" t="n">
        <v>1.2</v>
      </c>
      <c r="D557" t="n">
        <v>-7.52</v>
      </c>
      <c r="E557" t="n">
        <v>-8.4</v>
      </c>
      <c r="F557" t="n">
        <v>0.03</v>
      </c>
      <c r="J557" t="n">
        <v>-6.81</v>
      </c>
      <c r="K557" t="n">
        <v>-34.51</v>
      </c>
      <c r="L557" t="n">
        <v>-28.98</v>
      </c>
      <c r="O557" t="n">
        <v>-0.08</v>
      </c>
      <c r="P557" t="n">
        <v>-0.04</v>
      </c>
      <c r="Q557" t="n">
        <v>0.28</v>
      </c>
      <c r="R557" t="n">
        <v>-111.63</v>
      </c>
      <c r="S557" t="n">
        <v>-0.45</v>
      </c>
      <c r="T557" t="n">
        <v>-3.55</v>
      </c>
      <c r="U557" t="n">
        <v>0</v>
      </c>
      <c r="V557" t="n">
        <v>1</v>
      </c>
      <c r="W557" t="n">
        <v>0</v>
      </c>
      <c r="AA557" t="n">
        <v>-0.14</v>
      </c>
      <c r="AB557" t="n">
        <v>-0.16</v>
      </c>
      <c r="AC557" t="n">
        <v>-0.28</v>
      </c>
      <c r="AD557" t="n">
        <v>6451072.5</v>
      </c>
    </row>
    <row r="558">
      <c r="A558" t="inlineStr">
        <is>
          <t>TCNO4</t>
        </is>
      </c>
      <c r="B558" t="n">
        <v>0.85</v>
      </c>
      <c r="D558" t="n">
        <v>-5.33</v>
      </c>
      <c r="E558" t="n">
        <v>-5.95</v>
      </c>
      <c r="F558" t="n">
        <v>0.02</v>
      </c>
      <c r="J558" t="n">
        <v>-4.82</v>
      </c>
      <c r="K558" t="n">
        <v>-34.51</v>
      </c>
      <c r="L558" t="n">
        <v>-28.98</v>
      </c>
      <c r="O558" t="n">
        <v>-0.06</v>
      </c>
      <c r="P558" t="n">
        <v>-0.03</v>
      </c>
      <c r="Q558" t="n">
        <v>0.28</v>
      </c>
      <c r="R558" t="n">
        <v>-111.63</v>
      </c>
      <c r="S558" t="n">
        <v>-0.45</v>
      </c>
      <c r="T558" t="n">
        <v>-3.55</v>
      </c>
      <c r="U558" t="n">
        <v>0</v>
      </c>
      <c r="V558" t="n">
        <v>1</v>
      </c>
      <c r="W558" t="n">
        <v>0</v>
      </c>
      <c r="AA558" t="n">
        <v>-0.14</v>
      </c>
      <c r="AB558" t="n">
        <v>-0.16</v>
      </c>
      <c r="AC558" t="n">
        <v>-0.2</v>
      </c>
      <c r="AD558" t="n">
        <v>6451072.5</v>
      </c>
    </row>
    <row r="559">
      <c r="A559" t="inlineStr">
        <is>
          <t>TCSA3</t>
        </is>
      </c>
      <c r="B559" t="n">
        <v>0.67</v>
      </c>
      <c r="D559" t="n">
        <v>-0.43</v>
      </c>
      <c r="E559" t="n">
        <v>0.19</v>
      </c>
      <c r="F559" t="n">
        <v>0.05</v>
      </c>
      <c r="G559" t="n">
        <v>-13.99</v>
      </c>
      <c r="H559" t="n">
        <v>-17.42</v>
      </c>
      <c r="I559" t="n">
        <v>-58.25</v>
      </c>
      <c r="J559" t="n">
        <v>-1.45</v>
      </c>
      <c r="K559" t="n">
        <v>-16.43</v>
      </c>
      <c r="L559" t="n">
        <v>-15</v>
      </c>
      <c r="M559" t="n">
        <v>1.96</v>
      </c>
      <c r="N559" t="n">
        <v>0.25</v>
      </c>
      <c r="O559" t="n">
        <v>0.39</v>
      </c>
      <c r="P559" t="n">
        <v>-0.07000000000000001</v>
      </c>
      <c r="Q559" t="n">
        <v>1.78</v>
      </c>
      <c r="R559" t="n">
        <v>-43.6</v>
      </c>
      <c r="S559" t="n">
        <v>-11.47</v>
      </c>
      <c r="T559" t="n">
        <v>-4.78</v>
      </c>
      <c r="U559" t="n">
        <v>0.26</v>
      </c>
      <c r="V559" t="n">
        <v>0.73</v>
      </c>
      <c r="W559" t="n">
        <v>0.2</v>
      </c>
      <c r="X559" t="n">
        <v>3.5</v>
      </c>
      <c r="Z559" t="n">
        <v>69052.67999999999</v>
      </c>
      <c r="AA559" t="n">
        <v>3.53</v>
      </c>
      <c r="AB559" t="n">
        <v>-1.54</v>
      </c>
      <c r="AC559" t="n">
        <v>0.03</v>
      </c>
      <c r="AD559" t="n">
        <v>48588691.8</v>
      </c>
    </row>
    <row r="560">
      <c r="A560" t="inlineStr">
        <is>
          <t>TECN3</t>
        </is>
      </c>
      <c r="B560" t="n">
        <v>9.529999999999999</v>
      </c>
      <c r="C560" t="n">
        <v>4.31</v>
      </c>
      <c r="D560" t="n">
        <v>7.9</v>
      </c>
      <c r="E560" t="n">
        <v>1.33</v>
      </c>
      <c r="F560" t="n">
        <v>0.85</v>
      </c>
      <c r="G560" t="n">
        <v>54.72</v>
      </c>
      <c r="H560" t="n">
        <v>15.68</v>
      </c>
      <c r="I560" t="n">
        <v>15.21</v>
      </c>
      <c r="J560" t="n">
        <v>7.66</v>
      </c>
      <c r="K560" t="n">
        <v>7.96</v>
      </c>
      <c r="L560" t="n">
        <v>0.23</v>
      </c>
      <c r="M560" t="n">
        <v>0.04</v>
      </c>
      <c r="N560" t="n">
        <v>1.2</v>
      </c>
      <c r="O560" t="n">
        <v>1.81</v>
      </c>
      <c r="P560" t="n">
        <v>-2.46</v>
      </c>
      <c r="Q560" t="n">
        <v>3.6</v>
      </c>
      <c r="R560" t="n">
        <v>16.78</v>
      </c>
      <c r="S560" t="n">
        <v>10.8</v>
      </c>
      <c r="T560" t="n">
        <v>14.07</v>
      </c>
      <c r="U560" t="n">
        <v>0.64</v>
      </c>
      <c r="V560" t="n">
        <v>0.36</v>
      </c>
      <c r="W560" t="n">
        <v>0.71</v>
      </c>
      <c r="X560" t="n">
        <v>14.36</v>
      </c>
      <c r="Z560" t="n">
        <v>661966.6800000001</v>
      </c>
      <c r="AA560" t="n">
        <v>7.19</v>
      </c>
      <c r="AB560" t="n">
        <v>1.21</v>
      </c>
      <c r="AC560" t="n">
        <v>0.5</v>
      </c>
      <c r="AD560" t="n">
        <v>585917788.3</v>
      </c>
    </row>
    <row r="561">
      <c r="A561" t="inlineStr">
        <is>
          <t>TEKA3</t>
        </is>
      </c>
      <c r="B561" t="n">
        <v>42.5</v>
      </c>
      <c r="D561" t="n">
        <v>0.07000000000000001</v>
      </c>
      <c r="E561" t="n">
        <v>-0.01</v>
      </c>
      <c r="F561" t="n">
        <v>0.02</v>
      </c>
      <c r="G561" t="n">
        <v>24.2</v>
      </c>
      <c r="H561" t="n">
        <v>32.52</v>
      </c>
      <c r="I561" t="n">
        <v>83.45</v>
      </c>
      <c r="J561" t="n">
        <v>0.18</v>
      </c>
      <c r="K561" t="n">
        <v>0.7</v>
      </c>
      <c r="L561" t="n">
        <v>0.58</v>
      </c>
      <c r="N561" t="n">
        <v>0.06</v>
      </c>
      <c r="O561" t="n">
        <v>-0.01</v>
      </c>
      <c r="P561" t="n">
        <v>-0.02</v>
      </c>
      <c r="Q561" t="n">
        <v>0.05</v>
      </c>
      <c r="R561" t="n">
        <v>-13.57</v>
      </c>
      <c r="S561" t="n">
        <v>25.99</v>
      </c>
      <c r="T561" t="n">
        <v>24.19</v>
      </c>
      <c r="U561" t="n">
        <v>-1.91</v>
      </c>
      <c r="V561" t="n">
        <v>2.91</v>
      </c>
      <c r="W561" t="n">
        <v>0.31</v>
      </c>
      <c r="X561" t="n">
        <v>17.7</v>
      </c>
      <c r="AA561" t="n">
        <v>-4433.43</v>
      </c>
      <c r="AB561" t="n">
        <v>601.78</v>
      </c>
      <c r="AC561" t="n">
        <v>0</v>
      </c>
      <c r="AD561" t="n">
        <v>14260237.5</v>
      </c>
    </row>
    <row r="562">
      <c r="A562" t="inlineStr">
        <is>
          <t>TEKA4</t>
        </is>
      </c>
      <c r="B562" t="n">
        <v>21.25</v>
      </c>
      <c r="D562" t="n">
        <v>0.04</v>
      </c>
      <c r="E562" t="n">
        <v>0</v>
      </c>
      <c r="F562" t="n">
        <v>0.01</v>
      </c>
      <c r="G562" t="n">
        <v>24.2</v>
      </c>
      <c r="H562" t="n">
        <v>32.52</v>
      </c>
      <c r="I562" t="n">
        <v>83.45</v>
      </c>
      <c r="J562" t="n">
        <v>0.09</v>
      </c>
      <c r="K562" t="n">
        <v>0.7</v>
      </c>
      <c r="L562" t="n">
        <v>0.58</v>
      </c>
      <c r="N562" t="n">
        <v>0.03</v>
      </c>
      <c r="O562" t="n">
        <v>0</v>
      </c>
      <c r="P562" t="n">
        <v>-0.01</v>
      </c>
      <c r="Q562" t="n">
        <v>0.05</v>
      </c>
      <c r="R562" t="n">
        <v>-13.57</v>
      </c>
      <c r="S562" t="n">
        <v>25.99</v>
      </c>
      <c r="T562" t="n">
        <v>24.19</v>
      </c>
      <c r="U562" t="n">
        <v>-1.91</v>
      </c>
      <c r="V562" t="n">
        <v>2.91</v>
      </c>
      <c r="W562" t="n">
        <v>0.31</v>
      </c>
      <c r="X562" t="n">
        <v>17.7</v>
      </c>
      <c r="AA562" t="n">
        <v>-4433.43</v>
      </c>
      <c r="AB562" t="n">
        <v>601.78</v>
      </c>
      <c r="AC562" t="n">
        <v>0</v>
      </c>
      <c r="AD562" t="n">
        <v>14260237.5</v>
      </c>
    </row>
    <row r="563">
      <c r="A563" t="inlineStr">
        <is>
          <t>TELB3</t>
        </is>
      </c>
      <c r="B563" t="n">
        <v>10.54</v>
      </c>
      <c r="D563" t="n">
        <v>17.37</v>
      </c>
      <c r="E563" t="n">
        <v>0.65</v>
      </c>
      <c r="F563" t="n">
        <v>0.24</v>
      </c>
      <c r="G563" t="n">
        <v>-35.04</v>
      </c>
      <c r="H563" t="n">
        <v>30.26</v>
      </c>
      <c r="I563" t="n">
        <v>12.09</v>
      </c>
      <c r="J563" t="n">
        <v>6.94</v>
      </c>
      <c r="K563" t="n">
        <v>-3.38</v>
      </c>
      <c r="L563" t="n">
        <v>-9.949999999999999</v>
      </c>
      <c r="M563" t="n">
        <v>-0.93</v>
      </c>
      <c r="N563" t="n">
        <v>2.1</v>
      </c>
      <c r="O563" t="n">
        <v>0.53</v>
      </c>
      <c r="P563" t="n">
        <v>-0.54</v>
      </c>
      <c r="Q563" t="n">
        <v>6.38</v>
      </c>
      <c r="R563" t="n">
        <v>3.72</v>
      </c>
      <c r="S563" t="n">
        <v>1.41</v>
      </c>
      <c r="T563" t="n">
        <v>6.96</v>
      </c>
      <c r="U563" t="n">
        <v>0.38</v>
      </c>
      <c r="V563" t="n">
        <v>0.62</v>
      </c>
      <c r="W563" t="n">
        <v>0.12</v>
      </c>
      <c r="X563" t="n">
        <v>12.97</v>
      </c>
      <c r="Z563" t="n">
        <v>2033.27</v>
      </c>
      <c r="AA563" t="n">
        <v>16.3</v>
      </c>
      <c r="AB563" t="n">
        <v>0.61</v>
      </c>
      <c r="AC563" t="n">
        <v>0.02</v>
      </c>
      <c r="AD563" t="n">
        <v>1017289620.79</v>
      </c>
    </row>
    <row r="564">
      <c r="A564" t="inlineStr">
        <is>
          <t>TELB4</t>
        </is>
      </c>
      <c r="B564" t="n">
        <v>7.41</v>
      </c>
      <c r="D564" t="n">
        <v>12.22</v>
      </c>
      <c r="E564" t="n">
        <v>0.45</v>
      </c>
      <c r="F564" t="n">
        <v>0.17</v>
      </c>
      <c r="G564" t="n">
        <v>-35.04</v>
      </c>
      <c r="H564" t="n">
        <v>30.26</v>
      </c>
      <c r="I564" t="n">
        <v>12.09</v>
      </c>
      <c r="J564" t="n">
        <v>4.88</v>
      </c>
      <c r="K564" t="n">
        <v>-3.38</v>
      </c>
      <c r="L564" t="n">
        <v>-9.949999999999999</v>
      </c>
      <c r="M564" t="n">
        <v>-0.93</v>
      </c>
      <c r="N564" t="n">
        <v>1.48</v>
      </c>
      <c r="O564" t="n">
        <v>0.37</v>
      </c>
      <c r="P564" t="n">
        <v>-0.38</v>
      </c>
      <c r="Q564" t="n">
        <v>6.38</v>
      </c>
      <c r="R564" t="n">
        <v>3.72</v>
      </c>
      <c r="S564" t="n">
        <v>1.41</v>
      </c>
      <c r="T564" t="n">
        <v>6.96</v>
      </c>
      <c r="U564" t="n">
        <v>0.38</v>
      </c>
      <c r="V564" t="n">
        <v>0.62</v>
      </c>
      <c r="W564" t="n">
        <v>0.12</v>
      </c>
      <c r="X564" t="n">
        <v>12.97</v>
      </c>
      <c r="Z564" t="n">
        <v>12201.59</v>
      </c>
      <c r="AA564" t="n">
        <v>16.3</v>
      </c>
      <c r="AB564" t="n">
        <v>0.61</v>
      </c>
      <c r="AC564" t="n">
        <v>0.01</v>
      </c>
      <c r="AD564" t="n">
        <v>1017289620.79</v>
      </c>
    </row>
    <row r="565">
      <c r="A565" t="inlineStr">
        <is>
          <t>TEND3</t>
        </is>
      </c>
      <c r="B565" t="n">
        <v>29.16</v>
      </c>
      <c r="C565" t="n">
        <v>4.23</v>
      </c>
      <c r="D565" t="n">
        <v>5.92</v>
      </c>
      <c r="E565" t="n">
        <v>2.63</v>
      </c>
      <c r="F565" t="n">
        <v>0.5</v>
      </c>
      <c r="G565" t="n">
        <v>30.8</v>
      </c>
      <c r="H565" t="n">
        <v>13.56</v>
      </c>
      <c r="I565" t="n">
        <v>13.43</v>
      </c>
      <c r="J565" t="n">
        <v>5.87</v>
      </c>
      <c r="K565" t="n">
        <v>6.33</v>
      </c>
      <c r="L565" t="n">
        <v>0.53</v>
      </c>
      <c r="M565" t="n">
        <v>0.24</v>
      </c>
      <c r="N565" t="n">
        <v>0.8</v>
      </c>
      <c r="O565" t="n">
        <v>1.74</v>
      </c>
      <c r="P565" t="n">
        <v>-1.2</v>
      </c>
      <c r="Q565" t="n">
        <v>2</v>
      </c>
      <c r="R565" t="n">
        <v>44.45</v>
      </c>
      <c r="S565" t="n">
        <v>8.51</v>
      </c>
      <c r="T565" t="n">
        <v>19.9</v>
      </c>
      <c r="U565" t="n">
        <v>0.19</v>
      </c>
      <c r="V565" t="n">
        <v>0.8100000000000001</v>
      </c>
      <c r="W565" t="n">
        <v>0.63</v>
      </c>
      <c r="X565" t="n">
        <v>12.83</v>
      </c>
      <c r="Y565" t="n">
        <v>24.68</v>
      </c>
      <c r="Z565" t="n">
        <v>75501713.77</v>
      </c>
      <c r="AA565" t="n">
        <v>11.08</v>
      </c>
      <c r="AB565" t="n">
        <v>4.92</v>
      </c>
      <c r="AC565" t="n">
        <v>0.03</v>
      </c>
      <c r="AD565" t="n">
        <v>3527799214.56</v>
      </c>
    </row>
    <row r="566">
      <c r="A566" t="inlineStr">
        <is>
          <t>TESA3</t>
        </is>
      </c>
      <c r="B566" t="n">
        <v>48</v>
      </c>
      <c r="D566" t="n">
        <v>-13.3</v>
      </c>
      <c r="E566" t="n">
        <v>1.62</v>
      </c>
      <c r="F566" t="n">
        <v>0.52</v>
      </c>
      <c r="G566" t="n">
        <v>15.86</v>
      </c>
      <c r="H566" t="n">
        <v>9.390000000000001</v>
      </c>
      <c r="I566" t="n">
        <v>-7.58</v>
      </c>
      <c r="J566" t="n">
        <v>10.73</v>
      </c>
      <c r="K566" t="n">
        <v>17.39</v>
      </c>
      <c r="L566" t="n">
        <v>6.66</v>
      </c>
      <c r="M566" t="n">
        <v>1.01</v>
      </c>
      <c r="N566" t="n">
        <v>1.01</v>
      </c>
      <c r="O566" t="n">
        <v>-11.1</v>
      </c>
      <c r="P566" t="n">
        <v>-0.74</v>
      </c>
      <c r="Q566" t="n">
        <v>0.86</v>
      </c>
      <c r="R566" t="n">
        <v>-12.18</v>
      </c>
      <c r="S566" t="n">
        <v>-3.94</v>
      </c>
      <c r="T566" t="n">
        <v>2.59</v>
      </c>
      <c r="U566" t="n">
        <v>0.32</v>
      </c>
      <c r="V566" t="n">
        <v>0.68</v>
      </c>
      <c r="W566" t="n">
        <v>0.52</v>
      </c>
      <c r="X566" t="n">
        <v>7.32</v>
      </c>
      <c r="AA566" t="n">
        <v>29.64</v>
      </c>
      <c r="AB566" t="n">
        <v>-3.61</v>
      </c>
      <c r="AC566" t="n">
        <v>0.83</v>
      </c>
      <c r="AD566" t="n">
        <v>1389696672</v>
      </c>
    </row>
    <row r="567">
      <c r="A567" t="inlineStr">
        <is>
          <t>TFCO4</t>
        </is>
      </c>
      <c r="B567" t="n">
        <v>13.94</v>
      </c>
      <c r="C567" t="n">
        <v>1.7</v>
      </c>
      <c r="D567" t="n">
        <v>91.56</v>
      </c>
      <c r="E567" t="n">
        <v>22.33</v>
      </c>
      <c r="F567" t="n">
        <v>13.1</v>
      </c>
      <c r="G567" t="n">
        <v>57.3</v>
      </c>
      <c r="H567" t="n">
        <v>19.91</v>
      </c>
      <c r="I567" t="n">
        <v>13.23</v>
      </c>
      <c r="J567" t="n">
        <v>60.85</v>
      </c>
      <c r="K567" t="n">
        <v>10.39</v>
      </c>
      <c r="L567" t="n">
        <v>0.53</v>
      </c>
      <c r="M567" t="n">
        <v>0.2</v>
      </c>
      <c r="N567" t="n">
        <v>12.11</v>
      </c>
      <c r="O567" t="n">
        <v>29.18</v>
      </c>
      <c r="P567" t="n">
        <v>-42.92</v>
      </c>
      <c r="Q567" t="n">
        <v>2.83</v>
      </c>
      <c r="R567" t="n">
        <v>24.39</v>
      </c>
      <c r="S567" t="n">
        <v>14.31</v>
      </c>
      <c r="T567" t="n">
        <v>21.23</v>
      </c>
      <c r="U567" t="n">
        <v>0.59</v>
      </c>
      <c r="V567" t="n">
        <v>0.41</v>
      </c>
      <c r="W567" t="n">
        <v>1.08</v>
      </c>
      <c r="X567" t="n">
        <v>31.38</v>
      </c>
      <c r="Y567" t="n">
        <v>40.92</v>
      </c>
      <c r="Z567" t="n">
        <v>6413052.32</v>
      </c>
      <c r="AA567" t="n">
        <v>0.62</v>
      </c>
      <c r="AB567" t="n">
        <v>0.15</v>
      </c>
      <c r="AC567" t="n">
        <v>6.65</v>
      </c>
      <c r="AD567" t="n">
        <v>2129730220.85</v>
      </c>
    </row>
    <row r="568">
      <c r="A568" t="inlineStr">
        <is>
          <t>TGMA3</t>
        </is>
      </c>
      <c r="B568" t="n">
        <v>30.21</v>
      </c>
      <c r="C568" t="n">
        <v>12.69</v>
      </c>
      <c r="D568" t="n">
        <v>8.390000000000001</v>
      </c>
      <c r="E568" t="n">
        <v>2.19</v>
      </c>
      <c r="F568" t="n">
        <v>1.46</v>
      </c>
      <c r="G568" t="n">
        <v>18.59</v>
      </c>
      <c r="H568" t="n">
        <v>14.12</v>
      </c>
      <c r="I568" t="n">
        <v>10.32</v>
      </c>
      <c r="J568" t="n">
        <v>6.13</v>
      </c>
      <c r="K568" t="n">
        <v>6.16</v>
      </c>
      <c r="L568" t="n">
        <v>0.03</v>
      </c>
      <c r="M568" t="n">
        <v>0.01</v>
      </c>
      <c r="N568" t="n">
        <v>0.87</v>
      </c>
      <c r="O568" t="n">
        <v>5.59</v>
      </c>
      <c r="P568" t="n">
        <v>-2.79</v>
      </c>
      <c r="Q568" t="n">
        <v>2.22</v>
      </c>
      <c r="R568" t="n">
        <v>26.13</v>
      </c>
      <c r="S568" t="n">
        <v>17.42</v>
      </c>
      <c r="T568" t="n">
        <v>13.14</v>
      </c>
      <c r="U568" t="n">
        <v>0.67</v>
      </c>
      <c r="V568" t="n">
        <v>0.33</v>
      </c>
      <c r="W568" t="n">
        <v>1.69</v>
      </c>
      <c r="X568" t="n">
        <v>17.07</v>
      </c>
      <c r="Y568" t="n">
        <v>26.45</v>
      </c>
      <c r="Z568" t="n">
        <v>5629471.09</v>
      </c>
      <c r="AA568" t="n">
        <v>13.8</v>
      </c>
      <c r="AB568" t="n">
        <v>3.61</v>
      </c>
      <c r="AC568" t="n">
        <v>-0.61</v>
      </c>
      <c r="AD568" t="n">
        <v>1996588178.75</v>
      </c>
    </row>
    <row r="569">
      <c r="A569" t="inlineStr">
        <is>
          <t>TIET11</t>
        </is>
      </c>
      <c r="B569" t="n">
        <v>12.54</v>
      </c>
      <c r="D569" t="n">
        <v>-17.06</v>
      </c>
      <c r="E569" t="n">
        <v>0.95</v>
      </c>
      <c r="F569" t="n">
        <v>0.24</v>
      </c>
      <c r="G569" t="n">
        <v>0</v>
      </c>
      <c r="H569" t="n">
        <v>21.64</v>
      </c>
      <c r="I569" t="n">
        <v>-7.77</v>
      </c>
      <c r="J569" t="n">
        <v>6.13</v>
      </c>
      <c r="K569" t="n">
        <v>18.71</v>
      </c>
      <c r="L569" t="n">
        <v>12.58</v>
      </c>
      <c r="M569" t="n">
        <v>1.95</v>
      </c>
      <c r="N569" t="n">
        <v>1.33</v>
      </c>
      <c r="O569" t="n">
        <v>-6.45</v>
      </c>
      <c r="P569" t="n">
        <v>-0.29</v>
      </c>
      <c r="Q569" t="n">
        <v>0.84</v>
      </c>
      <c r="R569" t="n">
        <v>-5.57</v>
      </c>
      <c r="S569" t="n">
        <v>-1.4</v>
      </c>
      <c r="T569" t="n">
        <v>4.63</v>
      </c>
      <c r="U569" t="n">
        <v>0.25</v>
      </c>
      <c r="V569" t="n">
        <v>0.75</v>
      </c>
      <c r="W569" t="n">
        <v>0.18</v>
      </c>
      <c r="X569" t="n">
        <v>4.6</v>
      </c>
      <c r="AA569" t="n">
        <v>13.19</v>
      </c>
      <c r="AB569" t="n">
        <v>-0.73</v>
      </c>
      <c r="AC569" t="n">
        <v>0.06</v>
      </c>
      <c r="AD569" t="n">
        <v>5004795800.93</v>
      </c>
    </row>
    <row r="570">
      <c r="A570" t="inlineStr">
        <is>
          <t>TIET3</t>
        </is>
      </c>
      <c r="B570" t="n">
        <v>3.49</v>
      </c>
      <c r="D570" t="n">
        <v>-23.75</v>
      </c>
      <c r="E570" t="n">
        <v>1.32</v>
      </c>
      <c r="F570" t="n">
        <v>0.33</v>
      </c>
      <c r="G570" t="n">
        <v>0</v>
      </c>
      <c r="H570" t="n">
        <v>21.64</v>
      </c>
      <c r="I570" t="n">
        <v>-7.77</v>
      </c>
      <c r="J570" t="n">
        <v>8.52</v>
      </c>
      <c r="K570" t="n">
        <v>18.71</v>
      </c>
      <c r="L570" t="n">
        <v>12.58</v>
      </c>
      <c r="M570" t="n">
        <v>1.95</v>
      </c>
      <c r="N570" t="n">
        <v>1.84</v>
      </c>
      <c r="O570" t="n">
        <v>-8.98</v>
      </c>
      <c r="P570" t="n">
        <v>-0.41</v>
      </c>
      <c r="Q570" t="n">
        <v>0.84</v>
      </c>
      <c r="R570" t="n">
        <v>-5.57</v>
      </c>
      <c r="S570" t="n">
        <v>-1.4</v>
      </c>
      <c r="T570" t="n">
        <v>4.63</v>
      </c>
      <c r="U570" t="n">
        <v>0.25</v>
      </c>
      <c r="V570" t="n">
        <v>0.75</v>
      </c>
      <c r="W570" t="n">
        <v>0.18</v>
      </c>
      <c r="X570" t="n">
        <v>4.6</v>
      </c>
      <c r="AA570" t="n">
        <v>2.64</v>
      </c>
      <c r="AB570" t="n">
        <v>-0.15</v>
      </c>
      <c r="AC570" t="n">
        <v>0.08</v>
      </c>
      <c r="AD570" t="n">
        <v>5004795800.93</v>
      </c>
    </row>
    <row r="571">
      <c r="A571" t="inlineStr">
        <is>
          <t>TIET4</t>
        </is>
      </c>
      <c r="B571" t="n">
        <v>3.51</v>
      </c>
      <c r="D571" t="n">
        <v>-23.88</v>
      </c>
      <c r="E571" t="n">
        <v>1.33</v>
      </c>
      <c r="F571" t="n">
        <v>0.33</v>
      </c>
      <c r="G571" t="n">
        <v>0</v>
      </c>
      <c r="H571" t="n">
        <v>21.64</v>
      </c>
      <c r="I571" t="n">
        <v>-7.77</v>
      </c>
      <c r="J571" t="n">
        <v>8.57</v>
      </c>
      <c r="K571" t="n">
        <v>18.71</v>
      </c>
      <c r="L571" t="n">
        <v>12.58</v>
      </c>
      <c r="M571" t="n">
        <v>1.95</v>
      </c>
      <c r="N571" t="n">
        <v>1.85</v>
      </c>
      <c r="O571" t="n">
        <v>-9.029999999999999</v>
      </c>
      <c r="P571" t="n">
        <v>-0.41</v>
      </c>
      <c r="Q571" t="n">
        <v>0.84</v>
      </c>
      <c r="R571" t="n">
        <v>-5.57</v>
      </c>
      <c r="S571" t="n">
        <v>-1.4</v>
      </c>
      <c r="T571" t="n">
        <v>4.63</v>
      </c>
      <c r="U571" t="n">
        <v>0.25</v>
      </c>
      <c r="V571" t="n">
        <v>0.75</v>
      </c>
      <c r="W571" t="n">
        <v>0.18</v>
      </c>
      <c r="X571" t="n">
        <v>4.6</v>
      </c>
      <c r="AA571" t="n">
        <v>2.64</v>
      </c>
      <c r="AB571" t="n">
        <v>-0.15</v>
      </c>
      <c r="AC571" t="n">
        <v>0.08</v>
      </c>
      <c r="AD571" t="n">
        <v>5004795800.93</v>
      </c>
    </row>
    <row r="572">
      <c r="A572" t="inlineStr">
        <is>
          <t>TIMS3</t>
        </is>
      </c>
      <c r="B572" t="n">
        <v>19.69</v>
      </c>
      <c r="C572" t="n">
        <v>7.37</v>
      </c>
      <c r="D572" t="n">
        <v>23.49</v>
      </c>
      <c r="E572" t="n">
        <v>3.92</v>
      </c>
      <c r="F572" t="n">
        <v>0.79</v>
      </c>
      <c r="G572" t="n">
        <v>54.05</v>
      </c>
      <c r="H572" t="n">
        <v>24.28</v>
      </c>
      <c r="I572" t="n">
        <v>7.43</v>
      </c>
      <c r="J572" t="n">
        <v>7.19</v>
      </c>
      <c r="K572" t="n">
        <v>6.11</v>
      </c>
      <c r="L572" t="n">
        <v>-1.12</v>
      </c>
      <c r="M572" t="n">
        <v>-0.61</v>
      </c>
      <c r="N572" t="n">
        <v>1.75</v>
      </c>
      <c r="O572" t="n">
        <v>-62.65</v>
      </c>
      <c r="P572" t="n">
        <v>-1.08</v>
      </c>
      <c r="Q572" t="n">
        <v>0.95</v>
      </c>
      <c r="R572" t="n">
        <v>16.69</v>
      </c>
      <c r="S572" t="n">
        <v>3.38</v>
      </c>
      <c r="T572" t="n">
        <v>30.15</v>
      </c>
      <c r="U572" t="n">
        <v>0.2</v>
      </c>
      <c r="V572" t="n">
        <v>0.66</v>
      </c>
      <c r="W572" t="n">
        <v>0.45</v>
      </c>
      <c r="X572" t="n">
        <v>9.050000000000001</v>
      </c>
      <c r="Y572" t="n">
        <v>1.73</v>
      </c>
      <c r="Z572" t="n">
        <v>138211507.18</v>
      </c>
      <c r="AA572" t="n">
        <v>5.03</v>
      </c>
      <c r="AB572" t="n">
        <v>0.84</v>
      </c>
      <c r="AC572" t="n">
        <v>0.6899999999999999</v>
      </c>
      <c r="AD572" t="n">
        <v>47459777637.76</v>
      </c>
    </row>
    <row r="573">
      <c r="A573" t="inlineStr">
        <is>
          <t>TKNO3</t>
        </is>
      </c>
      <c r="B573" t="n">
        <v>214.99</v>
      </c>
      <c r="C573" t="n">
        <v>9</v>
      </c>
      <c r="D573" t="n">
        <v>21.11</v>
      </c>
      <c r="E573" t="n">
        <v>2.19</v>
      </c>
      <c r="F573" t="n">
        <v>1.79</v>
      </c>
      <c r="G573" t="n">
        <v>21.26</v>
      </c>
      <c r="H573" t="n">
        <v>10.82</v>
      </c>
      <c r="I573" t="n">
        <v>10.11</v>
      </c>
      <c r="J573" t="n">
        <v>19.72</v>
      </c>
      <c r="K573" t="n">
        <v>18.66</v>
      </c>
      <c r="L573" t="n">
        <v>-1.1</v>
      </c>
      <c r="M573" t="n">
        <v>-0.12</v>
      </c>
      <c r="N573" t="n">
        <v>2.13</v>
      </c>
      <c r="O573" t="n">
        <v>4.65</v>
      </c>
      <c r="P573" t="n">
        <v>-3.77</v>
      </c>
      <c r="Q573" t="n">
        <v>3.78</v>
      </c>
      <c r="R573" t="n">
        <v>10.38</v>
      </c>
      <c r="S573" t="n">
        <v>8.5</v>
      </c>
      <c r="T573" t="n">
        <v>4.1</v>
      </c>
      <c r="U573" t="n">
        <v>0.82</v>
      </c>
      <c r="V573" t="n">
        <v>0.18</v>
      </c>
      <c r="W573" t="n">
        <v>0.84</v>
      </c>
      <c r="X573" t="n">
        <v>10.24</v>
      </c>
      <c r="Y573" t="n">
        <v>18.59</v>
      </c>
      <c r="Z573" t="n">
        <v>0</v>
      </c>
      <c r="AA573" t="n">
        <v>98.12</v>
      </c>
      <c r="AB573" t="n">
        <v>10.18</v>
      </c>
      <c r="AC573" t="n">
        <v>-0.52</v>
      </c>
      <c r="AD573" t="n">
        <v>635123987.99</v>
      </c>
    </row>
    <row r="574">
      <c r="A574" t="inlineStr">
        <is>
          <t>TKNO4</t>
        </is>
      </c>
      <c r="B574" t="n">
        <v>216</v>
      </c>
      <c r="C574" t="n">
        <v>7.59</v>
      </c>
      <c r="D574" t="n">
        <v>21.21</v>
      </c>
      <c r="E574" t="n">
        <v>2.2</v>
      </c>
      <c r="F574" t="n">
        <v>1.8</v>
      </c>
      <c r="G574" t="n">
        <v>21.26</v>
      </c>
      <c r="H574" t="n">
        <v>10.82</v>
      </c>
      <c r="I574" t="n">
        <v>10.11</v>
      </c>
      <c r="J574" t="n">
        <v>19.81</v>
      </c>
      <c r="K574" t="n">
        <v>18.66</v>
      </c>
      <c r="L574" t="n">
        <v>-1.1</v>
      </c>
      <c r="M574" t="n">
        <v>-0.12</v>
      </c>
      <c r="N574" t="n">
        <v>2.14</v>
      </c>
      <c r="O574" t="n">
        <v>4.68</v>
      </c>
      <c r="P574" t="n">
        <v>-3.79</v>
      </c>
      <c r="Q574" t="n">
        <v>3.78</v>
      </c>
      <c r="R574" t="n">
        <v>10.38</v>
      </c>
      <c r="S574" t="n">
        <v>8.5</v>
      </c>
      <c r="T574" t="n">
        <v>4.1</v>
      </c>
      <c r="U574" t="n">
        <v>0.82</v>
      </c>
      <c r="V574" t="n">
        <v>0.18</v>
      </c>
      <c r="W574" t="n">
        <v>0.84</v>
      </c>
      <c r="X574" t="n">
        <v>10.24</v>
      </c>
      <c r="Y574" t="n">
        <v>18.59</v>
      </c>
      <c r="Z574" t="n">
        <v>0</v>
      </c>
      <c r="AA574" t="n">
        <v>98.12</v>
      </c>
      <c r="AB574" t="n">
        <v>10.18</v>
      </c>
      <c r="AC574" t="n">
        <v>-0.52</v>
      </c>
      <c r="AD574" t="n">
        <v>635123987.99</v>
      </c>
    </row>
    <row r="575">
      <c r="A575" t="inlineStr">
        <is>
          <t>TOKY3</t>
        </is>
      </c>
      <c r="B575" t="n">
        <v>0.3</v>
      </c>
      <c r="D575" t="n">
        <v>-0.17</v>
      </c>
      <c r="E575" t="n">
        <v>42.09</v>
      </c>
      <c r="F575" t="n">
        <v>8.609999999999999</v>
      </c>
      <c r="G575" t="n">
        <v>52.5</v>
      </c>
      <c r="H575" t="n">
        <v>0.42</v>
      </c>
      <c r="I575" t="n">
        <v>-6.51</v>
      </c>
      <c r="J575" t="n">
        <v>2.65</v>
      </c>
      <c r="K575" t="n">
        <v>2.64</v>
      </c>
      <c r="L575" t="n">
        <v>0.08</v>
      </c>
      <c r="M575" t="n">
        <v>1.24</v>
      </c>
      <c r="N575" t="n">
        <v>0.01</v>
      </c>
      <c r="O575" t="n">
        <v>-114.04</v>
      </c>
      <c r="P575" t="n">
        <v>-12.7</v>
      </c>
      <c r="Q575" t="n">
        <v>0.8100000000000001</v>
      </c>
      <c r="R575" t="n">
        <v>-24363.77</v>
      </c>
      <c r="S575" t="n">
        <v>-4981.8</v>
      </c>
      <c r="T575" t="n">
        <v>-1654.59</v>
      </c>
      <c r="U575" t="n">
        <v>0.2</v>
      </c>
      <c r="V575" t="n">
        <v>0.92</v>
      </c>
      <c r="W575" t="n">
        <v>764.87</v>
      </c>
      <c r="X575" t="n">
        <v>19.1</v>
      </c>
      <c r="Z575" t="n">
        <v>105039.64</v>
      </c>
      <c r="AA575" t="n">
        <v>0.01</v>
      </c>
      <c r="AB575" t="n">
        <v>-1.74</v>
      </c>
      <c r="AC575" t="n">
        <v>0.01</v>
      </c>
      <c r="AD575" t="n">
        <v>15717056.92</v>
      </c>
    </row>
    <row r="576">
      <c r="A576" t="inlineStr">
        <is>
          <t>TOTS3</t>
        </is>
      </c>
      <c r="B576" t="n">
        <v>29.6</v>
      </c>
      <c r="C576" t="n">
        <v>2.3</v>
      </c>
      <c r="D576" t="n">
        <v>19.13</v>
      </c>
      <c r="E576" t="n">
        <v>3.57</v>
      </c>
      <c r="F576" t="n">
        <v>1.36</v>
      </c>
      <c r="G576" t="n">
        <v>70.63</v>
      </c>
      <c r="H576" t="n">
        <v>19.91</v>
      </c>
      <c r="I576" t="n">
        <v>15.41</v>
      </c>
      <c r="J576" t="n">
        <v>14.81</v>
      </c>
      <c r="K576" t="n">
        <v>17.76</v>
      </c>
      <c r="L576" t="n">
        <v>2.87</v>
      </c>
      <c r="M576" t="n">
        <v>0.6899999999999999</v>
      </c>
      <c r="N576" t="n">
        <v>2.95</v>
      </c>
      <c r="O576" t="n">
        <v>12.22</v>
      </c>
      <c r="P576" t="n">
        <v>-1.91</v>
      </c>
      <c r="Q576" t="n">
        <v>1.62</v>
      </c>
      <c r="R576" t="n">
        <v>18.65</v>
      </c>
      <c r="S576" t="n">
        <v>7.09</v>
      </c>
      <c r="T576" t="n">
        <v>9.640000000000001</v>
      </c>
      <c r="U576" t="n">
        <v>0.38</v>
      </c>
      <c r="V576" t="n">
        <v>0.59</v>
      </c>
      <c r="W576" t="n">
        <v>0.46</v>
      </c>
      <c r="X576" t="n">
        <v>17.33</v>
      </c>
      <c r="Y576" t="n">
        <v>25.71</v>
      </c>
      <c r="Z576" t="n">
        <v>113848813.14</v>
      </c>
      <c r="AA576" t="n">
        <v>8.279999999999999</v>
      </c>
      <c r="AB576" t="n">
        <v>1.54</v>
      </c>
      <c r="AC576" t="n">
        <v>1.07</v>
      </c>
      <c r="AD576" t="n">
        <v>17802226955.7</v>
      </c>
    </row>
    <row r="577">
      <c r="A577" t="inlineStr">
        <is>
          <t>TOYB3</t>
        </is>
      </c>
      <c r="B577" t="n">
        <v>2.29</v>
      </c>
      <c r="D577" t="n">
        <v>-43.94</v>
      </c>
      <c r="E577" t="n">
        <v>0.03</v>
      </c>
      <c r="F577" t="n">
        <v>0</v>
      </c>
      <c r="G577" t="n">
        <v>24.06</v>
      </c>
      <c r="H577" t="n">
        <v>-10.7</v>
      </c>
      <c r="I577" t="n">
        <v>-10.96</v>
      </c>
      <c r="J577" t="n">
        <v>-45</v>
      </c>
      <c r="K577" t="n">
        <v>-46.99</v>
      </c>
      <c r="N577" t="n">
        <v>4.81</v>
      </c>
      <c r="O577" t="n">
        <v>0.34</v>
      </c>
      <c r="P577" t="n">
        <v>0</v>
      </c>
      <c r="R577" t="n">
        <v>-0.07000000000000001</v>
      </c>
      <c r="S577" t="n">
        <v>0</v>
      </c>
      <c r="U577" t="n">
        <v>0.05</v>
      </c>
      <c r="V577" t="n">
        <v>0.95</v>
      </c>
      <c r="W577" t="n">
        <v>0</v>
      </c>
      <c r="X577" t="n">
        <v>201.6</v>
      </c>
      <c r="AA577" t="n">
        <v>76.91</v>
      </c>
      <c r="AB577" t="n">
        <v>-0.05</v>
      </c>
      <c r="AC577" t="n">
        <v>0.47</v>
      </c>
      <c r="AD577" t="n">
        <v>71890222.22</v>
      </c>
    </row>
    <row r="578">
      <c r="A578" t="inlineStr">
        <is>
          <t>TOYB4</t>
        </is>
      </c>
      <c r="B578" t="n">
        <v>2.5</v>
      </c>
      <c r="D578" t="n">
        <v>-47.96</v>
      </c>
      <c r="E578" t="n">
        <v>0.03</v>
      </c>
      <c r="F578" t="n">
        <v>0</v>
      </c>
      <c r="G578" t="n">
        <v>24.06</v>
      </c>
      <c r="H578" t="n">
        <v>-10.7</v>
      </c>
      <c r="I578" t="n">
        <v>-10.96</v>
      </c>
      <c r="J578" t="n">
        <v>-49.12</v>
      </c>
      <c r="K578" t="n">
        <v>-46.99</v>
      </c>
      <c r="N578" t="n">
        <v>5.26</v>
      </c>
      <c r="O578" t="n">
        <v>0.37</v>
      </c>
      <c r="P578" t="n">
        <v>0</v>
      </c>
      <c r="R578" t="n">
        <v>-0.07000000000000001</v>
      </c>
      <c r="S578" t="n">
        <v>0</v>
      </c>
      <c r="U578" t="n">
        <v>0.05</v>
      </c>
      <c r="V578" t="n">
        <v>0.95</v>
      </c>
      <c r="W578" t="n">
        <v>0</v>
      </c>
      <c r="X578" t="n">
        <v>201.6</v>
      </c>
      <c r="AA578" t="n">
        <v>76.91</v>
      </c>
      <c r="AB578" t="n">
        <v>-0.05</v>
      </c>
      <c r="AC578" t="n">
        <v>0.52</v>
      </c>
      <c r="AD578" t="n">
        <v>71890222.22</v>
      </c>
    </row>
    <row r="579">
      <c r="A579" t="inlineStr">
        <is>
          <t>TPIS3</t>
        </is>
      </c>
      <c r="B579" t="n">
        <v>8</v>
      </c>
      <c r="C579" t="n">
        <v>6.86</v>
      </c>
      <c r="D579" t="n">
        <v>-0.91</v>
      </c>
      <c r="E579" t="n">
        <v>0.7</v>
      </c>
      <c r="F579" t="n">
        <v>0.16</v>
      </c>
      <c r="G579" t="n">
        <v>26.5</v>
      </c>
      <c r="H579" t="n">
        <v>-52.9</v>
      </c>
      <c r="I579" t="n">
        <v>-42.83</v>
      </c>
      <c r="J579" t="n">
        <v>-0.74</v>
      </c>
      <c r="K579" t="n">
        <v>-3.21</v>
      </c>
      <c r="L579" t="n">
        <v>-2.47</v>
      </c>
      <c r="M579" t="n">
        <v>2.36</v>
      </c>
      <c r="N579" t="n">
        <v>0.39</v>
      </c>
      <c r="O579" t="n">
        <v>-0.47</v>
      </c>
      <c r="P579" t="n">
        <v>-0.18</v>
      </c>
      <c r="Q579" t="n">
        <v>0.22</v>
      </c>
      <c r="R579" t="n">
        <v>-77.17</v>
      </c>
      <c r="S579" t="n">
        <v>-17.97</v>
      </c>
      <c r="T579" t="n">
        <v>-28.01</v>
      </c>
      <c r="U579" t="n">
        <v>0.23</v>
      </c>
      <c r="V579" t="n">
        <v>0.78</v>
      </c>
      <c r="W579" t="n">
        <v>0.42</v>
      </c>
      <c r="X579" t="n">
        <v>1.71</v>
      </c>
      <c r="Z579" t="n">
        <v>278342.41</v>
      </c>
      <c r="AA579" t="n">
        <v>11.4</v>
      </c>
      <c r="AB579" t="n">
        <v>-8.800000000000001</v>
      </c>
      <c r="AC579" t="n">
        <v>0</v>
      </c>
      <c r="AD579" t="n">
        <v>352000000</v>
      </c>
    </row>
    <row r="580">
      <c r="A580" t="inlineStr">
        <is>
          <t>TRAD3</t>
        </is>
      </c>
      <c r="B580" t="n">
        <v>1.12</v>
      </c>
      <c r="D580" t="n">
        <v>0.51</v>
      </c>
      <c r="E580" t="n">
        <v>0.44</v>
      </c>
      <c r="F580" t="n">
        <v>0.39</v>
      </c>
      <c r="G580" t="n">
        <v>18.75</v>
      </c>
      <c r="H580" t="n">
        <v>-463.64</v>
      </c>
      <c r="I580" t="n">
        <v>428.31</v>
      </c>
      <c r="J580" t="n">
        <v>-0.47</v>
      </c>
      <c r="K580" t="n">
        <v>-0.43</v>
      </c>
      <c r="L580" t="n">
        <v>0.04</v>
      </c>
      <c r="M580" t="n">
        <v>-0.04</v>
      </c>
      <c r="N580" t="n">
        <v>2.2</v>
      </c>
      <c r="O580" t="n">
        <v>3.94</v>
      </c>
      <c r="P580" t="n">
        <v>-0.46</v>
      </c>
      <c r="Q580" t="n">
        <v>3.07</v>
      </c>
      <c r="R580" t="n">
        <v>85.56</v>
      </c>
      <c r="S580" t="n">
        <v>76.48</v>
      </c>
      <c r="T580" t="n">
        <v>-90.31999999999999</v>
      </c>
      <c r="U580" t="n">
        <v>0.89</v>
      </c>
      <c r="V580" t="n">
        <v>0.1</v>
      </c>
      <c r="W580" t="n">
        <v>0.18</v>
      </c>
      <c r="X580" t="n">
        <v>-11.06</v>
      </c>
      <c r="Y580" t="n">
        <v>46.01</v>
      </c>
      <c r="Z580" t="n">
        <v>20996.86</v>
      </c>
      <c r="AA580" t="n">
        <v>2.55</v>
      </c>
      <c r="AB580" t="n">
        <v>2.18</v>
      </c>
      <c r="AC580" t="n">
        <v>0</v>
      </c>
      <c r="AD580" t="n">
        <v>44823541.28</v>
      </c>
    </row>
    <row r="581">
      <c r="A581" t="inlineStr">
        <is>
          <t>TRIS3</t>
        </is>
      </c>
      <c r="B581" t="n">
        <v>4.18</v>
      </c>
      <c r="C581" t="n">
        <v>16.73</v>
      </c>
      <c r="D581" t="n">
        <v>5.11</v>
      </c>
      <c r="E581" t="n">
        <v>0.66</v>
      </c>
      <c r="F581" t="n">
        <v>0.29</v>
      </c>
      <c r="G581" t="n">
        <v>27.82</v>
      </c>
      <c r="H581" t="n">
        <v>13.71</v>
      </c>
      <c r="I581" t="n">
        <v>13.17</v>
      </c>
      <c r="J581" t="n">
        <v>4.91</v>
      </c>
      <c r="K581" t="n">
        <v>7.22</v>
      </c>
      <c r="L581" t="n">
        <v>2.28</v>
      </c>
      <c r="M581" t="n">
        <v>0.31</v>
      </c>
      <c r="N581" t="n">
        <v>0.67</v>
      </c>
      <c r="O581" t="n">
        <v>0.51</v>
      </c>
      <c r="P581" t="n">
        <v>-1.75</v>
      </c>
      <c r="Q581" t="n">
        <v>3.21</v>
      </c>
      <c r="R581" t="n">
        <v>12.92</v>
      </c>
      <c r="S581" t="n">
        <v>5.73</v>
      </c>
      <c r="T581" t="n">
        <v>6.43</v>
      </c>
      <c r="U581" t="n">
        <v>0.44</v>
      </c>
      <c r="V581" t="n">
        <v>0.55</v>
      </c>
      <c r="W581" t="n">
        <v>0.44</v>
      </c>
      <c r="X581" t="n">
        <v>9.42</v>
      </c>
      <c r="Y581" t="n">
        <v>2.34</v>
      </c>
      <c r="Z581" t="n">
        <v>1753065.73</v>
      </c>
      <c r="AA581" t="n">
        <v>6.33</v>
      </c>
      <c r="AB581" t="n">
        <v>0.82</v>
      </c>
      <c r="AC581" t="n">
        <v>1.09</v>
      </c>
      <c r="AD581" t="n">
        <v>980771341.2</v>
      </c>
    </row>
    <row r="582">
      <c r="A582" t="inlineStr">
        <is>
          <t>TTEN3</t>
        </is>
      </c>
      <c r="B582" t="n">
        <v>12.28</v>
      </c>
      <c r="C582" t="n">
        <v>1.49</v>
      </c>
      <c r="D582" t="n">
        <v>8.619999999999999</v>
      </c>
      <c r="E582" t="n">
        <v>1.29</v>
      </c>
      <c r="F582" t="n">
        <v>0.42</v>
      </c>
      <c r="G582" t="n">
        <v>15.32</v>
      </c>
      <c r="H582" t="n">
        <v>2.95</v>
      </c>
      <c r="I582" t="n">
        <v>4.16</v>
      </c>
      <c r="J582" t="n">
        <v>12.17</v>
      </c>
      <c r="K582" t="n">
        <v>16.18</v>
      </c>
      <c r="L582" t="n">
        <v>4.25</v>
      </c>
      <c r="M582" t="n">
        <v>0.45</v>
      </c>
      <c r="N582" t="n">
        <v>0.36</v>
      </c>
      <c r="O582" t="n">
        <v>3.23</v>
      </c>
      <c r="P582" t="n">
        <v>-1.14</v>
      </c>
      <c r="Q582" t="n">
        <v>1.26</v>
      </c>
      <c r="R582" t="n">
        <v>14.93</v>
      </c>
      <c r="S582" t="n">
        <v>4.86</v>
      </c>
      <c r="T582" t="n">
        <v>1.59</v>
      </c>
      <c r="U582" t="n">
        <v>0.33</v>
      </c>
      <c r="V582" t="n">
        <v>0.67</v>
      </c>
      <c r="W582" t="n">
        <v>1.17</v>
      </c>
      <c r="X582" t="n">
        <v>39.47</v>
      </c>
      <c r="Y582" t="n">
        <v>23.67</v>
      </c>
      <c r="Z582" t="n">
        <v>15409166.45</v>
      </c>
      <c r="AA582" t="n">
        <v>9.529999999999999</v>
      </c>
      <c r="AB582" t="n">
        <v>1.42</v>
      </c>
      <c r="AC582" t="n">
        <v>-0.84</v>
      </c>
      <c r="AD582" t="n">
        <v>6018866516.94</v>
      </c>
    </row>
    <row r="583">
      <c r="A583" t="inlineStr">
        <is>
          <t>TUPY3</t>
        </is>
      </c>
      <c r="B583" t="n">
        <v>15.66</v>
      </c>
      <c r="D583" t="n">
        <v>-2.8</v>
      </c>
      <c r="E583" t="n">
        <v>0.89</v>
      </c>
      <c r="F583" t="n">
        <v>0.22</v>
      </c>
      <c r="G583" t="n">
        <v>11.31</v>
      </c>
      <c r="H583" t="n">
        <v>-3.25</v>
      </c>
      <c r="I583" t="n">
        <v>-7.79</v>
      </c>
      <c r="J583" t="n">
        <v>-6.69</v>
      </c>
      <c r="K583" t="n">
        <v>-13.41</v>
      </c>
      <c r="L583" t="n">
        <v>-6.7</v>
      </c>
      <c r="M583" t="n">
        <v>0.89</v>
      </c>
      <c r="N583" t="n">
        <v>0.22</v>
      </c>
      <c r="O583" t="n">
        <v>0.64</v>
      </c>
      <c r="P583" t="n">
        <v>-0.62</v>
      </c>
      <c r="Q583" t="n">
        <v>2.24</v>
      </c>
      <c r="R583" t="n">
        <v>-31.97</v>
      </c>
      <c r="S583" t="n">
        <v>-8.029999999999999</v>
      </c>
      <c r="T583" t="n">
        <v>-7.22</v>
      </c>
      <c r="U583" t="n">
        <v>0.25</v>
      </c>
      <c r="V583" t="n">
        <v>0.75</v>
      </c>
      <c r="W583" t="n">
        <v>1.03</v>
      </c>
      <c r="X583" t="n">
        <v>17.88</v>
      </c>
      <c r="Z583" t="n">
        <v>9600739.73</v>
      </c>
      <c r="AA583" t="n">
        <v>17.5</v>
      </c>
      <c r="AB583" t="n">
        <v>-5.59</v>
      </c>
      <c r="AC583" t="n">
        <v>0</v>
      </c>
      <c r="AD583" t="n">
        <v>2080796019.65</v>
      </c>
    </row>
    <row r="584">
      <c r="A584" t="inlineStr">
        <is>
          <t>TXRX3</t>
        </is>
      </c>
      <c r="B584" t="n">
        <v>9</v>
      </c>
      <c r="D584" t="n">
        <v>-0.67</v>
      </c>
      <c r="E584" t="n">
        <v>-0.09</v>
      </c>
      <c r="F584" t="n">
        <v>0.23</v>
      </c>
      <c r="G584" t="n">
        <v>20.3</v>
      </c>
      <c r="H584" t="n">
        <v>-7.98</v>
      </c>
      <c r="I584" t="n">
        <v>-49.57</v>
      </c>
      <c r="J584" t="n">
        <v>-4.15</v>
      </c>
      <c r="K584" t="n">
        <v>-40.54</v>
      </c>
      <c r="L584" t="n">
        <v>-38.62</v>
      </c>
      <c r="N584" t="n">
        <v>0.33</v>
      </c>
      <c r="O584" t="n">
        <v>-0.3</v>
      </c>
      <c r="P584" t="n">
        <v>-0.37</v>
      </c>
      <c r="Q584" t="n">
        <v>0.34</v>
      </c>
      <c r="R584" t="n">
        <v>-13.77</v>
      </c>
      <c r="S584" t="n">
        <v>-33.95</v>
      </c>
      <c r="T584" t="n">
        <v>15.4</v>
      </c>
      <c r="U584" t="n">
        <v>-2.47</v>
      </c>
      <c r="V584" t="n">
        <v>3.47</v>
      </c>
      <c r="W584" t="n">
        <v>0.68</v>
      </c>
      <c r="X584" t="n">
        <v>6.76</v>
      </c>
      <c r="Z584" t="n">
        <v>2200</v>
      </c>
      <c r="AA584" t="n">
        <v>-97.97</v>
      </c>
      <c r="AB584" t="n">
        <v>-13.49</v>
      </c>
      <c r="AC584" t="n">
        <v>-0.02</v>
      </c>
      <c r="AD584" t="n">
        <v>17733845.7</v>
      </c>
    </row>
    <row r="585">
      <c r="A585" t="inlineStr">
        <is>
          <t>TXRX4</t>
        </is>
      </c>
      <c r="B585" t="n">
        <v>1.65</v>
      </c>
      <c r="D585" t="n">
        <v>-0.12</v>
      </c>
      <c r="E585" t="n">
        <v>-0.02</v>
      </c>
      <c r="F585" t="n">
        <v>0.04</v>
      </c>
      <c r="G585" t="n">
        <v>20.3</v>
      </c>
      <c r="H585" t="n">
        <v>-7.98</v>
      </c>
      <c r="I585" t="n">
        <v>-49.57</v>
      </c>
      <c r="J585" t="n">
        <v>-0.76</v>
      </c>
      <c r="K585" t="n">
        <v>-40.54</v>
      </c>
      <c r="L585" t="n">
        <v>-38.62</v>
      </c>
      <c r="N585" t="n">
        <v>0.06</v>
      </c>
      <c r="O585" t="n">
        <v>-0.05</v>
      </c>
      <c r="P585" t="n">
        <v>-0.07000000000000001</v>
      </c>
      <c r="Q585" t="n">
        <v>0.34</v>
      </c>
      <c r="R585" t="n">
        <v>-13.77</v>
      </c>
      <c r="S585" t="n">
        <v>-33.95</v>
      </c>
      <c r="T585" t="n">
        <v>15.4</v>
      </c>
      <c r="U585" t="n">
        <v>-2.47</v>
      </c>
      <c r="V585" t="n">
        <v>3.47</v>
      </c>
      <c r="W585" t="n">
        <v>0.68</v>
      </c>
      <c r="X585" t="n">
        <v>6.76</v>
      </c>
      <c r="Z585" t="n">
        <v>0</v>
      </c>
      <c r="AA585" t="n">
        <v>-97.97</v>
      </c>
      <c r="AB585" t="n">
        <v>-13.49</v>
      </c>
      <c r="AC585" t="n">
        <v>0</v>
      </c>
      <c r="AD585" t="n">
        <v>17733845.7</v>
      </c>
    </row>
    <row r="586">
      <c r="A586" t="inlineStr">
        <is>
          <t>UCAS3</t>
        </is>
      </c>
      <c r="B586" t="n">
        <v>1.11</v>
      </c>
      <c r="D586" t="n">
        <v>-5.54</v>
      </c>
      <c r="E586" t="n">
        <v>0.42</v>
      </c>
      <c r="F586" t="n">
        <v>0.18</v>
      </c>
      <c r="G586" t="n">
        <v>30.62</v>
      </c>
      <c r="H586" t="n">
        <v>-5.62</v>
      </c>
      <c r="I586" t="n">
        <v>-5.59</v>
      </c>
      <c r="J586" t="n">
        <v>-5.51</v>
      </c>
      <c r="K586" t="n">
        <v>-14.01</v>
      </c>
      <c r="L586" t="n">
        <v>-8.359999999999999</v>
      </c>
      <c r="M586" t="n">
        <v>0.64</v>
      </c>
      <c r="N586" t="n">
        <v>0.31</v>
      </c>
      <c r="O586" t="n">
        <v>5.12</v>
      </c>
      <c r="P586" t="n">
        <v>-0.24</v>
      </c>
      <c r="Q586" t="n">
        <v>1.15</v>
      </c>
      <c r="R586" t="n">
        <v>-7.66</v>
      </c>
      <c r="S586" t="n">
        <v>-3.23</v>
      </c>
      <c r="T586" t="n">
        <v>-5.13</v>
      </c>
      <c r="U586" t="n">
        <v>0.42</v>
      </c>
      <c r="V586" t="n">
        <v>0.58</v>
      </c>
      <c r="W586" t="n">
        <v>0.58</v>
      </c>
      <c r="X586" t="n">
        <v>9.69</v>
      </c>
      <c r="Z586" t="n">
        <v>15435.36</v>
      </c>
      <c r="AA586" t="n">
        <v>2.62</v>
      </c>
      <c r="AB586" t="n">
        <v>-0.2</v>
      </c>
      <c r="AC586" t="n">
        <v>0.01</v>
      </c>
      <c r="AD586" t="n">
        <v>75338454.95999999</v>
      </c>
    </row>
    <row r="587">
      <c r="A587" t="inlineStr">
        <is>
          <t>UGPA3</t>
        </is>
      </c>
      <c r="B587" t="n">
        <v>32.12</v>
      </c>
      <c r="C587" t="n">
        <v>4.04</v>
      </c>
      <c r="D587" t="n">
        <v>11.99</v>
      </c>
      <c r="E587" t="n">
        <v>2.18</v>
      </c>
      <c r="F587" t="n">
        <v>0.72</v>
      </c>
      <c r="G587" t="n">
        <v>7.13</v>
      </c>
      <c r="H587" t="n">
        <v>4.11</v>
      </c>
      <c r="I587" t="n">
        <v>2.06</v>
      </c>
      <c r="J587" t="n">
        <v>5.99</v>
      </c>
      <c r="K587" t="n">
        <v>8.31</v>
      </c>
      <c r="L587" t="n">
        <v>2.33</v>
      </c>
      <c r="M587" t="n">
        <v>0.85</v>
      </c>
      <c r="N587" t="n">
        <v>0.25</v>
      </c>
      <c r="O587" t="n">
        <v>4.32</v>
      </c>
      <c r="P587" t="n">
        <v>-1.22</v>
      </c>
      <c r="Q587" t="n">
        <v>1.67</v>
      </c>
      <c r="R587" t="n">
        <v>18.19</v>
      </c>
      <c r="S587" t="n">
        <v>5.97</v>
      </c>
      <c r="T587" t="n">
        <v>11.71</v>
      </c>
      <c r="U587" t="n">
        <v>0.33</v>
      </c>
      <c r="V587" t="n">
        <v>0.63</v>
      </c>
      <c r="W587" t="n">
        <v>2.9</v>
      </c>
      <c r="X587" t="n">
        <v>11.87</v>
      </c>
      <c r="Y587" t="n">
        <v>27.38</v>
      </c>
      <c r="Z587" t="n">
        <v>315395790.64</v>
      </c>
      <c r="AA587" t="n">
        <v>14.76</v>
      </c>
      <c r="AB587" t="n">
        <v>2.69</v>
      </c>
      <c r="AC587" t="n">
        <v>0.37</v>
      </c>
      <c r="AD587" t="n">
        <v>35908048913.14</v>
      </c>
    </row>
    <row r="588">
      <c r="A588" t="inlineStr">
        <is>
          <t>UNIP3</t>
        </is>
      </c>
      <c r="B588" t="n">
        <v>58.78</v>
      </c>
      <c r="C588" t="n">
        <v>15.74</v>
      </c>
      <c r="D588" t="n">
        <v>17.75</v>
      </c>
      <c r="E588" t="n">
        <v>3.55</v>
      </c>
      <c r="F588" t="n">
        <v>0.89</v>
      </c>
      <c r="G588" t="n">
        <v>25.68</v>
      </c>
      <c r="H588" t="n">
        <v>12.43</v>
      </c>
      <c r="I588" t="n">
        <v>7.48</v>
      </c>
      <c r="J588" t="n">
        <v>10.68</v>
      </c>
      <c r="K588" t="n">
        <v>15.07</v>
      </c>
      <c r="L588" t="n">
        <v>3.87</v>
      </c>
      <c r="M588" t="n">
        <v>1.29</v>
      </c>
      <c r="N588" t="n">
        <v>1.33</v>
      </c>
      <c r="O588" t="n">
        <v>5.04</v>
      </c>
      <c r="P588" t="n">
        <v>-1.35</v>
      </c>
      <c r="Q588" t="n">
        <v>2.09</v>
      </c>
      <c r="R588" t="n">
        <v>20.01</v>
      </c>
      <c r="S588" t="n">
        <v>5.02</v>
      </c>
      <c r="T588" t="n">
        <v>8.31</v>
      </c>
      <c r="U588" t="n">
        <v>0.25</v>
      </c>
      <c r="V588" t="n">
        <v>0.75</v>
      </c>
      <c r="W588" t="n">
        <v>0.67</v>
      </c>
      <c r="X588" t="n">
        <v>5.86</v>
      </c>
      <c r="Y588" t="n">
        <v>0.38</v>
      </c>
      <c r="Z588" t="n">
        <v>307541.95</v>
      </c>
      <c r="AA588" t="n">
        <v>16.55</v>
      </c>
      <c r="AB588" t="n">
        <v>3.31</v>
      </c>
      <c r="AC588" t="n">
        <v>-0.42</v>
      </c>
      <c r="AD588" t="n">
        <v>6976500522.06</v>
      </c>
    </row>
    <row r="589">
      <c r="A589" t="inlineStr">
        <is>
          <t>UNIP5</t>
        </is>
      </c>
      <c r="B589" t="n">
        <v>63.97</v>
      </c>
      <c r="C589" t="n">
        <v>15.91</v>
      </c>
      <c r="D589" t="n">
        <v>19.32</v>
      </c>
      <c r="E589" t="n">
        <v>3.87</v>
      </c>
      <c r="F589" t="n">
        <v>0.97</v>
      </c>
      <c r="G589" t="n">
        <v>25.68</v>
      </c>
      <c r="H589" t="n">
        <v>12.43</v>
      </c>
      <c r="I589" t="n">
        <v>7.48</v>
      </c>
      <c r="J589" t="n">
        <v>11.62</v>
      </c>
      <c r="K589" t="n">
        <v>15.07</v>
      </c>
      <c r="L589" t="n">
        <v>3.87</v>
      </c>
      <c r="M589" t="n">
        <v>1.29</v>
      </c>
      <c r="N589" t="n">
        <v>1.44</v>
      </c>
      <c r="O589" t="n">
        <v>5.49</v>
      </c>
      <c r="P589" t="n">
        <v>-1.47</v>
      </c>
      <c r="Q589" t="n">
        <v>2.09</v>
      </c>
      <c r="R589" t="n">
        <v>20.01</v>
      </c>
      <c r="S589" t="n">
        <v>5.02</v>
      </c>
      <c r="T589" t="n">
        <v>8.31</v>
      </c>
      <c r="U589" t="n">
        <v>0.25</v>
      </c>
      <c r="V589" t="n">
        <v>0.75</v>
      </c>
      <c r="W589" t="n">
        <v>0.67</v>
      </c>
      <c r="X589" t="n">
        <v>5.86</v>
      </c>
      <c r="Y589" t="n">
        <v>0.38</v>
      </c>
      <c r="Z589" t="n">
        <v>7355.85</v>
      </c>
      <c r="AA589" t="n">
        <v>16.55</v>
      </c>
      <c r="AB589" t="n">
        <v>3.31</v>
      </c>
      <c r="AC589" t="n">
        <v>-0.46</v>
      </c>
      <c r="AD589" t="n">
        <v>6976500522.06</v>
      </c>
    </row>
    <row r="590">
      <c r="A590" t="inlineStr">
        <is>
          <t>UNIP6</t>
        </is>
      </c>
      <c r="B590" t="n">
        <v>62.99</v>
      </c>
      <c r="C590" t="n">
        <v>16.17</v>
      </c>
      <c r="D590" t="n">
        <v>19.01</v>
      </c>
      <c r="E590" t="n">
        <v>3.8</v>
      </c>
      <c r="F590" t="n">
        <v>0.95</v>
      </c>
      <c r="G590" t="n">
        <v>25.68</v>
      </c>
      <c r="H590" t="n">
        <v>12.43</v>
      </c>
      <c r="I590" t="n">
        <v>7.48</v>
      </c>
      <c r="J590" t="n">
        <v>11.44</v>
      </c>
      <c r="K590" t="n">
        <v>15.07</v>
      </c>
      <c r="L590" t="n">
        <v>3.87</v>
      </c>
      <c r="M590" t="n">
        <v>1.29</v>
      </c>
      <c r="N590" t="n">
        <v>1.42</v>
      </c>
      <c r="O590" t="n">
        <v>5.4</v>
      </c>
      <c r="P590" t="n">
        <v>-1.45</v>
      </c>
      <c r="Q590" t="n">
        <v>2.09</v>
      </c>
      <c r="R590" t="n">
        <v>20.01</v>
      </c>
      <c r="S590" t="n">
        <v>5.02</v>
      </c>
      <c r="T590" t="n">
        <v>8.31</v>
      </c>
      <c r="U590" t="n">
        <v>0.25</v>
      </c>
      <c r="V590" t="n">
        <v>0.75</v>
      </c>
      <c r="W590" t="n">
        <v>0.67</v>
      </c>
      <c r="X590" t="n">
        <v>5.86</v>
      </c>
      <c r="Y590" t="n">
        <v>0.38</v>
      </c>
      <c r="Z590" t="n">
        <v>6225126.91</v>
      </c>
      <c r="AA590" t="n">
        <v>16.55</v>
      </c>
      <c r="AB590" t="n">
        <v>3.31</v>
      </c>
      <c r="AC590" t="n">
        <v>-0.45</v>
      </c>
      <c r="AD590" t="n">
        <v>6976500522.06</v>
      </c>
    </row>
    <row r="591">
      <c r="A591" t="inlineStr">
        <is>
          <t>USIM3</t>
        </is>
      </c>
      <c r="B591" t="n">
        <v>7.24</v>
      </c>
      <c r="D591" t="n">
        <v>-3.48</v>
      </c>
      <c r="E591" t="n">
        <v>0.44</v>
      </c>
      <c r="F591" t="n">
        <v>0.26</v>
      </c>
      <c r="G591" t="n">
        <v>8.390000000000001</v>
      </c>
      <c r="H591" t="n">
        <v>-5.65</v>
      </c>
      <c r="I591" t="n">
        <v>-10.32</v>
      </c>
      <c r="J591" t="n">
        <v>-6.35</v>
      </c>
      <c r="K591" t="n">
        <v>-6.39</v>
      </c>
      <c r="L591" t="n">
        <v>0.35</v>
      </c>
      <c r="M591" t="n">
        <v>-0.02</v>
      </c>
      <c r="N591" t="n">
        <v>0.36</v>
      </c>
      <c r="O591" t="n">
        <v>0.71</v>
      </c>
      <c r="P591" t="n">
        <v>-0.49</v>
      </c>
      <c r="Q591" t="n">
        <v>4.54</v>
      </c>
      <c r="R591" t="n">
        <v>-12.7</v>
      </c>
      <c r="S591" t="n">
        <v>-7.5</v>
      </c>
      <c r="T591" t="n">
        <v>-11.11</v>
      </c>
      <c r="U591" t="n">
        <v>0.59</v>
      </c>
      <c r="V591" t="n">
        <v>0.33</v>
      </c>
      <c r="W591" t="n">
        <v>0.73</v>
      </c>
      <c r="X591" t="n">
        <v>10.3</v>
      </c>
      <c r="Z591" t="n">
        <v>2773314.36</v>
      </c>
      <c r="AA591" t="n">
        <v>16.39</v>
      </c>
      <c r="AB591" t="n">
        <v>-2.08</v>
      </c>
      <c r="AC591" t="n">
        <v>0</v>
      </c>
      <c r="AD591" t="n">
        <v>9629493111.799999</v>
      </c>
    </row>
    <row r="592">
      <c r="A592" t="inlineStr">
        <is>
          <t>USIM5</t>
        </is>
      </c>
      <c r="B592" t="n">
        <v>8.26</v>
      </c>
      <c r="D592" t="n">
        <v>-3.97</v>
      </c>
      <c r="E592" t="n">
        <v>0.5</v>
      </c>
      <c r="F592" t="n">
        <v>0.3</v>
      </c>
      <c r="G592" t="n">
        <v>8.390000000000001</v>
      </c>
      <c r="H592" t="n">
        <v>-5.65</v>
      </c>
      <c r="I592" t="n">
        <v>-10.32</v>
      </c>
      <c r="J592" t="n">
        <v>-7.25</v>
      </c>
      <c r="K592" t="n">
        <v>-6.39</v>
      </c>
      <c r="L592" t="n">
        <v>0.35</v>
      </c>
      <c r="M592" t="n">
        <v>-0.02</v>
      </c>
      <c r="N592" t="n">
        <v>0.41</v>
      </c>
      <c r="O592" t="n">
        <v>0.82</v>
      </c>
      <c r="P592" t="n">
        <v>-0.5600000000000001</v>
      </c>
      <c r="Q592" t="n">
        <v>4.54</v>
      </c>
      <c r="R592" t="n">
        <v>-12.7</v>
      </c>
      <c r="S592" t="n">
        <v>-7.5</v>
      </c>
      <c r="T592" t="n">
        <v>-11.11</v>
      </c>
      <c r="U592" t="n">
        <v>0.59</v>
      </c>
      <c r="V592" t="n">
        <v>0.33</v>
      </c>
      <c r="W592" t="n">
        <v>0.73</v>
      </c>
      <c r="X592" t="n">
        <v>10.3</v>
      </c>
      <c r="Z592" t="n">
        <v>78483908.81999999</v>
      </c>
      <c r="AA592" t="n">
        <v>16.39</v>
      </c>
      <c r="AB592" t="n">
        <v>-2.08</v>
      </c>
      <c r="AC592" t="n">
        <v>0</v>
      </c>
      <c r="AD592" t="n">
        <v>9629493111.799999</v>
      </c>
    </row>
    <row r="593">
      <c r="A593" t="inlineStr">
        <is>
          <t>USIM6</t>
        </is>
      </c>
      <c r="B593" t="n">
        <v>8.65</v>
      </c>
      <c r="D593" t="n">
        <v>-4.16</v>
      </c>
      <c r="E593" t="n">
        <v>0.53</v>
      </c>
      <c r="F593" t="n">
        <v>0.31</v>
      </c>
      <c r="G593" t="n">
        <v>8.390000000000001</v>
      </c>
      <c r="H593" t="n">
        <v>-5.65</v>
      </c>
      <c r="I593" t="n">
        <v>-10.32</v>
      </c>
      <c r="J593" t="n">
        <v>-7.59</v>
      </c>
      <c r="K593" t="n">
        <v>-6.39</v>
      </c>
      <c r="L593" t="n">
        <v>0.35</v>
      </c>
      <c r="M593" t="n">
        <v>-0.02</v>
      </c>
      <c r="N593" t="n">
        <v>0.43</v>
      </c>
      <c r="O593" t="n">
        <v>0.85</v>
      </c>
      <c r="P593" t="n">
        <v>-0.59</v>
      </c>
      <c r="Q593" t="n">
        <v>4.54</v>
      </c>
      <c r="R593" t="n">
        <v>-12.7</v>
      </c>
      <c r="S593" t="n">
        <v>-7.5</v>
      </c>
      <c r="T593" t="n">
        <v>-11.11</v>
      </c>
      <c r="U593" t="n">
        <v>0.59</v>
      </c>
      <c r="V593" t="n">
        <v>0.33</v>
      </c>
      <c r="W593" t="n">
        <v>0.73</v>
      </c>
      <c r="X593" t="n">
        <v>10.3</v>
      </c>
      <c r="Z593" t="n">
        <v>0</v>
      </c>
      <c r="AA593" t="n">
        <v>16.39</v>
      </c>
      <c r="AB593" t="n">
        <v>-2.08</v>
      </c>
      <c r="AC593" t="n">
        <v>0</v>
      </c>
      <c r="AD593" t="n">
        <v>9629493111.799999</v>
      </c>
    </row>
    <row r="594">
      <c r="A594" t="inlineStr">
        <is>
          <t>VALE3</t>
        </is>
      </c>
      <c r="B594" t="n">
        <v>75.15000000000001</v>
      </c>
      <c r="C594" t="n">
        <v>7.29</v>
      </c>
      <c r="D594" t="n">
        <v>21.38</v>
      </c>
      <c r="E594" t="n">
        <v>1.74</v>
      </c>
      <c r="F594" t="n">
        <v>0.73</v>
      </c>
      <c r="G594" t="n">
        <v>35.08</v>
      </c>
      <c r="H594" t="n">
        <v>15.71</v>
      </c>
      <c r="I594" t="n">
        <v>7.26</v>
      </c>
      <c r="J594" t="n">
        <v>9.880000000000001</v>
      </c>
      <c r="K594" t="n">
        <v>11.96</v>
      </c>
      <c r="L594" t="n">
        <v>2.1</v>
      </c>
      <c r="M594" t="n">
        <v>0.37</v>
      </c>
      <c r="N594" t="n">
        <v>1.55</v>
      </c>
      <c r="O594" t="n">
        <v>19.72</v>
      </c>
      <c r="P594" t="n">
        <v>-0.9</v>
      </c>
      <c r="Q594" t="n">
        <v>1.24</v>
      </c>
      <c r="R594" t="n">
        <v>8.16</v>
      </c>
      <c r="S594" t="n">
        <v>3.41</v>
      </c>
      <c r="T594" t="n">
        <v>2.67</v>
      </c>
      <c r="U594" t="n">
        <v>0.42</v>
      </c>
      <c r="V594" t="n">
        <v>0.57</v>
      </c>
      <c r="W594" t="n">
        <v>0.47</v>
      </c>
      <c r="X594" t="n">
        <v>0.72</v>
      </c>
      <c r="Y594" t="n">
        <v>-10.2</v>
      </c>
      <c r="Z594" t="n">
        <v>1112128577.45</v>
      </c>
      <c r="AA594" t="n">
        <v>43.07</v>
      </c>
      <c r="AB594" t="n">
        <v>3.51</v>
      </c>
      <c r="AC594" t="n">
        <v>-0.42</v>
      </c>
      <c r="AD594" t="n">
        <v>333025765495.28</v>
      </c>
    </row>
    <row r="595">
      <c r="A595" t="inlineStr">
        <is>
          <t>VAMO3</t>
        </is>
      </c>
      <c r="B595" t="n">
        <v>3.26</v>
      </c>
      <c r="C595" t="n">
        <v>4.3</v>
      </c>
      <c r="D595" t="n">
        <v>12.99</v>
      </c>
      <c r="E595" t="n">
        <v>1.53</v>
      </c>
      <c r="F595" t="n">
        <v>0.17</v>
      </c>
      <c r="G595" t="n">
        <v>50.5</v>
      </c>
      <c r="H595" t="n">
        <v>43.43</v>
      </c>
      <c r="I595" t="n">
        <v>5.09</v>
      </c>
      <c r="J595" t="n">
        <v>1.52</v>
      </c>
      <c r="K595" t="n">
        <v>6.04</v>
      </c>
      <c r="L595" t="n">
        <v>4.51</v>
      </c>
      <c r="M595" t="n">
        <v>4.55</v>
      </c>
      <c r="N595" t="n">
        <v>0.66</v>
      </c>
      <c r="O595" t="n">
        <v>1.4</v>
      </c>
      <c r="P595" t="n">
        <v>-0.24</v>
      </c>
      <c r="Q595" t="n">
        <v>1.77</v>
      </c>
      <c r="R595" t="n">
        <v>11.81</v>
      </c>
      <c r="S595" t="n">
        <v>1.34</v>
      </c>
      <c r="T595" t="n">
        <v>12.65</v>
      </c>
      <c r="U595" t="n">
        <v>0.11</v>
      </c>
      <c r="V595" t="n">
        <v>0.89</v>
      </c>
      <c r="W595" t="n">
        <v>0.26</v>
      </c>
      <c r="X595" t="n">
        <v>30.63</v>
      </c>
      <c r="Y595" t="n">
        <v>11.41</v>
      </c>
      <c r="Z595" t="n">
        <v>33167635</v>
      </c>
      <c r="AA595" t="n">
        <v>2.13</v>
      </c>
      <c r="AB595" t="n">
        <v>0.25</v>
      </c>
      <c r="AC595" t="n">
        <v>23.06</v>
      </c>
      <c r="AD595" t="n">
        <v>3995373848.55</v>
      </c>
    </row>
    <row r="596">
      <c r="A596" t="inlineStr">
        <is>
          <t>VBBR3</t>
        </is>
      </c>
      <c r="B596" t="n">
        <v>35.03</v>
      </c>
      <c r="C596" t="n">
        <v>4.45</v>
      </c>
      <c r="D596" t="n">
        <v>13.97</v>
      </c>
      <c r="E596" t="n">
        <v>1.93</v>
      </c>
      <c r="F596" t="n">
        <v>0.65</v>
      </c>
      <c r="G596" t="n">
        <v>5.18</v>
      </c>
      <c r="H596" t="n">
        <v>3.09</v>
      </c>
      <c r="I596" t="n">
        <v>1.56</v>
      </c>
      <c r="J596" t="n">
        <v>7.08</v>
      </c>
      <c r="K596" t="n">
        <v>10.13</v>
      </c>
      <c r="L596" t="n">
        <v>3.06</v>
      </c>
      <c r="M596" t="n">
        <v>0.84</v>
      </c>
      <c r="N596" t="n">
        <v>0.22</v>
      </c>
      <c r="O596" t="n">
        <v>3.74</v>
      </c>
      <c r="P596" t="n">
        <v>-1.09</v>
      </c>
      <c r="Q596" t="n">
        <v>1.77</v>
      </c>
      <c r="R596" t="n">
        <v>13.83</v>
      </c>
      <c r="S596" t="n">
        <v>4.68</v>
      </c>
      <c r="T596" t="n">
        <v>10.21</v>
      </c>
      <c r="U596" t="n">
        <v>0.34</v>
      </c>
      <c r="V596" t="n">
        <v>0.66</v>
      </c>
      <c r="W596" t="n">
        <v>2.99</v>
      </c>
      <c r="X596" t="n">
        <v>18.33</v>
      </c>
      <c r="Y596" t="n">
        <v>-5.1</v>
      </c>
      <c r="Z596" t="n">
        <v>280707762.36</v>
      </c>
      <c r="AA596" t="n">
        <v>18.13</v>
      </c>
      <c r="AB596" t="n">
        <v>2.51</v>
      </c>
      <c r="AC596" t="n">
        <v>-0.27</v>
      </c>
      <c r="AD596" t="n">
        <v>41973694855.62</v>
      </c>
    </row>
    <row r="597">
      <c r="A597" t="inlineStr">
        <is>
          <t>VITT3</t>
        </is>
      </c>
      <c r="B597" t="n">
        <v>3.15</v>
      </c>
      <c r="C597" t="n">
        <v>4.51</v>
      </c>
      <c r="D597" t="n">
        <v>8.02</v>
      </c>
      <c r="E597" t="n">
        <v>0.78</v>
      </c>
      <c r="F597" t="n">
        <v>0.51</v>
      </c>
      <c r="G597" t="n">
        <v>29.45</v>
      </c>
      <c r="H597" t="n">
        <v>7.86</v>
      </c>
      <c r="I597" t="n">
        <v>7.7</v>
      </c>
      <c r="J597" t="n">
        <v>7.85</v>
      </c>
      <c r="K597" t="n">
        <v>11.05</v>
      </c>
      <c r="L597" t="n">
        <v>3.15</v>
      </c>
      <c r="M597" t="n">
        <v>0.31</v>
      </c>
      <c r="N597" t="n">
        <v>0.62</v>
      </c>
      <c r="O597" t="n">
        <v>1.48</v>
      </c>
      <c r="P597" t="n">
        <v>-1.36</v>
      </c>
      <c r="Q597" t="n">
        <v>2.26</v>
      </c>
      <c r="R597" t="n">
        <v>9.789999999999999</v>
      </c>
      <c r="S597" t="n">
        <v>6.41</v>
      </c>
      <c r="T597" t="n">
        <v>6.51</v>
      </c>
      <c r="U597" t="n">
        <v>0.65</v>
      </c>
      <c r="V597" t="n">
        <v>0.35</v>
      </c>
      <c r="W597" t="n">
        <v>0.83</v>
      </c>
      <c r="X597" t="n">
        <v>9.09</v>
      </c>
      <c r="Y597" t="n">
        <v>-5.4</v>
      </c>
      <c r="Z597" t="n">
        <v>534117</v>
      </c>
      <c r="AA597" t="n">
        <v>4.02</v>
      </c>
      <c r="AB597" t="n">
        <v>0.39</v>
      </c>
      <c r="AC597" t="n">
        <v>-0.54</v>
      </c>
      <c r="AD597" t="n">
        <v>499560249.28</v>
      </c>
    </row>
    <row r="598">
      <c r="A598" t="inlineStr">
        <is>
          <t>VIVA3</t>
        </is>
      </c>
      <c r="B598" t="n">
        <v>22.29</v>
      </c>
      <c r="C598" t="n">
        <v>3.13</v>
      </c>
      <c r="D598" t="n">
        <v>9</v>
      </c>
      <c r="E598" t="n">
        <v>1.74</v>
      </c>
      <c r="F598" t="n">
        <v>1.13</v>
      </c>
      <c r="G598" t="n">
        <v>69.91</v>
      </c>
      <c r="H598" t="n">
        <v>23.54</v>
      </c>
      <c r="I598" t="n">
        <v>18.97</v>
      </c>
      <c r="J598" t="n">
        <v>7.25</v>
      </c>
      <c r="K598" t="n">
        <v>7.55</v>
      </c>
      <c r="L598" t="n">
        <v>0.28</v>
      </c>
      <c r="M598" t="n">
        <v>0.07000000000000001</v>
      </c>
      <c r="N598" t="n">
        <v>1.71</v>
      </c>
      <c r="O598" t="n">
        <v>2.34</v>
      </c>
      <c r="P598" t="n">
        <v>-3.07</v>
      </c>
      <c r="Q598" t="n">
        <v>4.14</v>
      </c>
      <c r="R598" t="n">
        <v>19.31</v>
      </c>
      <c r="S598" t="n">
        <v>12.52</v>
      </c>
      <c r="T598" t="n">
        <v>19.59</v>
      </c>
      <c r="U598" t="n">
        <v>0.65</v>
      </c>
      <c r="V598" t="n">
        <v>0.35</v>
      </c>
      <c r="W598" t="n">
        <v>0.66</v>
      </c>
      <c r="X598" t="n">
        <v>23.64</v>
      </c>
      <c r="Y598" t="n">
        <v>31.89</v>
      </c>
      <c r="Z598" t="n">
        <v>56417844.91</v>
      </c>
      <c r="AA598" t="n">
        <v>12.83</v>
      </c>
      <c r="AB598" t="n">
        <v>2.48</v>
      </c>
      <c r="AC598" t="n">
        <v>-0.45</v>
      </c>
      <c r="AD598" t="n">
        <v>5276658159.46</v>
      </c>
    </row>
    <row r="599">
      <c r="A599" t="inlineStr">
        <is>
          <t>VIVR3</t>
        </is>
      </c>
      <c r="B599" t="n">
        <v>1.67</v>
      </c>
      <c r="D599" t="n">
        <v>-0.46</v>
      </c>
      <c r="E599" t="n">
        <v>-0.18</v>
      </c>
      <c r="F599" t="n">
        <v>0.04</v>
      </c>
      <c r="G599" t="n">
        <v>21.07</v>
      </c>
      <c r="H599" t="n">
        <v>-50</v>
      </c>
      <c r="I599" t="n">
        <v>-78.58</v>
      </c>
      <c r="J599" t="n">
        <v>-0.73</v>
      </c>
      <c r="K599" t="n">
        <v>-2.26</v>
      </c>
      <c r="L599" t="n">
        <v>-1.53</v>
      </c>
      <c r="N599" t="n">
        <v>0.36</v>
      </c>
      <c r="O599" t="n">
        <v>-0.36</v>
      </c>
      <c r="P599" t="n">
        <v>-0.06</v>
      </c>
      <c r="Q599" t="n">
        <v>0.77</v>
      </c>
      <c r="R599" t="n">
        <v>-38.84</v>
      </c>
      <c r="S599" t="n">
        <v>-8.48</v>
      </c>
      <c r="T599" t="n">
        <v>-17.24</v>
      </c>
      <c r="U599" t="n">
        <v>-0.22</v>
      </c>
      <c r="V599" t="n">
        <v>0.76</v>
      </c>
      <c r="W599" t="n">
        <v>0.11</v>
      </c>
      <c r="X599" t="n">
        <v>-8.140000000000001</v>
      </c>
      <c r="Z599" t="n">
        <v>12268.45</v>
      </c>
      <c r="AA599" t="n">
        <v>-9.27</v>
      </c>
      <c r="AB599" t="n">
        <v>-3.6</v>
      </c>
      <c r="AC599" t="n">
        <v>0.01</v>
      </c>
      <c r="AD599" t="n">
        <v>8149666.8</v>
      </c>
    </row>
    <row r="600">
      <c r="A600" t="inlineStr">
        <is>
          <t>VIVT3</t>
        </is>
      </c>
      <c r="B600" t="n">
        <v>32.41</v>
      </c>
      <c r="C600" t="n">
        <v>3.45</v>
      </c>
      <c r="D600" t="n">
        <v>16.43</v>
      </c>
      <c r="E600" t="n">
        <v>1.51</v>
      </c>
      <c r="F600" t="n">
        <v>0.8</v>
      </c>
      <c r="G600" t="n">
        <v>44.93</v>
      </c>
      <c r="H600" t="n">
        <v>16.81</v>
      </c>
      <c r="I600" t="n">
        <v>10.5</v>
      </c>
      <c r="J600" t="n">
        <v>10.26</v>
      </c>
      <c r="K600" t="n">
        <v>11.38</v>
      </c>
      <c r="L600" t="n">
        <v>1.05</v>
      </c>
      <c r="M600" t="n">
        <v>0.15</v>
      </c>
      <c r="N600" t="n">
        <v>1.73</v>
      </c>
      <c r="O600" t="n">
        <v>40.6</v>
      </c>
      <c r="P600" t="n">
        <v>-1.03</v>
      </c>
      <c r="Q600" t="n">
        <v>1.1</v>
      </c>
      <c r="R600" t="n">
        <v>9.17</v>
      </c>
      <c r="S600" t="n">
        <v>4.88</v>
      </c>
      <c r="T600" t="n">
        <v>9</v>
      </c>
      <c r="U600" t="n">
        <v>0.53</v>
      </c>
      <c r="V600" t="n">
        <v>0.47</v>
      </c>
      <c r="W600" t="n">
        <v>0.46</v>
      </c>
      <c r="X600" t="n">
        <v>6.68</v>
      </c>
      <c r="Y600" t="n">
        <v>5.96</v>
      </c>
      <c r="Z600" t="n">
        <v>170581152.86</v>
      </c>
      <c r="AA600" t="n">
        <v>21.54</v>
      </c>
      <c r="AB600" t="n">
        <v>1.97</v>
      </c>
      <c r="AC600" t="n">
        <v>1.42</v>
      </c>
      <c r="AD600" t="n">
        <v>105282216275.86</v>
      </c>
    </row>
    <row r="601">
      <c r="A601" t="inlineStr">
        <is>
          <t>VIVT4</t>
        </is>
      </c>
      <c r="B601" t="n">
        <v>45.34</v>
      </c>
      <c r="D601" t="n">
        <v>22.96</v>
      </c>
      <c r="E601" t="n">
        <v>2.1</v>
      </c>
      <c r="F601" t="n">
        <v>1.12</v>
      </c>
      <c r="G601" t="n">
        <v>44.93</v>
      </c>
      <c r="H601" t="n">
        <v>16.81</v>
      </c>
      <c r="I601" t="n">
        <v>10.5</v>
      </c>
      <c r="J601" t="n">
        <v>14.35</v>
      </c>
      <c r="K601" t="n">
        <v>11.38</v>
      </c>
      <c r="L601" t="n">
        <v>1.05</v>
      </c>
      <c r="M601" t="n">
        <v>0.15</v>
      </c>
      <c r="N601" t="n">
        <v>2.41</v>
      </c>
      <c r="O601" t="n">
        <v>56.75</v>
      </c>
      <c r="P601" t="n">
        <v>-1.44</v>
      </c>
      <c r="Q601" t="n">
        <v>1.1</v>
      </c>
      <c r="R601" t="n">
        <v>9.17</v>
      </c>
      <c r="S601" t="n">
        <v>4.88</v>
      </c>
      <c r="T601" t="n">
        <v>9</v>
      </c>
      <c r="U601" t="n">
        <v>0.53</v>
      </c>
      <c r="V601" t="n">
        <v>0.47</v>
      </c>
      <c r="W601" t="n">
        <v>0.46</v>
      </c>
      <c r="X601" t="n">
        <v>6.68</v>
      </c>
      <c r="Y601" t="n">
        <v>5.96</v>
      </c>
      <c r="AA601" t="n">
        <v>21.54</v>
      </c>
      <c r="AB601" t="n">
        <v>1.97</v>
      </c>
      <c r="AC601" t="n">
        <v>1.99</v>
      </c>
      <c r="AD601" t="n">
        <v>105282216275.86</v>
      </c>
    </row>
    <row r="602">
      <c r="A602" t="inlineStr">
        <is>
          <t>VLID3</t>
        </is>
      </c>
      <c r="B602" t="n">
        <v>17.98</v>
      </c>
      <c r="C602" t="n">
        <v>9.380000000000001</v>
      </c>
      <c r="D602" t="n">
        <v>5.89</v>
      </c>
      <c r="E602" t="n">
        <v>0.84</v>
      </c>
      <c r="F602" t="n">
        <v>0.47</v>
      </c>
      <c r="G602" t="n">
        <v>34.81</v>
      </c>
      <c r="H602" t="n">
        <v>13.59</v>
      </c>
      <c r="I602" t="n">
        <v>12.13</v>
      </c>
      <c r="J602" t="n">
        <v>5.26</v>
      </c>
      <c r="K602" t="n">
        <v>5.52</v>
      </c>
      <c r="L602" t="n">
        <v>0.26</v>
      </c>
      <c r="M602" t="n">
        <v>0.04</v>
      </c>
      <c r="N602" t="n">
        <v>0.71</v>
      </c>
      <c r="O602" t="n">
        <v>1.76</v>
      </c>
      <c r="P602" t="n">
        <v>-0.89</v>
      </c>
      <c r="Q602" t="n">
        <v>2.32</v>
      </c>
      <c r="R602" t="n">
        <v>14.22</v>
      </c>
      <c r="S602" t="n">
        <v>8.01</v>
      </c>
      <c r="T602" t="n">
        <v>9.42</v>
      </c>
      <c r="U602" t="n">
        <v>0.5600000000000001</v>
      </c>
      <c r="V602" t="n">
        <v>0.43</v>
      </c>
      <c r="W602" t="n">
        <v>0.66</v>
      </c>
      <c r="X602" t="n">
        <v>1.24</v>
      </c>
      <c r="Z602" t="n">
        <v>3482281.32</v>
      </c>
      <c r="AA602" t="n">
        <v>21.47</v>
      </c>
      <c r="AB602" t="n">
        <v>3.05</v>
      </c>
      <c r="AC602" t="n">
        <v>-0.29</v>
      </c>
      <c r="AD602" t="n">
        <v>1436256386.25</v>
      </c>
    </row>
    <row r="603">
      <c r="A603" t="inlineStr">
        <is>
          <t>VSPT3</t>
        </is>
      </c>
      <c r="B603" t="n">
        <v>5</v>
      </c>
      <c r="D603" t="n">
        <v>-39.23</v>
      </c>
      <c r="E603" t="n">
        <v>0.78</v>
      </c>
      <c r="F603" t="n">
        <v>0.38</v>
      </c>
      <c r="G603" t="n">
        <v>12.17</v>
      </c>
      <c r="H603" t="n">
        <v>-2.09</v>
      </c>
      <c r="I603" t="n">
        <v>-1.89</v>
      </c>
      <c r="J603" t="n">
        <v>-35.49</v>
      </c>
      <c r="K603" t="n">
        <v>-31.74</v>
      </c>
      <c r="L603" t="n">
        <v>3.74</v>
      </c>
      <c r="M603" t="n">
        <v>-0.08</v>
      </c>
      <c r="N603" t="n">
        <v>0.74</v>
      </c>
      <c r="O603" t="n">
        <v>-12.77</v>
      </c>
      <c r="P603" t="n">
        <v>-0.42</v>
      </c>
      <c r="Q603" t="n">
        <v>0.78</v>
      </c>
      <c r="R603" t="n">
        <v>-1.99</v>
      </c>
      <c r="S603" t="n">
        <v>-0.96</v>
      </c>
      <c r="T603" t="n">
        <v>-2.2</v>
      </c>
      <c r="U603" t="n">
        <v>0.48</v>
      </c>
      <c r="V603" t="n">
        <v>0.52</v>
      </c>
      <c r="W603" t="n">
        <v>0.51</v>
      </c>
      <c r="X603" t="n">
        <v>6.04</v>
      </c>
      <c r="AA603" t="n">
        <v>6.41</v>
      </c>
      <c r="AB603" t="n">
        <v>-0.13</v>
      </c>
      <c r="AC603" t="n">
        <v>0.27</v>
      </c>
      <c r="AD603" t="n">
        <v>2569294560</v>
      </c>
    </row>
    <row r="604">
      <c r="A604" t="inlineStr">
        <is>
          <t>VSPT4</t>
        </is>
      </c>
      <c r="B604" t="n">
        <v>0</v>
      </c>
      <c r="D604" t="n">
        <v>0</v>
      </c>
      <c r="E604" t="n">
        <v>0</v>
      </c>
      <c r="F604" t="n">
        <v>0</v>
      </c>
      <c r="G604" t="n">
        <v>12.17</v>
      </c>
      <c r="H604" t="n">
        <v>-2.09</v>
      </c>
      <c r="I604" t="n">
        <v>-1.89</v>
      </c>
      <c r="J604" t="n">
        <v>0</v>
      </c>
      <c r="K604" t="n">
        <v>-31.74</v>
      </c>
      <c r="L604" t="n">
        <v>3.74</v>
      </c>
      <c r="M604" t="n">
        <v>-0.08</v>
      </c>
      <c r="N604" t="n">
        <v>0</v>
      </c>
      <c r="O604" t="n">
        <v>0</v>
      </c>
      <c r="P604" t="n">
        <v>0</v>
      </c>
      <c r="Q604" t="n">
        <v>0.78</v>
      </c>
      <c r="R604" t="n">
        <v>-1.99</v>
      </c>
      <c r="S604" t="n">
        <v>-0.96</v>
      </c>
      <c r="T604" t="n">
        <v>-2.2</v>
      </c>
      <c r="U604" t="n">
        <v>0.48</v>
      </c>
      <c r="V604" t="n">
        <v>0.52</v>
      </c>
      <c r="W604" t="n">
        <v>0.51</v>
      </c>
      <c r="X604" t="n">
        <v>6.04</v>
      </c>
      <c r="AA604" t="n">
        <v>6.41</v>
      </c>
      <c r="AB604" t="n">
        <v>-0.13</v>
      </c>
      <c r="AC604" t="n">
        <v>0</v>
      </c>
      <c r="AD604" t="n">
        <v>2569294560</v>
      </c>
    </row>
    <row r="605">
      <c r="A605" t="inlineStr">
        <is>
          <t>VSTE3</t>
        </is>
      </c>
      <c r="B605" t="n">
        <v>2.9</v>
      </c>
      <c r="C605" t="n">
        <v>1.75</v>
      </c>
      <c r="D605" t="n">
        <v>6.5</v>
      </c>
      <c r="E605" t="n">
        <v>0.31</v>
      </c>
      <c r="F605" t="n">
        <v>0.2</v>
      </c>
      <c r="G605" t="n">
        <v>64.13</v>
      </c>
      <c r="H605" t="n">
        <v>8.73</v>
      </c>
      <c r="I605" t="n">
        <v>4.02</v>
      </c>
      <c r="J605" t="n">
        <v>2.99</v>
      </c>
      <c r="K605" t="n">
        <v>5.52</v>
      </c>
      <c r="L605" t="n">
        <v>2.52</v>
      </c>
      <c r="M605" t="n">
        <v>0.26</v>
      </c>
      <c r="N605" t="n">
        <v>0.26</v>
      </c>
      <c r="O605" t="n">
        <v>1.91</v>
      </c>
      <c r="P605" t="n">
        <v>-0.29</v>
      </c>
      <c r="Q605" t="n">
        <v>1.48</v>
      </c>
      <c r="R605" t="n">
        <v>4.74</v>
      </c>
      <c r="S605" t="n">
        <v>3.02</v>
      </c>
      <c r="T605" t="n">
        <v>7.98</v>
      </c>
      <c r="U605" t="n">
        <v>0.64</v>
      </c>
      <c r="V605" t="n">
        <v>0.36</v>
      </c>
      <c r="W605" t="n">
        <v>0.75</v>
      </c>
      <c r="X605" t="n">
        <v>15.5</v>
      </c>
      <c r="Z605" t="n">
        <v>134706.82</v>
      </c>
      <c r="AA605" t="n">
        <v>9.41</v>
      </c>
      <c r="AB605" t="n">
        <v>0.45</v>
      </c>
      <c r="AC605" t="n">
        <v>-0.01</v>
      </c>
      <c r="AD605" t="n">
        <v>332051479</v>
      </c>
    </row>
    <row r="606">
      <c r="A606" t="inlineStr">
        <is>
          <t>VTRU3</t>
        </is>
      </c>
      <c r="B606" t="n">
        <v>12.27</v>
      </c>
      <c r="C606" t="n">
        <v>0.2</v>
      </c>
      <c r="D606" t="n">
        <v>-6.1</v>
      </c>
      <c r="E606" t="n">
        <v>1.8</v>
      </c>
      <c r="F606" t="n">
        <v>1.46</v>
      </c>
      <c r="G606" t="n">
        <v>22.04</v>
      </c>
      <c r="H606" t="n">
        <v>-7.31</v>
      </c>
      <c r="I606" t="n">
        <v>-14.81</v>
      </c>
      <c r="J606" t="n">
        <v>-12.34</v>
      </c>
      <c r="K606" t="n">
        <v>-8.66</v>
      </c>
      <c r="L606" t="n">
        <v>3.68</v>
      </c>
      <c r="M606" t="n">
        <v>-0.54</v>
      </c>
      <c r="N606" t="n">
        <v>0.9</v>
      </c>
      <c r="O606" t="n">
        <v>3.48</v>
      </c>
      <c r="P606" t="n">
        <v>-3.2</v>
      </c>
      <c r="Q606" t="n">
        <v>4.48</v>
      </c>
      <c r="R606" t="n">
        <v>-29.57</v>
      </c>
      <c r="S606" t="n">
        <v>-24.02</v>
      </c>
      <c r="T606" t="n">
        <v>-29.52</v>
      </c>
      <c r="U606" t="n">
        <v>0.8100000000000001</v>
      </c>
      <c r="V606" t="n">
        <v>0.19</v>
      </c>
      <c r="W606" t="n">
        <v>1.62</v>
      </c>
      <c r="Z606" t="n">
        <v>5531032.27</v>
      </c>
      <c r="AA606" t="n">
        <v>6.81</v>
      </c>
      <c r="AB606" t="n">
        <v>-2.01</v>
      </c>
      <c r="AD606" t="n">
        <v>464483058.82</v>
      </c>
    </row>
    <row r="607">
      <c r="A607" t="inlineStr">
        <is>
          <t>VULC3</t>
        </is>
      </c>
      <c r="B607" t="n">
        <v>13.93</v>
      </c>
      <c r="C607" t="n">
        <v>32.9</v>
      </c>
      <c r="D607" t="n">
        <v>3.88</v>
      </c>
      <c r="E607" t="n">
        <v>1.77</v>
      </c>
      <c r="F607" t="n">
        <v>1.1</v>
      </c>
      <c r="G607" t="n">
        <v>41.06</v>
      </c>
      <c r="H607" t="n">
        <v>20.92</v>
      </c>
      <c r="I607" t="n">
        <v>31.34</v>
      </c>
      <c r="J607" t="n">
        <v>5.82</v>
      </c>
      <c r="K607" t="n">
        <v>6.7</v>
      </c>
      <c r="L607" t="n">
        <v>0.88</v>
      </c>
      <c r="M607" t="n">
        <v>0.27</v>
      </c>
      <c r="N607" t="n">
        <v>1.22</v>
      </c>
      <c r="O607" t="n">
        <v>2.67</v>
      </c>
      <c r="P607" t="n">
        <v>-2.92</v>
      </c>
      <c r="Q607" t="n">
        <v>2.95</v>
      </c>
      <c r="R607" t="n">
        <v>45.47</v>
      </c>
      <c r="S607" t="n">
        <v>28.32</v>
      </c>
      <c r="T607" t="n">
        <v>12.76</v>
      </c>
      <c r="U607" t="n">
        <v>0.62</v>
      </c>
      <c r="V607" t="n">
        <v>0.38</v>
      </c>
      <c r="W607" t="n">
        <v>0.9</v>
      </c>
      <c r="X607" t="n">
        <v>24.73</v>
      </c>
      <c r="Y607" t="n">
        <v>104.84</v>
      </c>
      <c r="Z607" t="n">
        <v>13498380.5</v>
      </c>
      <c r="AA607" t="n">
        <v>7.88</v>
      </c>
      <c r="AB607" t="n">
        <v>3.58</v>
      </c>
      <c r="AC607" t="n">
        <v>0.04</v>
      </c>
      <c r="AD607" t="n">
        <v>4423131984.7</v>
      </c>
    </row>
    <row r="608">
      <c r="A608" t="inlineStr">
        <is>
          <t>VVEO3</t>
        </is>
      </c>
      <c r="B608" t="n">
        <v>0.71</v>
      </c>
      <c r="D608" t="n">
        <v>11.53</v>
      </c>
      <c r="E608" t="n">
        <v>0.12</v>
      </c>
      <c r="F608" t="n">
        <v>0.03</v>
      </c>
      <c r="G608" t="n">
        <v>14.91</v>
      </c>
      <c r="H608" t="n">
        <v>4.92</v>
      </c>
      <c r="I608" t="n">
        <v>0.17</v>
      </c>
      <c r="J608" t="n">
        <v>0.41</v>
      </c>
      <c r="K608" t="n">
        <v>5.44</v>
      </c>
      <c r="L608" t="n">
        <v>5.04</v>
      </c>
      <c r="M608" t="n">
        <v>1.53</v>
      </c>
      <c r="N608" t="n">
        <v>0.02</v>
      </c>
      <c r="O608" t="n">
        <v>0.2</v>
      </c>
      <c r="P608" t="n">
        <v>-0.05</v>
      </c>
      <c r="Q608" t="n">
        <v>1.33</v>
      </c>
      <c r="R608" t="n">
        <v>1.07</v>
      </c>
      <c r="S608" t="n">
        <v>0.22</v>
      </c>
      <c r="T608" t="n">
        <v>10.36</v>
      </c>
      <c r="U608" t="n">
        <v>0.21</v>
      </c>
      <c r="V608" t="n">
        <v>0.79</v>
      </c>
      <c r="W608" t="n">
        <v>1.3</v>
      </c>
      <c r="X608" t="n">
        <v>21.25</v>
      </c>
      <c r="Y608" t="n">
        <v>-30.21</v>
      </c>
      <c r="Z608" t="n">
        <v>1920629.23</v>
      </c>
      <c r="AA608" t="n">
        <v>5.83</v>
      </c>
      <c r="AB608" t="n">
        <v>0.06</v>
      </c>
      <c r="AC608" t="n">
        <v>-0.11</v>
      </c>
      <c r="AD608" t="n">
        <v>232430837.76</v>
      </c>
    </row>
    <row r="609">
      <c r="A609" t="inlineStr">
        <is>
          <t>WDCN3</t>
        </is>
      </c>
      <c r="B609" t="n">
        <v>2.26</v>
      </c>
      <c r="D609" t="n">
        <v>-0.74</v>
      </c>
      <c r="E609" t="n">
        <v>0.3</v>
      </c>
      <c r="F609" t="n">
        <v>0.11</v>
      </c>
      <c r="G609" t="n">
        <v>25.79</v>
      </c>
      <c r="H609" t="n">
        <v>-16.97</v>
      </c>
      <c r="I609" t="n">
        <v>-22.7</v>
      </c>
      <c r="J609" t="n">
        <v>-0.99</v>
      </c>
      <c r="K609" t="n">
        <v>0.88</v>
      </c>
      <c r="L609" t="n">
        <v>1.88</v>
      </c>
      <c r="M609" t="n">
        <v>-0.58</v>
      </c>
      <c r="N609" t="n">
        <v>0.17</v>
      </c>
      <c r="O609" t="n">
        <v>0.44</v>
      </c>
      <c r="P609" t="n">
        <v>-0.26</v>
      </c>
      <c r="Q609" t="n">
        <v>1.87</v>
      </c>
      <c r="R609" t="n">
        <v>-40.95</v>
      </c>
      <c r="S609" t="n">
        <v>-15.28</v>
      </c>
      <c r="T609" t="n">
        <v>-41.52</v>
      </c>
      <c r="U609" t="n">
        <v>0.37</v>
      </c>
      <c r="V609" t="n">
        <v>0.63</v>
      </c>
      <c r="W609" t="n">
        <v>0.67</v>
      </c>
      <c r="X609" t="n">
        <v>3.96</v>
      </c>
      <c r="Z609" t="n">
        <v>55781.82</v>
      </c>
      <c r="AA609" t="n">
        <v>7.42</v>
      </c>
      <c r="AB609" t="n">
        <v>-3.04</v>
      </c>
      <c r="AC609" t="n">
        <v>0</v>
      </c>
      <c r="AD609" t="n">
        <v>144692135.64</v>
      </c>
    </row>
    <row r="610">
      <c r="A610" t="inlineStr">
        <is>
          <t>WEGE3</t>
        </is>
      </c>
      <c r="B610" t="n">
        <v>45.72</v>
      </c>
      <c r="C610" t="n">
        <v>2.58</v>
      </c>
      <c r="D610" t="n">
        <v>30.68</v>
      </c>
      <c r="E610" t="n">
        <v>10.17</v>
      </c>
      <c r="F610" t="n">
        <v>4.11</v>
      </c>
      <c r="G610" t="n">
        <v>33.14</v>
      </c>
      <c r="H610" t="n">
        <v>19.53</v>
      </c>
      <c r="I610" t="n">
        <v>15.58</v>
      </c>
      <c r="J610" t="n">
        <v>24.48</v>
      </c>
      <c r="K610" t="n">
        <v>24.08</v>
      </c>
      <c r="L610" t="n">
        <v>-0.48</v>
      </c>
      <c r="M610" t="n">
        <v>-0.2</v>
      </c>
      <c r="N610" t="n">
        <v>4.78</v>
      </c>
      <c r="O610" t="n">
        <v>17.24</v>
      </c>
      <c r="P610" t="n">
        <v>-11.55</v>
      </c>
      <c r="Q610" t="n">
        <v>1.59</v>
      </c>
      <c r="R610" t="n">
        <v>33.16</v>
      </c>
      <c r="S610" t="n">
        <v>13.4</v>
      </c>
      <c r="T610" t="n">
        <v>25.73</v>
      </c>
      <c r="U610" t="n">
        <v>0.4</v>
      </c>
      <c r="V610" t="n">
        <v>0.57</v>
      </c>
      <c r="W610" t="n">
        <v>0.86</v>
      </c>
      <c r="X610" t="n">
        <v>18.49</v>
      </c>
      <c r="Y610" t="n">
        <v>21.72</v>
      </c>
      <c r="Z610" t="n">
        <v>367433779.18</v>
      </c>
      <c r="AA610" t="n">
        <v>4.49</v>
      </c>
      <c r="AB610" t="n">
        <v>1.49</v>
      </c>
      <c r="AC610" t="n">
        <v>-12.54</v>
      </c>
      <c r="AD610" t="n">
        <v>192530976568.26</v>
      </c>
    </row>
    <row r="611">
      <c r="A611" t="inlineStr">
        <is>
          <t>WEST3</t>
        </is>
      </c>
      <c r="B611" t="n">
        <v>3.23</v>
      </c>
      <c r="D611" t="n">
        <v>-17.11</v>
      </c>
      <c r="E611" t="n">
        <v>0.16</v>
      </c>
      <c r="F611" t="n">
        <v>0.12</v>
      </c>
      <c r="G611" t="n">
        <v>39.64</v>
      </c>
      <c r="H611" t="n">
        <v>-15.97</v>
      </c>
      <c r="I611" t="n">
        <v>-1.37</v>
      </c>
      <c r="J611" t="n">
        <v>-1.47</v>
      </c>
      <c r="K611" t="n">
        <v>2.62</v>
      </c>
      <c r="L611" t="n">
        <v>4.08</v>
      </c>
      <c r="M611" t="n">
        <v>-0.46</v>
      </c>
      <c r="N611" t="n">
        <v>0.23</v>
      </c>
      <c r="O611" t="n">
        <v>0.32</v>
      </c>
      <c r="P611" t="n">
        <v>-0.29</v>
      </c>
      <c r="Q611" t="n">
        <v>3</v>
      </c>
      <c r="R611" t="n">
        <v>-0.96</v>
      </c>
      <c r="S611" t="n">
        <v>-0.71</v>
      </c>
      <c r="T611" t="n">
        <v>-11.4</v>
      </c>
      <c r="U611" t="n">
        <v>0.75</v>
      </c>
      <c r="V611" t="n">
        <v>0.25</v>
      </c>
      <c r="W611" t="n">
        <v>0.52</v>
      </c>
      <c r="X611" t="n">
        <v>-9.25</v>
      </c>
      <c r="Z611" t="n">
        <v>58552.41</v>
      </c>
      <c r="AA611" t="n">
        <v>19.74</v>
      </c>
      <c r="AB611" t="n">
        <v>-0.19</v>
      </c>
      <c r="AC611" t="n">
        <v>0.19</v>
      </c>
      <c r="AD611" t="n">
        <v>35919185.93</v>
      </c>
    </row>
    <row r="612">
      <c r="A612" t="inlineStr">
        <is>
          <t>WHRL3</t>
        </is>
      </c>
      <c r="B612" t="n">
        <v>3.84</v>
      </c>
      <c r="C612" t="n">
        <v>5.09</v>
      </c>
      <c r="D612" t="n">
        <v>17.57</v>
      </c>
      <c r="E612" t="n">
        <v>3.01</v>
      </c>
      <c r="F612" t="n">
        <v>0.59</v>
      </c>
      <c r="G612" t="n">
        <v>18.76</v>
      </c>
      <c r="H612" t="n">
        <v>8.6</v>
      </c>
      <c r="I612" t="n">
        <v>2.66</v>
      </c>
      <c r="J612" t="n">
        <v>5.43</v>
      </c>
      <c r="K612" t="n">
        <v>5.59</v>
      </c>
      <c r="L612" t="n">
        <v>0.11</v>
      </c>
      <c r="M612" t="n">
        <v>0.06</v>
      </c>
      <c r="N612" t="n">
        <v>0.47</v>
      </c>
      <c r="O612" t="n">
        <v>-9.460000000000001</v>
      </c>
      <c r="P612" t="n">
        <v>-1.67</v>
      </c>
      <c r="Q612" t="n">
        <v>0.91</v>
      </c>
      <c r="R612" t="n">
        <v>17.12</v>
      </c>
      <c r="S612" t="n">
        <v>3.34</v>
      </c>
      <c r="T612" t="n">
        <v>20.84</v>
      </c>
      <c r="U612" t="n">
        <v>0.2</v>
      </c>
      <c r="V612" t="n">
        <v>0.8</v>
      </c>
      <c r="W612" t="n">
        <v>1.26</v>
      </c>
      <c r="X612" t="n">
        <v>6.29</v>
      </c>
      <c r="Y612" t="n">
        <v>-14.35</v>
      </c>
      <c r="Z612" t="n">
        <v>4406.82</v>
      </c>
      <c r="AA612" t="n">
        <v>1.28</v>
      </c>
      <c r="AB612" t="n">
        <v>0.22</v>
      </c>
      <c r="AC612" t="n">
        <v>-0.28</v>
      </c>
      <c r="AD612" t="n">
        <v>5827588468.92</v>
      </c>
    </row>
    <row r="613">
      <c r="A613" t="inlineStr">
        <is>
          <t>WHRL4</t>
        </is>
      </c>
      <c r="B613" t="n">
        <v>3.96</v>
      </c>
      <c r="C613" t="n">
        <v>5.33</v>
      </c>
      <c r="D613" t="n">
        <v>18.12</v>
      </c>
      <c r="E613" t="n">
        <v>3.1</v>
      </c>
      <c r="F613" t="n">
        <v>0.61</v>
      </c>
      <c r="G613" t="n">
        <v>18.76</v>
      </c>
      <c r="H613" t="n">
        <v>8.6</v>
      </c>
      <c r="I613" t="n">
        <v>2.66</v>
      </c>
      <c r="J613" t="n">
        <v>5.6</v>
      </c>
      <c r="K613" t="n">
        <v>5.59</v>
      </c>
      <c r="L613" t="n">
        <v>0.11</v>
      </c>
      <c r="M613" t="n">
        <v>0.06</v>
      </c>
      <c r="N613" t="n">
        <v>0.48</v>
      </c>
      <c r="O613" t="n">
        <v>-9.76</v>
      </c>
      <c r="P613" t="n">
        <v>-1.72</v>
      </c>
      <c r="Q613" t="n">
        <v>0.91</v>
      </c>
      <c r="R613" t="n">
        <v>17.12</v>
      </c>
      <c r="S613" t="n">
        <v>3.34</v>
      </c>
      <c r="T613" t="n">
        <v>20.84</v>
      </c>
      <c r="U613" t="n">
        <v>0.2</v>
      </c>
      <c r="V613" t="n">
        <v>0.8</v>
      </c>
      <c r="W613" t="n">
        <v>1.26</v>
      </c>
      <c r="X613" t="n">
        <v>6.29</v>
      </c>
      <c r="Y613" t="n">
        <v>-14.35</v>
      </c>
      <c r="Z613" t="n">
        <v>21360.45</v>
      </c>
      <c r="AA613" t="n">
        <v>1.28</v>
      </c>
      <c r="AB613" t="n">
        <v>0.22</v>
      </c>
      <c r="AC613" t="n">
        <v>-0.29</v>
      </c>
      <c r="AD613" t="n">
        <v>5827588468.92</v>
      </c>
    </row>
    <row r="614">
      <c r="A614" t="inlineStr">
        <is>
          <t>WIZC3</t>
        </is>
      </c>
      <c r="B614" t="n">
        <v>8.119999999999999</v>
      </c>
      <c r="C614" t="n">
        <v>7.75</v>
      </c>
      <c r="D614" t="n">
        <v>6.68</v>
      </c>
      <c r="E614" t="n">
        <v>1.89</v>
      </c>
      <c r="F614" t="n">
        <v>0.54</v>
      </c>
      <c r="G614" t="n">
        <v>61.24</v>
      </c>
      <c r="H614" t="n">
        <v>44.14</v>
      </c>
      <c r="I614" t="n">
        <v>14.43</v>
      </c>
      <c r="J614" t="n">
        <v>2.18</v>
      </c>
      <c r="K614" t="n">
        <v>2.17</v>
      </c>
      <c r="L614" t="n">
        <v>-0.01</v>
      </c>
      <c r="M614" t="n">
        <v>-0.01</v>
      </c>
      <c r="N614" t="n">
        <v>0.96</v>
      </c>
      <c r="O614" t="n">
        <v>35.45</v>
      </c>
      <c r="P614" t="n">
        <v>-0.73</v>
      </c>
      <c r="Q614" t="n">
        <v>1.06</v>
      </c>
      <c r="R614" t="n">
        <v>28.26</v>
      </c>
      <c r="S614" t="n">
        <v>8.039999999999999</v>
      </c>
      <c r="T614" t="n">
        <v>23.53</v>
      </c>
      <c r="U614" t="n">
        <v>0.28</v>
      </c>
      <c r="V614" t="n">
        <v>0.46</v>
      </c>
      <c r="W614" t="n">
        <v>0.5600000000000001</v>
      </c>
      <c r="X614" t="n">
        <v>11.49</v>
      </c>
      <c r="Y614" t="n">
        <v>-0.05</v>
      </c>
      <c r="Z614" t="n">
        <v>1881642.23</v>
      </c>
      <c r="AA614" t="n">
        <v>4.3</v>
      </c>
      <c r="AB614" t="n">
        <v>1.21</v>
      </c>
      <c r="AC614" t="n">
        <v>0.45</v>
      </c>
      <c r="AD614" t="n">
        <v>1296848057.02</v>
      </c>
    </row>
    <row r="615">
      <c r="A615" t="inlineStr">
        <is>
          <t>WLMM3</t>
        </is>
      </c>
      <c r="B615" t="n">
        <v>20.15</v>
      </c>
      <c r="C615" t="n">
        <v>6.07</v>
      </c>
      <c r="D615" t="n">
        <v>9.26</v>
      </c>
      <c r="E615" t="n">
        <v>0.93</v>
      </c>
      <c r="F615" t="n">
        <v>0.47</v>
      </c>
      <c r="G615" t="n">
        <v>13.02</v>
      </c>
      <c r="H615" t="n">
        <v>5.49</v>
      </c>
      <c r="I615" t="n">
        <v>2.7</v>
      </c>
      <c r="J615" t="n">
        <v>4.55</v>
      </c>
      <c r="K615" t="n">
        <v>5.64</v>
      </c>
      <c r="L615" t="n">
        <v>1.48</v>
      </c>
      <c r="M615" t="n">
        <v>0.3</v>
      </c>
      <c r="N615" t="n">
        <v>0.25</v>
      </c>
      <c r="O615" t="n">
        <v>1.69</v>
      </c>
      <c r="P615" t="n">
        <v>-1.13</v>
      </c>
      <c r="Q615" t="n">
        <v>1.89</v>
      </c>
      <c r="R615" t="n">
        <v>10</v>
      </c>
      <c r="S615" t="n">
        <v>5.03</v>
      </c>
      <c r="T615" t="n">
        <v>8.01</v>
      </c>
      <c r="U615" t="n">
        <v>0.5</v>
      </c>
      <c r="V615" t="n">
        <v>0.5</v>
      </c>
      <c r="W615" t="n">
        <v>1.86</v>
      </c>
      <c r="X615" t="n">
        <v>24.89</v>
      </c>
      <c r="Y615" t="n">
        <v>7.82</v>
      </c>
      <c r="Z615" t="n">
        <v>775.3099999999999</v>
      </c>
      <c r="AA615" t="n">
        <v>21.78</v>
      </c>
      <c r="AB615" t="n">
        <v>2.18</v>
      </c>
      <c r="AC615" t="n">
        <v>-0.25</v>
      </c>
      <c r="AD615" t="n">
        <v>670851864</v>
      </c>
    </row>
    <row r="616">
      <c r="A616" t="inlineStr">
        <is>
          <t>WLMM4</t>
        </is>
      </c>
      <c r="B616" t="n">
        <v>16.98</v>
      </c>
      <c r="C616" t="n">
        <v>7.93</v>
      </c>
      <c r="D616" t="n">
        <v>7.8</v>
      </c>
      <c r="E616" t="n">
        <v>0.78</v>
      </c>
      <c r="F616" t="n">
        <v>0.39</v>
      </c>
      <c r="G616" t="n">
        <v>13.02</v>
      </c>
      <c r="H616" t="n">
        <v>5.49</v>
      </c>
      <c r="I616" t="n">
        <v>2.7</v>
      </c>
      <c r="J616" t="n">
        <v>3.83</v>
      </c>
      <c r="K616" t="n">
        <v>5.64</v>
      </c>
      <c r="L616" t="n">
        <v>1.48</v>
      </c>
      <c r="M616" t="n">
        <v>0.3</v>
      </c>
      <c r="N616" t="n">
        <v>0.21</v>
      </c>
      <c r="O616" t="n">
        <v>1.42</v>
      </c>
      <c r="P616" t="n">
        <v>-0.95</v>
      </c>
      <c r="Q616" t="n">
        <v>1.89</v>
      </c>
      <c r="R616" t="n">
        <v>10</v>
      </c>
      <c r="S616" t="n">
        <v>5.03</v>
      </c>
      <c r="T616" t="n">
        <v>8.01</v>
      </c>
      <c r="U616" t="n">
        <v>0.5</v>
      </c>
      <c r="V616" t="n">
        <v>0.5</v>
      </c>
      <c r="W616" t="n">
        <v>1.86</v>
      </c>
      <c r="X616" t="n">
        <v>24.89</v>
      </c>
      <c r="Y616" t="n">
        <v>7.82</v>
      </c>
      <c r="Z616" t="n">
        <v>36236.95</v>
      </c>
      <c r="AA616" t="n">
        <v>21.78</v>
      </c>
      <c r="AB616" t="n">
        <v>2.18</v>
      </c>
      <c r="AC616" t="n">
        <v>-0.21</v>
      </c>
      <c r="AD616" t="n">
        <v>670851864</v>
      </c>
    </row>
    <row r="617">
      <c r="A617" t="inlineStr">
        <is>
          <t>YDUQ3</t>
        </is>
      </c>
      <c r="B617" t="n">
        <v>8.08</v>
      </c>
      <c r="C617" t="n">
        <v>7.04</v>
      </c>
      <c r="D617" t="n">
        <v>18.7</v>
      </c>
      <c r="E617" t="n">
        <v>0.74</v>
      </c>
      <c r="F617" t="n">
        <v>0.23</v>
      </c>
      <c r="G617" t="n">
        <v>60.32</v>
      </c>
      <c r="H617" t="n">
        <v>14.84</v>
      </c>
      <c r="I617" t="n">
        <v>2.14</v>
      </c>
      <c r="J617" t="n">
        <v>2.7</v>
      </c>
      <c r="K617" t="n">
        <v>7.92</v>
      </c>
      <c r="L617" t="n">
        <v>5.21</v>
      </c>
      <c r="M617" t="n">
        <v>1.43</v>
      </c>
      <c r="N617" t="n">
        <v>0.4</v>
      </c>
      <c r="O617" t="n">
        <v>2.96</v>
      </c>
      <c r="P617" t="n">
        <v>-0.3</v>
      </c>
      <c r="Q617" t="n">
        <v>1.47</v>
      </c>
      <c r="R617" t="n">
        <v>3.96</v>
      </c>
      <c r="S617" t="n">
        <v>1.22</v>
      </c>
      <c r="T617" t="n">
        <v>9.390000000000001</v>
      </c>
      <c r="U617" t="n">
        <v>0.31</v>
      </c>
      <c r="V617" t="n">
        <v>0.6899999999999999</v>
      </c>
      <c r="W617" t="n">
        <v>0.57</v>
      </c>
      <c r="X617" t="n">
        <v>7.46</v>
      </c>
      <c r="Y617" t="n">
        <v>3.85</v>
      </c>
      <c r="Z617" t="n">
        <v>28368798.73</v>
      </c>
      <c r="AA617" t="n">
        <v>10.94</v>
      </c>
      <c r="AB617" t="n">
        <v>0.43</v>
      </c>
      <c r="AC617" t="n">
        <v>-0.3</v>
      </c>
      <c r="AD617" t="n">
        <v>2225601470.12</v>
      </c>
    </row>
    <row r="618">
      <c r="A618" t="inlineStr">
        <is>
          <t>ZAMP3</t>
        </is>
      </c>
      <c r="B618" t="n">
        <v>3.5</v>
      </c>
      <c r="D618" t="n">
        <v>34.09</v>
      </c>
      <c r="E618" t="n">
        <v>1.02</v>
      </c>
      <c r="F618" t="n">
        <v>0.32</v>
      </c>
      <c r="G618" t="n">
        <v>65.87</v>
      </c>
      <c r="H618" t="n">
        <v>3.05</v>
      </c>
      <c r="I618" t="n">
        <v>0.77</v>
      </c>
      <c r="J618" t="n">
        <v>8.640000000000001</v>
      </c>
      <c r="K618" t="n">
        <v>14.38</v>
      </c>
      <c r="L618" t="n">
        <v>5.74</v>
      </c>
      <c r="M618" t="n">
        <v>0.68</v>
      </c>
      <c r="N618" t="n">
        <v>0.26</v>
      </c>
      <c r="O618" t="n">
        <v>-4.99</v>
      </c>
      <c r="P618" t="n">
        <v>-0.41</v>
      </c>
      <c r="Q618" t="n">
        <v>0.77</v>
      </c>
      <c r="R618" t="n">
        <v>3</v>
      </c>
      <c r="S618" t="n">
        <v>0.93</v>
      </c>
      <c r="T618" t="n">
        <v>6.13</v>
      </c>
      <c r="U618" t="n">
        <v>0.31</v>
      </c>
      <c r="V618" t="n">
        <v>0.6899999999999999</v>
      </c>
      <c r="W618" t="n">
        <v>1.21</v>
      </c>
      <c r="X618" t="n">
        <v>18.51</v>
      </c>
      <c r="Z618" t="n">
        <v>247849</v>
      </c>
      <c r="AA618" t="n">
        <v>3.43</v>
      </c>
      <c r="AB618" t="n">
        <v>0.1</v>
      </c>
      <c r="AC618" t="n">
        <v>-0.26</v>
      </c>
      <c r="AD618" t="n">
        <v>1424270382.5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5"/>
  <sheetViews>
    <sheetView topLeftCell="A317" workbookViewId="0">
      <selection activeCell="A337" sqref="A337"/>
    </sheetView>
  </sheetViews>
  <sheetFormatPr baseColWidth="8" defaultRowHeight="13.8"/>
  <cols>
    <col width="9.59765625" customWidth="1" min="1" max="1"/>
    <col width="39.09765625" bestFit="1" customWidth="1" min="2" max="2"/>
    <col width="5.19921875" customWidth="1" min="3" max="3"/>
    <col width="22.8984375" bestFit="1" customWidth="1" min="4" max="4"/>
    <col width="39.09765625" bestFit="1" customWidth="1" min="5" max="6"/>
    <col width="7.8984375" customWidth="1" min="7" max="7"/>
  </cols>
  <sheetData>
    <row r="1" ht="28.8" customFormat="1" customHeight="1" s="49">
      <c r="A1" s="39" t="inlineStr">
        <is>
          <t>Código</t>
        </is>
      </c>
      <c r="B1" s="39" t="inlineStr">
        <is>
          <t>Nome</t>
        </is>
      </c>
      <c r="C1" s="39" t="inlineStr">
        <is>
          <t>Classe</t>
        </is>
      </c>
      <c r="D1" s="39" t="inlineStr">
        <is>
          <t>Setor Econômico
Bovespa</t>
        </is>
      </c>
      <c r="E1" s="39" t="inlineStr">
        <is>
          <t>Subsetor Bovespa</t>
        </is>
      </c>
      <c r="F1" s="39" t="inlineStr">
        <is>
          <t>Segmento Bovespa</t>
        </is>
      </c>
      <c r="G1" s="49" t="inlineStr">
        <is>
          <t>CÍCLICO</t>
        </is>
      </c>
      <c r="H1" s="49" t="inlineStr">
        <is>
          <t>TIPO</t>
        </is>
      </c>
    </row>
    <row r="2">
      <c r="A2" s="47" t="inlineStr">
        <is>
          <t>RRRP3</t>
        </is>
      </c>
      <c r="B2" s="47" t="inlineStr">
        <is>
          <t>3r Petroleum</t>
        </is>
      </c>
      <c r="C2" s="48" t="inlineStr">
        <is>
          <t>ON</t>
        </is>
      </c>
      <c r="D2" s="47" t="inlineStr">
        <is>
          <t>Petróleo gás e biocombustíveis</t>
        </is>
      </c>
      <c r="E2" s="47" t="inlineStr">
        <is>
          <t>Petróleo gás e biocombustíveis</t>
        </is>
      </c>
      <c r="F2" s="47" t="inlineStr">
        <is>
          <t>Exploração refino e distribuição</t>
        </is>
      </c>
      <c r="G2" s="50" t="inlineStr">
        <is>
          <t>SIM</t>
        </is>
      </c>
      <c r="H2" s="51" t="inlineStr">
        <is>
          <t>PETRÓLEO/DÓLAR</t>
        </is>
      </c>
    </row>
    <row r="3">
      <c r="A3" s="47" t="inlineStr">
        <is>
          <t>TTEN3</t>
        </is>
      </c>
      <c r="B3" s="47" t="inlineStr">
        <is>
          <t>3tentos</t>
        </is>
      </c>
      <c r="C3" s="48" t="inlineStr">
        <is>
          <t>ON</t>
        </is>
      </c>
      <c r="D3" s="47" t="inlineStr">
        <is>
          <t>Consumo não cíclico</t>
        </is>
      </c>
      <c r="E3" s="47" t="inlineStr">
        <is>
          <t>Agropecuária</t>
        </is>
      </c>
      <c r="F3" s="47" t="inlineStr">
        <is>
          <t>Agricultura</t>
        </is>
      </c>
      <c r="G3" s="50" t="inlineStr">
        <is>
          <t>SIM</t>
        </is>
      </c>
      <c r="H3" s="51" t="inlineStr">
        <is>
          <t>COMMODITIES/DÓLAR</t>
        </is>
      </c>
    </row>
    <row r="4">
      <c r="A4" s="47" t="inlineStr">
        <is>
          <t>QVQP3</t>
        </is>
      </c>
      <c r="B4" s="47" t="inlineStr">
        <is>
          <t>524 Particip</t>
        </is>
      </c>
      <c r="C4" s="48" t="inlineStr">
        <is>
          <t>ON</t>
        </is>
      </c>
      <c r="D4" s="47" t="inlineStr">
        <is>
          <t>Outros</t>
        </is>
      </c>
      <c r="E4" s="47" t="inlineStr">
        <is>
          <t>Outros</t>
        </is>
      </c>
      <c r="F4" s="47" t="inlineStr">
        <is>
          <t>Outros</t>
        </is>
      </c>
      <c r="H4" s="51" t="n"/>
    </row>
    <row r="5">
      <c r="A5" s="47" t="inlineStr">
        <is>
          <t>ABCB4</t>
        </is>
      </c>
      <c r="B5" s="47" t="inlineStr">
        <is>
          <t>Abc Brasil</t>
        </is>
      </c>
      <c r="C5" s="48" t="inlineStr">
        <is>
          <t>PN</t>
        </is>
      </c>
      <c r="D5" s="47" t="inlineStr">
        <is>
          <t>Financeiro</t>
        </is>
      </c>
      <c r="E5" s="47" t="inlineStr">
        <is>
          <t>Intermediários financeiros</t>
        </is>
      </c>
      <c r="F5" s="47" t="inlineStr">
        <is>
          <t>Bancos</t>
        </is>
      </c>
      <c r="G5" s="50" t="inlineStr">
        <is>
          <t>NÃO</t>
        </is>
      </c>
      <c r="H5" s="51" t="n"/>
    </row>
    <row r="6">
      <c r="A6" s="47" t="inlineStr">
        <is>
          <t>EALT3</t>
        </is>
      </c>
      <c r="B6" s="47" t="inlineStr">
        <is>
          <t>Aco Altona</t>
        </is>
      </c>
      <c r="C6" s="48" t="inlineStr">
        <is>
          <t>ON</t>
        </is>
      </c>
      <c r="D6" s="47" t="inlineStr">
        <is>
          <t>Bens industriais</t>
        </is>
      </c>
      <c r="E6" s="47" t="inlineStr">
        <is>
          <t>Máquinas e equipamentos</t>
        </is>
      </c>
      <c r="F6" s="47" t="inlineStr">
        <is>
          <t>Máq. e equip. industriais</t>
        </is>
      </c>
      <c r="G6" s="50" t="inlineStr">
        <is>
          <t>SIM</t>
        </is>
      </c>
      <c r="H6" s="51" t="inlineStr">
        <is>
          <t>TAXA DE JUROS/CRESCIMENTO ECONOMICO</t>
        </is>
      </c>
    </row>
    <row r="7">
      <c r="A7" s="47" t="inlineStr">
        <is>
          <t>EALT4</t>
        </is>
      </c>
      <c r="B7" s="47" t="inlineStr">
        <is>
          <t>Aco Altona</t>
        </is>
      </c>
      <c r="C7" s="48" t="inlineStr">
        <is>
          <t>PN</t>
        </is>
      </c>
      <c r="D7" s="47" t="inlineStr">
        <is>
          <t>Bens industriais</t>
        </is>
      </c>
      <c r="E7" s="47" t="inlineStr">
        <is>
          <t>Máquinas e equipamentos</t>
        </is>
      </c>
      <c r="F7" s="47" t="inlineStr">
        <is>
          <t>Máq. e equip. industriais</t>
        </is>
      </c>
      <c r="G7" s="50" t="inlineStr">
        <is>
          <t>SIM</t>
        </is>
      </c>
      <c r="H7" s="51" t="inlineStr">
        <is>
          <t>TAXA DE JUROS/CRESCIMENTO ECONOMICO</t>
        </is>
      </c>
    </row>
    <row r="8">
      <c r="A8" s="47" t="inlineStr">
        <is>
          <t>AERI3</t>
        </is>
      </c>
      <c r="B8" s="47" t="inlineStr">
        <is>
          <t>Aeris</t>
        </is>
      </c>
      <c r="C8" s="48" t="inlineStr">
        <is>
          <t>ON</t>
        </is>
      </c>
      <c r="D8" s="47" t="inlineStr">
        <is>
          <t>Bens industriais</t>
        </is>
      </c>
      <c r="E8" s="47" t="inlineStr">
        <is>
          <t>Máquinas e equipamentos</t>
        </is>
      </c>
      <c r="F8" s="47" t="inlineStr">
        <is>
          <t>Máq. e equip. industriais</t>
        </is>
      </c>
      <c r="G8" s="50" t="inlineStr">
        <is>
          <t>SIM</t>
        </is>
      </c>
      <c r="H8" s="51" t="inlineStr">
        <is>
          <t>TAXA DE JUROS/CRESCIMENTO ECONOMICO</t>
        </is>
      </c>
    </row>
    <row r="9">
      <c r="A9" s="47" t="inlineStr">
        <is>
          <t>AESB3</t>
        </is>
      </c>
      <c r="B9" s="47" t="inlineStr">
        <is>
          <t>AES Brasil</t>
        </is>
      </c>
      <c r="C9" s="48" t="inlineStr">
        <is>
          <t>ON</t>
        </is>
      </c>
      <c r="D9" s="47" t="inlineStr">
        <is>
          <t>Utilidade pública</t>
        </is>
      </c>
      <c r="E9" s="47" t="inlineStr">
        <is>
          <t>Energia elétrica</t>
        </is>
      </c>
      <c r="F9" s="47" t="inlineStr">
        <is>
          <t>Energia elétrica</t>
        </is>
      </c>
      <c r="G9" s="50" t="inlineStr">
        <is>
          <t>NÃO</t>
        </is>
      </c>
      <c r="H9" s="50" t="n"/>
    </row>
    <row r="10">
      <c r="A10" s="47" t="inlineStr">
        <is>
          <t>AESO3</t>
        </is>
      </c>
      <c r="B10" s="47" t="inlineStr">
        <is>
          <t>Aesoperacoes</t>
        </is>
      </c>
      <c r="C10" s="48" t="inlineStr">
        <is>
          <t>ON</t>
        </is>
      </c>
      <c r="D10" s="47" t="inlineStr">
        <is>
          <t>Utilidade pública</t>
        </is>
      </c>
      <c r="E10" s="47" t="inlineStr">
        <is>
          <t>Energia elétrica</t>
        </is>
      </c>
      <c r="F10" s="47" t="inlineStr">
        <is>
          <t>Energia elétrica</t>
        </is>
      </c>
      <c r="G10" s="50" t="inlineStr">
        <is>
          <t>NÃO</t>
        </is>
      </c>
      <c r="H10" s="50" t="n"/>
    </row>
    <row r="11">
      <c r="A11" s="47" t="inlineStr">
        <is>
          <t>AFLT3</t>
        </is>
      </c>
      <c r="B11" s="47" t="inlineStr">
        <is>
          <t>Afluente T</t>
        </is>
      </c>
      <c r="C11" s="48" t="inlineStr">
        <is>
          <t>ON</t>
        </is>
      </c>
      <c r="D11" s="47" t="inlineStr">
        <is>
          <t>Utilidade pública</t>
        </is>
      </c>
      <c r="E11" s="47" t="inlineStr">
        <is>
          <t>Energia elétrica</t>
        </is>
      </c>
      <c r="F11" s="47" t="inlineStr">
        <is>
          <t>Energia elétrica</t>
        </is>
      </c>
      <c r="G11" s="50" t="inlineStr">
        <is>
          <t>NÃO</t>
        </is>
      </c>
    </row>
    <row r="12">
      <c r="A12" s="47" t="inlineStr">
        <is>
          <t>GRAO3</t>
        </is>
      </c>
      <c r="B12" s="47" t="inlineStr">
        <is>
          <t>Agribrasil</t>
        </is>
      </c>
      <c r="C12" s="48" t="inlineStr">
        <is>
          <t>ON</t>
        </is>
      </c>
      <c r="D12" s="47" t="inlineStr">
        <is>
          <t>Consumo não cíclico</t>
        </is>
      </c>
      <c r="E12" s="47" t="inlineStr">
        <is>
          <t>Agropecuária</t>
        </is>
      </c>
      <c r="F12" s="47" t="inlineStr">
        <is>
          <t>Agricultura</t>
        </is>
      </c>
      <c r="G12" s="50" t="inlineStr">
        <is>
          <t>SIM</t>
        </is>
      </c>
      <c r="H12" s="51" t="inlineStr">
        <is>
          <t>COMMODITIES/DÓLAR</t>
        </is>
      </c>
    </row>
    <row r="13">
      <c r="A13" s="47" t="inlineStr">
        <is>
          <t>AGXY3</t>
        </is>
      </c>
      <c r="B13" s="47" t="inlineStr">
        <is>
          <t>Agrogalaxy</t>
        </is>
      </c>
      <c r="C13" s="48" t="inlineStr">
        <is>
          <t>ON</t>
        </is>
      </c>
      <c r="D13" s="47" t="inlineStr">
        <is>
          <t>Consumo não cíclico</t>
        </is>
      </c>
      <c r="E13" s="47" t="inlineStr">
        <is>
          <t>Agropecuária</t>
        </is>
      </c>
      <c r="F13" s="47" t="inlineStr">
        <is>
          <t>Agricultura</t>
        </is>
      </c>
      <c r="G13" s="50" t="inlineStr">
        <is>
          <t>SIM</t>
        </is>
      </c>
      <c r="H13" s="51" t="inlineStr">
        <is>
          <t>COMMODITIES/DÓLAR</t>
        </is>
      </c>
    </row>
    <row r="14">
      <c r="A14" s="47" t="inlineStr">
        <is>
          <t>RPAD3</t>
        </is>
      </c>
      <c r="B14" s="47" t="inlineStr">
        <is>
          <t>Alfa Holding</t>
        </is>
      </c>
      <c r="C14" s="48" t="inlineStr">
        <is>
          <t>ON</t>
        </is>
      </c>
      <c r="D14" s="47" t="inlineStr">
        <is>
          <t>Financeiro</t>
        </is>
      </c>
      <c r="E14" s="47" t="inlineStr">
        <is>
          <t>Intermediários financeiros</t>
        </is>
      </c>
      <c r="F14" s="47" t="inlineStr">
        <is>
          <t>Bancos</t>
        </is>
      </c>
      <c r="G14" s="50" t="inlineStr">
        <is>
          <t>NÃO</t>
        </is>
      </c>
    </row>
    <row r="15">
      <c r="A15" s="47" t="inlineStr">
        <is>
          <t>RPAD5</t>
        </is>
      </c>
      <c r="B15" s="47" t="inlineStr">
        <is>
          <t>Alfa Holding</t>
        </is>
      </c>
      <c r="C15" s="48" t="inlineStr">
        <is>
          <t>PNA</t>
        </is>
      </c>
      <c r="D15" s="47" t="inlineStr">
        <is>
          <t>Financeiro</t>
        </is>
      </c>
      <c r="E15" s="47" t="inlineStr">
        <is>
          <t>Intermediários financeiros</t>
        </is>
      </c>
      <c r="F15" s="47" t="inlineStr">
        <is>
          <t>Bancos</t>
        </is>
      </c>
      <c r="G15" s="50" t="inlineStr">
        <is>
          <t>NÃO</t>
        </is>
      </c>
    </row>
    <row r="16">
      <c r="A16" s="47" t="inlineStr">
        <is>
          <t>RPAD6</t>
        </is>
      </c>
      <c r="B16" s="47" t="inlineStr">
        <is>
          <t>Alfa Holding</t>
        </is>
      </c>
      <c r="C16" s="48" t="inlineStr">
        <is>
          <t>PNB</t>
        </is>
      </c>
      <c r="D16" s="47" t="inlineStr">
        <is>
          <t>Financeiro</t>
        </is>
      </c>
      <c r="E16" s="47" t="inlineStr">
        <is>
          <t>Intermediários financeiros</t>
        </is>
      </c>
      <c r="F16" s="47" t="inlineStr">
        <is>
          <t>Bancos</t>
        </is>
      </c>
      <c r="G16" s="50" t="inlineStr">
        <is>
          <t>NÃO</t>
        </is>
      </c>
    </row>
    <row r="17">
      <c r="A17" s="47" t="inlineStr">
        <is>
          <t>APTI3</t>
        </is>
      </c>
      <c r="B17" s="47" t="inlineStr">
        <is>
          <t>Aliperti</t>
        </is>
      </c>
      <c r="C17" s="48" t="inlineStr">
        <is>
          <t>ON</t>
        </is>
      </c>
      <c r="D17" s="47" t="inlineStr">
        <is>
          <t>Consumo não cíclico</t>
        </is>
      </c>
      <c r="E17" s="47" t="inlineStr">
        <is>
          <t>Agropecuária</t>
        </is>
      </c>
      <c r="F17" s="47" t="inlineStr">
        <is>
          <t>Agricultura</t>
        </is>
      </c>
      <c r="G17" s="50" t="inlineStr">
        <is>
          <t>SIM</t>
        </is>
      </c>
      <c r="H17" s="51" t="inlineStr">
        <is>
          <t>COMMODITIES/DÓLAR</t>
        </is>
      </c>
    </row>
    <row r="18">
      <c r="A18" s="47" t="inlineStr">
        <is>
          <t>APTI4</t>
        </is>
      </c>
      <c r="B18" s="47" t="inlineStr">
        <is>
          <t>Aliperti</t>
        </is>
      </c>
      <c r="C18" s="48" t="inlineStr">
        <is>
          <t>PN</t>
        </is>
      </c>
      <c r="D18" s="47" t="inlineStr">
        <is>
          <t>Consumo não cíclico</t>
        </is>
      </c>
      <c r="E18" s="47" t="inlineStr">
        <is>
          <t>Agropecuária</t>
        </is>
      </c>
      <c r="F18" s="47" t="inlineStr">
        <is>
          <t>Agricultura</t>
        </is>
      </c>
      <c r="G18" s="50" t="inlineStr">
        <is>
          <t>SIM</t>
        </is>
      </c>
      <c r="H18" s="51" t="inlineStr">
        <is>
          <t>COMMODITIES/DÓLAR</t>
        </is>
      </c>
    </row>
    <row r="19">
      <c r="A19" s="47" t="inlineStr">
        <is>
          <t>FRRN3B</t>
        </is>
      </c>
      <c r="B19" s="47" t="inlineStr">
        <is>
          <t>All Norte</t>
        </is>
      </c>
      <c r="C19" s="48" t="inlineStr">
        <is>
          <t>ON</t>
        </is>
      </c>
      <c r="D19" s="47" t="inlineStr">
        <is>
          <t>Bens industriais</t>
        </is>
      </c>
      <c r="E19" s="47" t="inlineStr">
        <is>
          <t>Transporte</t>
        </is>
      </c>
      <c r="F19" s="47" t="inlineStr">
        <is>
          <t>Transporte ferroviário</t>
        </is>
      </c>
      <c r="G19" s="50" t="inlineStr">
        <is>
          <t>SIM</t>
        </is>
      </c>
      <c r="H19" s="51" t="inlineStr">
        <is>
          <t>TAXA DE JUROS/CRESCIMENTO ECONOMICO</t>
        </is>
      </c>
    </row>
    <row r="20">
      <c r="A20" s="47" t="inlineStr">
        <is>
          <t>FRRN5B</t>
        </is>
      </c>
      <c r="B20" s="47" t="inlineStr">
        <is>
          <t>All Norte</t>
        </is>
      </c>
      <c r="C20" s="48" t="inlineStr">
        <is>
          <t>PNA</t>
        </is>
      </c>
      <c r="D20" s="47" t="inlineStr">
        <is>
          <t>Bens industriais</t>
        </is>
      </c>
      <c r="E20" s="47" t="inlineStr">
        <is>
          <t>Transporte</t>
        </is>
      </c>
      <c r="F20" s="47" t="inlineStr">
        <is>
          <t>Transporte ferroviário</t>
        </is>
      </c>
      <c r="G20" s="50" t="inlineStr">
        <is>
          <t>SIM</t>
        </is>
      </c>
      <c r="H20" s="51" t="inlineStr">
        <is>
          <t>TAXA DE JUROS/CRESCIMENTO ECONOMICO</t>
        </is>
      </c>
    </row>
    <row r="21">
      <c r="A21" s="47" t="inlineStr">
        <is>
          <t>FRRN6B</t>
        </is>
      </c>
      <c r="B21" s="47" t="inlineStr">
        <is>
          <t>All Norte</t>
        </is>
      </c>
      <c r="C21" s="48" t="inlineStr">
        <is>
          <t>PNB</t>
        </is>
      </c>
      <c r="D21" s="47" t="inlineStr">
        <is>
          <t>Bens industriais</t>
        </is>
      </c>
      <c r="E21" s="47" t="inlineStr">
        <is>
          <t>Transporte</t>
        </is>
      </c>
      <c r="F21" s="47" t="inlineStr">
        <is>
          <t>Transporte ferroviário</t>
        </is>
      </c>
      <c r="G21" s="50" t="inlineStr">
        <is>
          <t>SIM</t>
        </is>
      </c>
      <c r="H21" s="51" t="inlineStr">
        <is>
          <t>TAXA DE JUROS/CRESCIMENTO ECONOMICO</t>
        </is>
      </c>
    </row>
    <row r="22">
      <c r="A22" s="47" t="inlineStr">
        <is>
          <t>AALR3</t>
        </is>
      </c>
      <c r="B22" s="47" t="inlineStr">
        <is>
          <t>Alliar</t>
        </is>
      </c>
      <c r="C22" s="48" t="inlineStr">
        <is>
          <t>ON</t>
        </is>
      </c>
      <c r="D22" s="47" t="inlineStr">
        <is>
          <t>Saúde</t>
        </is>
      </c>
      <c r="E22" s="47" t="inlineStr">
        <is>
          <t>Serviços médico-hospitalares análises e diagnósticos</t>
        </is>
      </c>
      <c r="F22" s="47" t="inlineStr">
        <is>
          <t>Serviços médico-hospitalares análises e diagnósticos</t>
        </is>
      </c>
      <c r="G22" s="50" t="inlineStr">
        <is>
          <t>NÃO</t>
        </is>
      </c>
    </row>
    <row r="23">
      <c r="A23" s="47" t="inlineStr">
        <is>
          <t>ALLD3</t>
        </is>
      </c>
      <c r="B23" s="47" t="inlineStr">
        <is>
          <t>Allied</t>
        </is>
      </c>
      <c r="C23" s="48" t="inlineStr">
        <is>
          <t>ON</t>
        </is>
      </c>
      <c r="D23" s="47" t="inlineStr">
        <is>
          <t>Consumo cíclico</t>
        </is>
      </c>
      <c r="E23" s="47" t="inlineStr">
        <is>
          <t>Comércio</t>
        </is>
      </c>
      <c r="F23" s="47" t="inlineStr">
        <is>
          <t>Eletrodomésticos</t>
        </is>
      </c>
      <c r="G23" s="50" t="inlineStr">
        <is>
          <t>SIM</t>
        </is>
      </c>
      <c r="H23" s="51" t="inlineStr">
        <is>
          <t>TAXA DE JUROS/CRESCIMENTO ECONOMICO</t>
        </is>
      </c>
    </row>
    <row r="24">
      <c r="A24" s="47" t="inlineStr">
        <is>
          <t>ALOS3</t>
        </is>
      </c>
      <c r="B24" s="47" t="inlineStr">
        <is>
          <t>Allos</t>
        </is>
      </c>
      <c r="C24" s="48" t="inlineStr">
        <is>
          <t>ON</t>
        </is>
      </c>
      <c r="D24" s="47" t="inlineStr">
        <is>
          <t>Financeiro</t>
        </is>
      </c>
      <c r="E24" s="47" t="inlineStr">
        <is>
          <t>Exploração de imóveis</t>
        </is>
      </c>
      <c r="F24" s="47" t="inlineStr">
        <is>
          <t>Exploração de imóveis</t>
        </is>
      </c>
      <c r="G24" s="50" t="inlineStr">
        <is>
          <t>SIM</t>
        </is>
      </c>
      <c r="H24" s="51" t="inlineStr">
        <is>
          <t>TAXA DE JUROS/CRESCIMENTO ECONOMICO</t>
        </is>
      </c>
    </row>
    <row r="25">
      <c r="A25" s="47" t="inlineStr">
        <is>
          <t>ALPA3</t>
        </is>
      </c>
      <c r="B25" s="47" t="inlineStr">
        <is>
          <t>Alpargatas</t>
        </is>
      </c>
      <c r="C25" s="48" t="inlineStr">
        <is>
          <t>ON</t>
        </is>
      </c>
      <c r="D25" s="47" t="inlineStr">
        <is>
          <t>Consumo cíclico</t>
        </is>
      </c>
      <c r="E25" s="47" t="inlineStr">
        <is>
          <t>Tecidos vestuário e calçados</t>
        </is>
      </c>
      <c r="F25" s="47" t="inlineStr">
        <is>
          <t>Calçados</t>
        </is>
      </c>
      <c r="G25" s="50" t="inlineStr">
        <is>
          <t>SIM</t>
        </is>
      </c>
      <c r="H25" s="51" t="inlineStr">
        <is>
          <t>TAXA DE JUROS/CRESCIMENTO ECONOMICO</t>
        </is>
      </c>
    </row>
    <row r="26">
      <c r="A26" s="47" t="inlineStr">
        <is>
          <t>ALPA4</t>
        </is>
      </c>
      <c r="B26" s="47" t="inlineStr">
        <is>
          <t>Alpargatas</t>
        </is>
      </c>
      <c r="C26" s="48" t="inlineStr">
        <is>
          <t>PN</t>
        </is>
      </c>
      <c r="D26" s="47" t="inlineStr">
        <is>
          <t>Consumo cíclico</t>
        </is>
      </c>
      <c r="E26" s="47" t="inlineStr">
        <is>
          <t>Tecidos vestuário e calçados</t>
        </is>
      </c>
      <c r="F26" s="47" t="inlineStr">
        <is>
          <t>Calçados</t>
        </is>
      </c>
      <c r="G26" s="50" t="inlineStr">
        <is>
          <t>SIM</t>
        </is>
      </c>
      <c r="H26" s="51" t="inlineStr">
        <is>
          <t>TAXA DE JUROS/CRESCIMENTO ECONOMICO</t>
        </is>
      </c>
    </row>
    <row r="27">
      <c r="A27" s="47" t="inlineStr">
        <is>
          <t>APER3</t>
        </is>
      </c>
      <c r="B27" s="47" t="inlineStr">
        <is>
          <t>Alper S.A.</t>
        </is>
      </c>
      <c r="C27" s="48" t="inlineStr">
        <is>
          <t>ON</t>
        </is>
      </c>
      <c r="D27" s="47" t="inlineStr">
        <is>
          <t>Financeiro</t>
        </is>
      </c>
      <c r="E27" s="47" t="inlineStr">
        <is>
          <t>Previdência e seguros</t>
        </is>
      </c>
      <c r="F27" s="47" t="inlineStr">
        <is>
          <t>Corretoras de seguros e resseguros</t>
        </is>
      </c>
      <c r="G27" s="50" t="inlineStr">
        <is>
          <t>NÃO</t>
        </is>
      </c>
    </row>
    <row r="28">
      <c r="A28" s="47" t="inlineStr">
        <is>
          <t>AVLL3</t>
        </is>
      </c>
      <c r="B28" s="47" t="inlineStr">
        <is>
          <t>Alphaville</t>
        </is>
      </c>
      <c r="C28" s="48" t="inlineStr">
        <is>
          <t>ON</t>
        </is>
      </c>
      <c r="D28" s="47" t="inlineStr">
        <is>
          <t>Consumo cíclico</t>
        </is>
      </c>
      <c r="E28" s="47" t="inlineStr">
        <is>
          <t>Construção civil</t>
        </is>
      </c>
      <c r="F28" s="47" t="inlineStr">
        <is>
          <t>Incorporações</t>
        </is>
      </c>
      <c r="G28" s="50" t="inlineStr">
        <is>
          <t>SIM</t>
        </is>
      </c>
      <c r="H28" s="51" t="inlineStr">
        <is>
          <t>TAXA DE JUROS/CRESCIMENTO ECONOMICO</t>
        </is>
      </c>
    </row>
    <row r="29">
      <c r="A29" s="47" t="inlineStr">
        <is>
          <t>ALUP3</t>
        </is>
      </c>
      <c r="B29" s="47" t="inlineStr">
        <is>
          <t>Alupar</t>
        </is>
      </c>
      <c r="C29" s="48" t="inlineStr">
        <is>
          <t>ON</t>
        </is>
      </c>
      <c r="D29" s="47" t="inlineStr">
        <is>
          <t>Utilidade pública</t>
        </is>
      </c>
      <c r="E29" s="47" t="inlineStr">
        <is>
          <t>Energia elétrica</t>
        </is>
      </c>
      <c r="F29" s="47" t="inlineStr">
        <is>
          <t>Energia elétrica</t>
        </is>
      </c>
      <c r="G29" s="50" t="inlineStr">
        <is>
          <t>NÃO</t>
        </is>
      </c>
    </row>
    <row r="30">
      <c r="A30" s="47" t="inlineStr">
        <is>
          <t>ALUP4</t>
        </is>
      </c>
      <c r="B30" s="47" t="inlineStr">
        <is>
          <t>Alupar</t>
        </is>
      </c>
      <c r="C30" s="48" t="inlineStr">
        <is>
          <t>PN</t>
        </is>
      </c>
      <c r="D30" s="47" t="inlineStr">
        <is>
          <t>Utilidade pública</t>
        </is>
      </c>
      <c r="E30" s="47" t="inlineStr">
        <is>
          <t>Energia elétrica</t>
        </is>
      </c>
      <c r="F30" s="47" t="inlineStr">
        <is>
          <t>Energia elétrica</t>
        </is>
      </c>
      <c r="G30" s="50" t="inlineStr">
        <is>
          <t>NÃO</t>
        </is>
      </c>
    </row>
    <row r="31">
      <c r="A31" s="47" t="inlineStr">
        <is>
          <t>ALUP11</t>
        </is>
      </c>
      <c r="B31" s="47" t="inlineStr">
        <is>
          <t>Alupar</t>
        </is>
      </c>
      <c r="C31" s="48" t="inlineStr">
        <is>
          <t>UNT N2</t>
        </is>
      </c>
      <c r="D31" s="47" t="inlineStr">
        <is>
          <t>Utilidade pública</t>
        </is>
      </c>
      <c r="E31" s="47" t="inlineStr">
        <is>
          <t>Energia elétrica</t>
        </is>
      </c>
      <c r="F31" s="47" t="inlineStr">
        <is>
          <t>Energia elétrica</t>
        </is>
      </c>
      <c r="G31" s="50" t="inlineStr">
        <is>
          <t>NÃO</t>
        </is>
      </c>
    </row>
    <row r="32">
      <c r="A32" s="47" t="inlineStr">
        <is>
          <t>BAZA3</t>
        </is>
      </c>
      <c r="B32" s="47" t="inlineStr">
        <is>
          <t>Amazonia</t>
        </is>
      </c>
      <c r="C32" s="48" t="inlineStr">
        <is>
          <t>ON</t>
        </is>
      </c>
      <c r="D32" s="47" t="inlineStr">
        <is>
          <t>Financeiro</t>
        </is>
      </c>
      <c r="E32" s="47" t="inlineStr">
        <is>
          <t>Intermediários financeiros</t>
        </is>
      </c>
      <c r="F32" s="47" t="inlineStr">
        <is>
          <t>Bancos</t>
        </is>
      </c>
      <c r="G32" s="50" t="inlineStr">
        <is>
          <t>NÃO</t>
        </is>
      </c>
    </row>
    <row r="33">
      <c r="A33" s="47" t="inlineStr">
        <is>
          <t>ABEV3</t>
        </is>
      </c>
      <c r="B33" s="47" t="inlineStr">
        <is>
          <t>Ambev S/A</t>
        </is>
      </c>
      <c r="C33" s="48" t="inlineStr">
        <is>
          <t>ON</t>
        </is>
      </c>
      <c r="D33" s="47" t="inlineStr">
        <is>
          <t>Consumo não cíclico</t>
        </is>
      </c>
      <c r="E33" s="47" t="inlineStr">
        <is>
          <t>Bebidas</t>
        </is>
      </c>
      <c r="F33" s="47" t="inlineStr">
        <is>
          <t>Cervejas e refrigerantes</t>
        </is>
      </c>
      <c r="G33" s="50" t="inlineStr">
        <is>
          <t>SIM</t>
        </is>
      </c>
      <c r="H33" s="51" t="inlineStr">
        <is>
          <t>TAXA DE JUROS/CRESCIMENTO ECONOMICO</t>
        </is>
      </c>
    </row>
    <row r="34">
      <c r="A34" s="47" t="inlineStr">
        <is>
          <t>AMBP3</t>
        </is>
      </c>
      <c r="B34" s="47" t="inlineStr">
        <is>
          <t>Ambipar</t>
        </is>
      </c>
      <c r="C34" s="48" t="inlineStr">
        <is>
          <t>ON</t>
        </is>
      </c>
      <c r="D34" s="47" t="inlineStr">
        <is>
          <t>Utilidade pública</t>
        </is>
      </c>
      <c r="E34" s="47" t="inlineStr">
        <is>
          <t>Água e saneamento</t>
        </is>
      </c>
      <c r="F34" s="47" t="inlineStr">
        <is>
          <t>Água e saneamento</t>
        </is>
      </c>
      <c r="G34" s="50" t="inlineStr">
        <is>
          <t>NÃO</t>
        </is>
      </c>
    </row>
    <row r="35">
      <c r="A35" s="47" t="inlineStr">
        <is>
          <t>AMER3</t>
        </is>
      </c>
      <c r="B35" s="47" t="inlineStr">
        <is>
          <t>Americanas</t>
        </is>
      </c>
      <c r="C35" s="48" t="inlineStr">
        <is>
          <t>ON</t>
        </is>
      </c>
      <c r="D35" s="47" t="inlineStr">
        <is>
          <t>Consumo cíclico</t>
        </is>
      </c>
      <c r="E35" s="47" t="inlineStr">
        <is>
          <t>Comércio</t>
        </is>
      </c>
      <c r="F35" s="47" t="inlineStr">
        <is>
          <t>Produtos diversos</t>
        </is>
      </c>
      <c r="G35" s="50" t="inlineStr">
        <is>
          <t>SIM</t>
        </is>
      </c>
      <c r="H35" s="51" t="inlineStr">
        <is>
          <t>TAXA DE JUROS/CRESCIMENTO ECONOMICO</t>
        </is>
      </c>
    </row>
    <row r="36">
      <c r="A36" s="47" t="inlineStr">
        <is>
          <t>CBEE3</t>
        </is>
      </c>
      <c r="B36" s="47" t="inlineStr">
        <is>
          <t>Ampla Energ</t>
        </is>
      </c>
      <c r="C36" s="48" t="inlineStr">
        <is>
          <t>ON</t>
        </is>
      </c>
      <c r="D36" s="47" t="inlineStr">
        <is>
          <t>Utilidade pública</t>
        </is>
      </c>
      <c r="E36" s="47" t="inlineStr">
        <is>
          <t>Energia elétrica</t>
        </is>
      </c>
      <c r="F36" s="47" t="inlineStr">
        <is>
          <t>Energia elétrica</t>
        </is>
      </c>
      <c r="G36" s="50" t="inlineStr">
        <is>
          <t>NÃO</t>
        </is>
      </c>
    </row>
    <row r="37">
      <c r="A37" s="47" t="inlineStr">
        <is>
          <t>ANIM3</t>
        </is>
      </c>
      <c r="B37" s="47" t="inlineStr">
        <is>
          <t>Anima</t>
        </is>
      </c>
      <c r="C37" s="48" t="inlineStr">
        <is>
          <t>ON</t>
        </is>
      </c>
      <c r="D37" s="47" t="inlineStr">
        <is>
          <t>Consumo cíclico</t>
        </is>
      </c>
      <c r="E37" s="47" t="inlineStr">
        <is>
          <t>Diversos</t>
        </is>
      </c>
      <c r="F37" s="47" t="inlineStr">
        <is>
          <t>Serviços educacionais</t>
        </is>
      </c>
      <c r="G37" s="50" t="inlineStr">
        <is>
          <t>SIM</t>
        </is>
      </c>
      <c r="H37" s="51" t="inlineStr">
        <is>
          <t>TAXA DE JUROS/CRESCIMENTO ECONOMICO</t>
        </is>
      </c>
    </row>
    <row r="38">
      <c r="A38" s="47" t="inlineStr">
        <is>
          <t>ARML3</t>
        </is>
      </c>
      <c r="B38" s="47" t="inlineStr">
        <is>
          <t>Armac</t>
        </is>
      </c>
      <c r="C38" s="48" t="inlineStr">
        <is>
          <t>ON</t>
        </is>
      </c>
      <c r="D38" s="47" t="inlineStr">
        <is>
          <t>Bens industriais</t>
        </is>
      </c>
      <c r="E38" s="47" t="inlineStr">
        <is>
          <t>Máquinas e equipamentos</t>
        </is>
      </c>
      <c r="F38" s="47" t="inlineStr">
        <is>
          <t>Máq. e equip. industriais</t>
        </is>
      </c>
      <c r="G38" s="50" t="inlineStr">
        <is>
          <t>SIM</t>
        </is>
      </c>
      <c r="H38" s="51" t="inlineStr">
        <is>
          <t>TAXA DE JUROS/CRESCIMENTO ECONOMICO</t>
        </is>
      </c>
    </row>
    <row r="39">
      <c r="A39" s="47" t="inlineStr">
        <is>
          <t>ASAI3</t>
        </is>
      </c>
      <c r="B39" s="47" t="inlineStr">
        <is>
          <t>Assai</t>
        </is>
      </c>
      <c r="C39" s="48" t="inlineStr">
        <is>
          <t>ON</t>
        </is>
      </c>
      <c r="D39" s="47" t="inlineStr">
        <is>
          <t>Consumo não cíclico</t>
        </is>
      </c>
      <c r="E39" s="47" t="inlineStr">
        <is>
          <t>Comércio e distribuição</t>
        </is>
      </c>
      <c r="F39" s="47" t="inlineStr">
        <is>
          <t>Alimentos</t>
        </is>
      </c>
      <c r="G39" s="50" t="inlineStr">
        <is>
          <t>SIM</t>
        </is>
      </c>
      <c r="H39" s="51" t="inlineStr">
        <is>
          <t>TAXA DE JUROS/CRESCIMENTO ECONOMICO</t>
        </is>
      </c>
    </row>
    <row r="40">
      <c r="A40" s="47" t="inlineStr">
        <is>
          <t>ATMP3</t>
        </is>
      </c>
      <c r="B40" s="47" t="inlineStr">
        <is>
          <t>Atmasa</t>
        </is>
      </c>
      <c r="C40" s="48" t="inlineStr">
        <is>
          <t>ON</t>
        </is>
      </c>
      <c r="D40" s="47" t="inlineStr">
        <is>
          <t>Bens industriais</t>
        </is>
      </c>
      <c r="E40" s="47" t="inlineStr">
        <is>
          <t>Serviços diversos</t>
        </is>
      </c>
      <c r="F40" s="47" t="inlineStr">
        <is>
          <t>Serviços diversos</t>
        </is>
      </c>
      <c r="G40" s="50" t="inlineStr">
        <is>
          <t>SIM</t>
        </is>
      </c>
      <c r="H40" s="51" t="inlineStr">
        <is>
          <t>TAXA DE JUROS/CRESCIMENTO ECONOMICO</t>
        </is>
      </c>
    </row>
    <row r="41">
      <c r="A41" s="47" t="inlineStr">
        <is>
          <t>ATOM3</t>
        </is>
      </c>
      <c r="B41" s="47" t="inlineStr">
        <is>
          <t>Atompar</t>
        </is>
      </c>
      <c r="C41" s="48" t="inlineStr">
        <is>
          <t>ON</t>
        </is>
      </c>
      <c r="D41" s="47" t="inlineStr">
        <is>
          <t>Outros</t>
        </is>
      </c>
      <c r="E41" s="47" t="inlineStr">
        <is>
          <t>Outros</t>
        </is>
      </c>
      <c r="F41" s="47" t="inlineStr">
        <is>
          <t>Outros</t>
        </is>
      </c>
    </row>
    <row r="42">
      <c r="A42" s="47" t="inlineStr">
        <is>
          <t>AURA33</t>
        </is>
      </c>
      <c r="B42" s="47" t="inlineStr">
        <is>
          <t>Aura 360</t>
        </is>
      </c>
      <c r="C42" s="48" t="inlineStr">
        <is>
          <t>ON</t>
        </is>
      </c>
      <c r="D42" s="47" t="inlineStr">
        <is>
          <t>Materiais básicos</t>
        </is>
      </c>
      <c r="E42" s="47" t="inlineStr">
        <is>
          <t>Mineração</t>
        </is>
      </c>
      <c r="F42" s="47" t="inlineStr">
        <is>
          <t>Minerais metálicos</t>
        </is>
      </c>
      <c r="G42" s="50" t="inlineStr">
        <is>
          <t>SIM</t>
        </is>
      </c>
      <c r="H42" s="52" t="inlineStr">
        <is>
          <t>MINÉRIO/DÓLAR</t>
        </is>
      </c>
    </row>
    <row r="43">
      <c r="A43" s="47" t="inlineStr">
        <is>
          <t>AURE3</t>
        </is>
      </c>
      <c r="B43" s="47" t="inlineStr">
        <is>
          <t>Auren</t>
        </is>
      </c>
      <c r="C43" s="48" t="inlineStr">
        <is>
          <t>ON</t>
        </is>
      </c>
      <c r="D43" s="47" t="inlineStr">
        <is>
          <t>Utilidade pública</t>
        </is>
      </c>
      <c r="E43" s="47" t="inlineStr">
        <is>
          <t>Energia elétrica</t>
        </is>
      </c>
      <c r="F43" s="47" t="inlineStr">
        <is>
          <t>Energia elétrica</t>
        </is>
      </c>
      <c r="G43" s="50" t="inlineStr">
        <is>
          <t>NÃO</t>
        </is>
      </c>
    </row>
    <row r="44">
      <c r="A44" s="47" t="inlineStr">
        <is>
          <t>AZEV3</t>
        </is>
      </c>
      <c r="B44" s="47" t="inlineStr">
        <is>
          <t>Azevedo</t>
        </is>
      </c>
      <c r="C44" s="48" t="inlineStr">
        <is>
          <t>ON</t>
        </is>
      </c>
      <c r="D44" s="47" t="inlineStr">
        <is>
          <t>Bens industriais</t>
        </is>
      </c>
      <c r="E44" s="47" t="inlineStr">
        <is>
          <t>Construção e engenharia</t>
        </is>
      </c>
      <c r="F44" s="47" t="inlineStr">
        <is>
          <t>Construção pesada</t>
        </is>
      </c>
      <c r="G44" s="50" t="inlineStr">
        <is>
          <t>SIM</t>
        </is>
      </c>
      <c r="H44" s="51" t="inlineStr">
        <is>
          <t>TAXA DE JUROS/CRESCIMENTO ECONOMICO</t>
        </is>
      </c>
    </row>
    <row r="45">
      <c r="A45" s="47" t="inlineStr">
        <is>
          <t>AZEV4</t>
        </is>
      </c>
      <c r="B45" s="47" t="inlineStr">
        <is>
          <t>Azevedo</t>
        </is>
      </c>
      <c r="C45" s="48" t="inlineStr">
        <is>
          <t>PN</t>
        </is>
      </c>
      <c r="D45" s="47" t="inlineStr">
        <is>
          <t>Bens industriais</t>
        </is>
      </c>
      <c r="E45" s="47" t="inlineStr">
        <is>
          <t>Construção e engenharia</t>
        </is>
      </c>
      <c r="F45" s="47" t="inlineStr">
        <is>
          <t>Construção pesada</t>
        </is>
      </c>
      <c r="G45" s="50" t="inlineStr">
        <is>
          <t>SIM</t>
        </is>
      </c>
      <c r="H45" s="51" t="inlineStr">
        <is>
          <t>TAXA DE JUROS/CRESCIMENTO ECONOMICO</t>
        </is>
      </c>
    </row>
    <row r="46">
      <c r="A46" s="47" t="inlineStr">
        <is>
          <t>AZUL4</t>
        </is>
      </c>
      <c r="B46" s="47" t="inlineStr">
        <is>
          <t>Azul</t>
        </is>
      </c>
      <c r="C46" s="48" t="inlineStr">
        <is>
          <t>PN</t>
        </is>
      </c>
      <c r="D46" s="47" t="inlineStr">
        <is>
          <t>Bens industriais</t>
        </is>
      </c>
      <c r="E46" s="47" t="inlineStr">
        <is>
          <t>Transporte</t>
        </is>
      </c>
      <c r="F46" s="47" t="inlineStr">
        <is>
          <t>Transporte aéreo</t>
        </is>
      </c>
      <c r="G46" s="50" t="inlineStr">
        <is>
          <t>SIM</t>
        </is>
      </c>
      <c r="H46" s="51" t="inlineStr">
        <is>
          <t>TAXA DE JUROS/CRESCIMENTO ECONOMICO</t>
        </is>
      </c>
    </row>
    <row r="47">
      <c r="A47" s="47" t="inlineStr">
        <is>
          <t>AZZA3</t>
        </is>
      </c>
      <c r="B47" s="47" t="inlineStr">
        <is>
          <t>Azzas 2154</t>
        </is>
      </c>
      <c r="C47" s="48" t="inlineStr">
        <is>
          <t>ON</t>
        </is>
      </c>
      <c r="D47" s="47" t="inlineStr">
        <is>
          <t>Consumo cíclico</t>
        </is>
      </c>
      <c r="E47" s="47" t="inlineStr">
        <is>
          <t>Comércio</t>
        </is>
      </c>
      <c r="F47" s="47" t="inlineStr">
        <is>
          <t>Tecidos vestuário e calçados</t>
        </is>
      </c>
      <c r="G47" s="50" t="inlineStr">
        <is>
          <t>SIM</t>
        </is>
      </c>
      <c r="H47" s="51" t="inlineStr">
        <is>
          <t>TAXA DE JUROS/CRESCIMENTO ECONOMICO</t>
        </is>
      </c>
    </row>
    <row r="48">
      <c r="A48" s="47" t="inlineStr">
        <is>
          <t>B3SA3</t>
        </is>
      </c>
      <c r="B48" s="47" t="inlineStr">
        <is>
          <t>B3</t>
        </is>
      </c>
      <c r="C48" s="48" t="inlineStr">
        <is>
          <t>ON</t>
        </is>
      </c>
      <c r="D48" s="47" t="inlineStr">
        <is>
          <t>Financeiro</t>
        </is>
      </c>
      <c r="E48" s="47" t="inlineStr">
        <is>
          <t>Serviços financeiros diversos</t>
        </is>
      </c>
      <c r="F48" s="47" t="inlineStr">
        <is>
          <t>Serviços financeiros diversos</t>
        </is>
      </c>
      <c r="G48" s="50" t="inlineStr">
        <is>
          <t>SIM</t>
        </is>
      </c>
      <c r="H48" s="51" t="inlineStr">
        <is>
          <t>TAXA DE JUROS/CRESCIMENTO ECONOMICO</t>
        </is>
      </c>
    </row>
    <row r="49">
      <c r="A49" s="47" t="inlineStr">
        <is>
          <t>BAHI3</t>
        </is>
      </c>
      <c r="B49" s="47" t="inlineStr">
        <is>
          <t>Bahema</t>
        </is>
      </c>
      <c r="C49" s="48" t="inlineStr">
        <is>
          <t>ON</t>
        </is>
      </c>
      <c r="D49" s="47" t="inlineStr">
        <is>
          <t>Consumo cíclico</t>
        </is>
      </c>
      <c r="E49" s="47" t="inlineStr">
        <is>
          <t>Diversos</t>
        </is>
      </c>
      <c r="F49" s="47" t="inlineStr">
        <is>
          <t>Serviços educacionais</t>
        </is>
      </c>
      <c r="G49" s="50" t="inlineStr">
        <is>
          <t>SIM</t>
        </is>
      </c>
      <c r="H49" s="51" t="inlineStr">
        <is>
          <t>TAXA DE JUROS/CRESCIMENTO ECONOMICO</t>
        </is>
      </c>
    </row>
    <row r="50">
      <c r="A50" s="47" t="inlineStr">
        <is>
          <t>BMGB4</t>
        </is>
      </c>
      <c r="B50" s="47" t="inlineStr">
        <is>
          <t>Banco BMG</t>
        </is>
      </c>
      <c r="C50" s="48" t="inlineStr">
        <is>
          <t>PN</t>
        </is>
      </c>
      <c r="D50" s="47" t="inlineStr">
        <is>
          <t>Financeiro</t>
        </is>
      </c>
      <c r="E50" s="47" t="inlineStr">
        <is>
          <t>Intermediários financeiros</t>
        </is>
      </c>
      <c r="F50" s="47" t="inlineStr">
        <is>
          <t>Bancos</t>
        </is>
      </c>
      <c r="G50" s="50" t="inlineStr">
        <is>
          <t>NÃO</t>
        </is>
      </c>
    </row>
    <row r="51">
      <c r="A51" s="47" t="inlineStr">
        <is>
          <t>BPAN4</t>
        </is>
      </c>
      <c r="B51" s="47" t="inlineStr">
        <is>
          <t>Banco Pan</t>
        </is>
      </c>
      <c r="C51" s="48" t="inlineStr">
        <is>
          <t>PN</t>
        </is>
      </c>
      <c r="D51" s="47" t="inlineStr">
        <is>
          <t>Financeiro</t>
        </is>
      </c>
      <c r="E51" s="47" t="inlineStr">
        <is>
          <t>Intermediários financeiros</t>
        </is>
      </c>
      <c r="F51" s="47" t="inlineStr">
        <is>
          <t>Bancos</t>
        </is>
      </c>
      <c r="G51" s="50" t="inlineStr">
        <is>
          <t>NÃO</t>
        </is>
      </c>
    </row>
    <row r="52">
      <c r="A52" s="47" t="inlineStr">
        <is>
          <t>BGIP3</t>
        </is>
      </c>
      <c r="B52" s="47" t="inlineStr">
        <is>
          <t>Banese</t>
        </is>
      </c>
      <c r="C52" s="48" t="inlineStr">
        <is>
          <t>ON</t>
        </is>
      </c>
      <c r="D52" s="47" t="inlineStr">
        <is>
          <t>Financeiro</t>
        </is>
      </c>
      <c r="E52" s="47" t="inlineStr">
        <is>
          <t>Intermediários financeiros</t>
        </is>
      </c>
      <c r="F52" s="47" t="inlineStr">
        <is>
          <t>Bancos</t>
        </is>
      </c>
      <c r="G52" s="50" t="inlineStr">
        <is>
          <t>NÃO</t>
        </is>
      </c>
    </row>
    <row r="53">
      <c r="A53" s="47" t="inlineStr">
        <is>
          <t>BGIP4</t>
        </is>
      </c>
      <c r="B53" s="47" t="inlineStr">
        <is>
          <t>Banese</t>
        </is>
      </c>
      <c r="C53" s="48" t="inlineStr">
        <is>
          <t>PN</t>
        </is>
      </c>
      <c r="D53" s="47" t="inlineStr">
        <is>
          <t>Financeiro</t>
        </is>
      </c>
      <c r="E53" s="47" t="inlineStr">
        <is>
          <t>Intermediários financeiros</t>
        </is>
      </c>
      <c r="F53" s="47" t="inlineStr">
        <is>
          <t>Bancos</t>
        </is>
      </c>
      <c r="G53" s="50" t="inlineStr">
        <is>
          <t>NÃO</t>
        </is>
      </c>
    </row>
    <row r="54">
      <c r="A54" s="47" t="inlineStr">
        <is>
          <t>BEES3</t>
        </is>
      </c>
      <c r="B54" s="47" t="inlineStr">
        <is>
          <t>Banestes</t>
        </is>
      </c>
      <c r="C54" s="48" t="inlineStr">
        <is>
          <t>ON</t>
        </is>
      </c>
      <c r="D54" s="47" t="inlineStr">
        <is>
          <t>Financeiro</t>
        </is>
      </c>
      <c r="E54" s="47" t="inlineStr">
        <is>
          <t>Intermediários financeiros</t>
        </is>
      </c>
      <c r="F54" s="47" t="inlineStr">
        <is>
          <t>Bancos</t>
        </is>
      </c>
      <c r="G54" s="50" t="inlineStr">
        <is>
          <t>NÃO</t>
        </is>
      </c>
    </row>
    <row r="55">
      <c r="A55" s="47" t="inlineStr">
        <is>
          <t>BEES4</t>
        </is>
      </c>
      <c r="B55" s="47" t="inlineStr">
        <is>
          <t>Banestes</t>
        </is>
      </c>
      <c r="C55" s="48" t="inlineStr">
        <is>
          <t>PN</t>
        </is>
      </c>
      <c r="D55" s="47" t="inlineStr">
        <is>
          <t>Financeiro</t>
        </is>
      </c>
      <c r="E55" s="47" t="inlineStr">
        <is>
          <t>Intermediários financeiros</t>
        </is>
      </c>
      <c r="F55" s="47" t="inlineStr">
        <is>
          <t>Bancos</t>
        </is>
      </c>
      <c r="G55" s="50" t="inlineStr">
        <is>
          <t>NÃO</t>
        </is>
      </c>
    </row>
    <row r="56">
      <c r="A56" s="47" t="inlineStr">
        <is>
          <t>BPAR3</t>
        </is>
      </c>
      <c r="B56" s="47" t="inlineStr">
        <is>
          <t>Banpara</t>
        </is>
      </c>
      <c r="C56" s="48" t="inlineStr">
        <is>
          <t>ON</t>
        </is>
      </c>
      <c r="D56" s="47" t="inlineStr">
        <is>
          <t>Financeiro</t>
        </is>
      </c>
      <c r="E56" s="47" t="inlineStr">
        <is>
          <t>Intermediários financeiros</t>
        </is>
      </c>
      <c r="F56" s="47" t="inlineStr">
        <is>
          <t>Bancos</t>
        </is>
      </c>
      <c r="G56" s="50" t="inlineStr">
        <is>
          <t>NÃO</t>
        </is>
      </c>
    </row>
    <row r="57">
      <c r="A57" s="47" t="inlineStr">
        <is>
          <t>BRSR3</t>
        </is>
      </c>
      <c r="B57" s="47" t="inlineStr">
        <is>
          <t>Banrisul</t>
        </is>
      </c>
      <c r="C57" s="48" t="inlineStr">
        <is>
          <t>ON</t>
        </is>
      </c>
      <c r="D57" s="47" t="inlineStr">
        <is>
          <t>Financeiro</t>
        </is>
      </c>
      <c r="E57" s="47" t="inlineStr">
        <is>
          <t>Intermediários financeiros</t>
        </is>
      </c>
      <c r="F57" s="47" t="inlineStr">
        <is>
          <t>Bancos</t>
        </is>
      </c>
      <c r="G57" s="50" t="inlineStr">
        <is>
          <t>NÃO</t>
        </is>
      </c>
    </row>
    <row r="58">
      <c r="A58" s="47" t="inlineStr">
        <is>
          <t>BRSR5</t>
        </is>
      </c>
      <c r="B58" s="47" t="inlineStr">
        <is>
          <t>Banrisul</t>
        </is>
      </c>
      <c r="C58" s="48" t="inlineStr">
        <is>
          <t>PNA</t>
        </is>
      </c>
      <c r="D58" s="47" t="inlineStr">
        <is>
          <t>Financeiro</t>
        </is>
      </c>
      <c r="E58" s="47" t="inlineStr">
        <is>
          <t>Intermediários financeiros</t>
        </is>
      </c>
      <c r="F58" s="47" t="inlineStr">
        <is>
          <t>Bancos</t>
        </is>
      </c>
      <c r="G58" s="50" t="inlineStr">
        <is>
          <t>NÃO</t>
        </is>
      </c>
    </row>
    <row r="59">
      <c r="A59" s="47" t="inlineStr">
        <is>
          <t>BRSR6</t>
        </is>
      </c>
      <c r="B59" s="47" t="inlineStr">
        <is>
          <t>Banrisul</t>
        </is>
      </c>
      <c r="C59" s="48" t="inlineStr">
        <is>
          <t>PNB</t>
        </is>
      </c>
      <c r="D59" s="47" t="inlineStr">
        <is>
          <t>Financeiro</t>
        </is>
      </c>
      <c r="E59" s="47" t="inlineStr">
        <is>
          <t>Intermediários financeiros</t>
        </is>
      </c>
      <c r="F59" s="47" t="inlineStr">
        <is>
          <t>Bancos</t>
        </is>
      </c>
      <c r="G59" s="50" t="inlineStr">
        <is>
          <t>NÃO</t>
        </is>
      </c>
    </row>
    <row r="60">
      <c r="A60" s="47" t="inlineStr">
        <is>
          <t>BDLL3</t>
        </is>
      </c>
      <c r="B60" s="47" t="inlineStr">
        <is>
          <t>Bardella</t>
        </is>
      </c>
      <c r="C60" s="48" t="inlineStr">
        <is>
          <t>ON</t>
        </is>
      </c>
      <c r="D60" s="47" t="inlineStr">
        <is>
          <t>Bens industriais</t>
        </is>
      </c>
      <c r="E60" s="47" t="inlineStr">
        <is>
          <t>Máquinas e equipamentos</t>
        </is>
      </c>
      <c r="F60" s="47" t="inlineStr">
        <is>
          <t>Máq. e equip. industriais</t>
        </is>
      </c>
      <c r="G60" s="50" t="inlineStr">
        <is>
          <t>SIM</t>
        </is>
      </c>
      <c r="H60" s="51" t="inlineStr">
        <is>
          <t>TAXA DE JUROS/CRESCIMENTO ECONOMICO</t>
        </is>
      </c>
    </row>
    <row r="61">
      <c r="A61" s="47" t="inlineStr">
        <is>
          <t>BDLL4</t>
        </is>
      </c>
      <c r="B61" s="47" t="inlineStr">
        <is>
          <t>Bardella</t>
        </is>
      </c>
      <c r="C61" s="48" t="inlineStr">
        <is>
          <t>PN</t>
        </is>
      </c>
      <c r="D61" s="47" t="inlineStr">
        <is>
          <t>Bens industriais</t>
        </is>
      </c>
      <c r="E61" s="47" t="inlineStr">
        <is>
          <t>Máquinas e equipamentos</t>
        </is>
      </c>
      <c r="F61" s="47" t="inlineStr">
        <is>
          <t>Máq. e equip. industriais</t>
        </is>
      </c>
      <c r="G61" s="50" t="inlineStr">
        <is>
          <t>SIM</t>
        </is>
      </c>
      <c r="H61" s="51" t="inlineStr">
        <is>
          <t>TAXA DE JUROS/CRESCIMENTO ECONOMICO</t>
        </is>
      </c>
    </row>
    <row r="62">
      <c r="A62" s="47" t="inlineStr">
        <is>
          <t>BALM3</t>
        </is>
      </c>
      <c r="B62" s="47" t="inlineStr">
        <is>
          <t>Baumer</t>
        </is>
      </c>
      <c r="C62" s="48" t="inlineStr">
        <is>
          <t>ON</t>
        </is>
      </c>
      <c r="D62" s="47" t="inlineStr">
        <is>
          <t>Saúde</t>
        </is>
      </c>
      <c r="E62" s="47" t="inlineStr">
        <is>
          <t>Equipamentos</t>
        </is>
      </c>
      <c r="F62" s="47" t="inlineStr">
        <is>
          <t>Equipamentos</t>
        </is>
      </c>
      <c r="G62" s="50" t="inlineStr">
        <is>
          <t>NÃO</t>
        </is>
      </c>
    </row>
    <row r="63">
      <c r="A63" s="47" t="inlineStr">
        <is>
          <t>BALM4</t>
        </is>
      </c>
      <c r="B63" s="47" t="inlineStr">
        <is>
          <t>Baumer</t>
        </is>
      </c>
      <c r="C63" s="48" t="inlineStr">
        <is>
          <t>PN</t>
        </is>
      </c>
      <c r="D63" s="47" t="inlineStr">
        <is>
          <t>Saúde</t>
        </is>
      </c>
      <c r="E63" s="47" t="inlineStr">
        <is>
          <t>Equipamentos</t>
        </is>
      </c>
      <c r="F63" s="47" t="inlineStr">
        <is>
          <t>Equipamentos</t>
        </is>
      </c>
      <c r="G63" s="50" t="inlineStr">
        <is>
          <t>NÃO</t>
        </is>
      </c>
    </row>
    <row r="64">
      <c r="A64" s="47" t="inlineStr">
        <is>
          <t>BBML3</t>
        </is>
      </c>
      <c r="B64" s="47" t="inlineStr">
        <is>
          <t>Bbmlogistica</t>
        </is>
      </c>
      <c r="C64" s="48" t="inlineStr">
        <is>
          <t>ON</t>
        </is>
      </c>
      <c r="D64" s="47" t="inlineStr">
        <is>
          <t>Bens industriais</t>
        </is>
      </c>
      <c r="E64" s="47" t="inlineStr">
        <is>
          <t>Serviços diversos</t>
        </is>
      </c>
      <c r="F64" s="47" t="inlineStr">
        <is>
          <t>Serviços diversos</t>
        </is>
      </c>
      <c r="G64" s="50" t="inlineStr">
        <is>
          <t>SIM</t>
        </is>
      </c>
      <c r="H64" s="51" t="inlineStr">
        <is>
          <t>TAXA DE JUROS/CRESCIMENTO ECONOMICO</t>
        </is>
      </c>
    </row>
    <row r="65">
      <c r="A65" s="47" t="inlineStr">
        <is>
          <t>BBSE3</t>
        </is>
      </c>
      <c r="B65" s="47" t="inlineStr">
        <is>
          <t>BBSeguridade</t>
        </is>
      </c>
      <c r="C65" s="48" t="inlineStr">
        <is>
          <t>ON</t>
        </is>
      </c>
      <c r="D65" s="47" t="inlineStr">
        <is>
          <t>Financeiro</t>
        </is>
      </c>
      <c r="E65" s="47" t="inlineStr">
        <is>
          <t>Previdência e seguros</t>
        </is>
      </c>
      <c r="F65" s="47" t="inlineStr">
        <is>
          <t>Seguradoras</t>
        </is>
      </c>
      <c r="G65" s="50" t="inlineStr">
        <is>
          <t>NÃO</t>
        </is>
      </c>
    </row>
    <row r="66">
      <c r="A66" s="47" t="inlineStr">
        <is>
          <t>BMOB3</t>
        </is>
      </c>
      <c r="B66" s="47" t="inlineStr">
        <is>
          <t>Bemobi Tech</t>
        </is>
      </c>
      <c r="C66" s="48" t="inlineStr">
        <is>
          <t>ON</t>
        </is>
      </c>
      <c r="D66" s="47" t="inlineStr">
        <is>
          <t>Tecnologia da informação</t>
        </is>
      </c>
      <c r="E66" s="47" t="inlineStr">
        <is>
          <t>Programas e serviços</t>
        </is>
      </c>
      <c r="F66" s="47" t="inlineStr">
        <is>
          <t>Programas e serviços</t>
        </is>
      </c>
      <c r="G66" s="50" t="inlineStr">
        <is>
          <t>SIM</t>
        </is>
      </c>
      <c r="H66" s="51" t="inlineStr">
        <is>
          <t>TAXA DE JUROS/CRESCIMENTO ECONOMICO</t>
        </is>
      </c>
    </row>
    <row r="67">
      <c r="A67" s="47" t="inlineStr">
        <is>
          <t>BETP3</t>
        </is>
      </c>
      <c r="B67" s="47" t="inlineStr">
        <is>
          <t>Betapart</t>
        </is>
      </c>
      <c r="C67" s="48" t="inlineStr">
        <is>
          <t>ON</t>
        </is>
      </c>
      <c r="D67" s="47" t="inlineStr">
        <is>
          <t>Outros</t>
        </is>
      </c>
      <c r="E67" s="47" t="inlineStr">
        <is>
          <t>Outros</t>
        </is>
      </c>
      <c r="F67" s="47" t="inlineStr">
        <is>
          <t>Outros</t>
        </is>
      </c>
    </row>
    <row r="68">
      <c r="A68" s="47" t="inlineStr">
        <is>
          <t>BMKS3</t>
        </is>
      </c>
      <c r="B68" s="47" t="inlineStr">
        <is>
          <t>Bic Monark</t>
        </is>
      </c>
      <c r="C68" s="48" t="inlineStr">
        <is>
          <t>ON</t>
        </is>
      </c>
      <c r="D68" s="47" t="inlineStr">
        <is>
          <t>Consumo cíclico</t>
        </is>
      </c>
      <c r="E68" s="47" t="inlineStr">
        <is>
          <t>Viagens e lazer</t>
        </is>
      </c>
      <c r="F68" s="47" t="inlineStr">
        <is>
          <t>Bicicletas</t>
        </is>
      </c>
      <c r="G68" s="50" t="inlineStr">
        <is>
          <t>SIM</t>
        </is>
      </c>
      <c r="H68" s="51" t="inlineStr">
        <is>
          <t>TAXA DE JUROS/CRESCIMENTO ECONOMICO</t>
        </is>
      </c>
    </row>
    <row r="69">
      <c r="A69" s="47" t="inlineStr">
        <is>
          <t>BIOM3</t>
        </is>
      </c>
      <c r="B69" s="47" t="inlineStr">
        <is>
          <t>Biomm</t>
        </is>
      </c>
      <c r="C69" s="48" t="inlineStr">
        <is>
          <t>ON</t>
        </is>
      </c>
      <c r="D69" s="47" t="inlineStr">
        <is>
          <t>Saúde</t>
        </is>
      </c>
      <c r="E69" s="47" t="inlineStr">
        <is>
          <t>Medicamentos e outros produtos</t>
        </is>
      </c>
      <c r="F69" s="47" t="inlineStr">
        <is>
          <t>Medicamentos e outros produtos</t>
        </is>
      </c>
      <c r="G69" s="50" t="inlineStr">
        <is>
          <t>NÃO</t>
        </is>
      </c>
    </row>
    <row r="70">
      <c r="A70" s="47" t="inlineStr">
        <is>
          <t>BLAU3</t>
        </is>
      </c>
      <c r="B70" s="47" t="inlineStr">
        <is>
          <t>Blau</t>
        </is>
      </c>
      <c r="C70" s="48" t="inlineStr">
        <is>
          <t>ON</t>
        </is>
      </c>
      <c r="D70" s="47" t="inlineStr">
        <is>
          <t>Saúde</t>
        </is>
      </c>
      <c r="E70" s="47" t="inlineStr">
        <is>
          <t>Comércio e distribuição</t>
        </is>
      </c>
      <c r="F70" s="47" t="inlineStr">
        <is>
          <t>Medicamentos e outros produtos</t>
        </is>
      </c>
      <c r="G70" s="50" t="inlineStr">
        <is>
          <t>NÃO</t>
        </is>
      </c>
    </row>
    <row r="71">
      <c r="A71" s="47" t="inlineStr">
        <is>
          <t>SOJA3</t>
        </is>
      </c>
      <c r="B71" s="47" t="inlineStr">
        <is>
          <t>Boa Safra</t>
        </is>
      </c>
      <c r="C71" s="48" t="inlineStr">
        <is>
          <t>ON</t>
        </is>
      </c>
      <c r="D71" s="47" t="inlineStr">
        <is>
          <t>Consumo não cíclico</t>
        </is>
      </c>
      <c r="E71" s="47" t="inlineStr">
        <is>
          <t>Agropecuária</t>
        </is>
      </c>
      <c r="F71" s="47" t="inlineStr">
        <is>
          <t>Agricultura</t>
        </is>
      </c>
      <c r="G71" s="50" t="inlineStr">
        <is>
          <t>SIM</t>
        </is>
      </c>
      <c r="H71" s="51" t="inlineStr">
        <is>
          <t>COMMODITIES/DÓLAR</t>
        </is>
      </c>
    </row>
    <row r="72">
      <c r="A72" s="47" t="inlineStr">
        <is>
          <t>BOBR3</t>
        </is>
      </c>
      <c r="B72" s="47" t="inlineStr">
        <is>
          <t>Bombril</t>
        </is>
      </c>
      <c r="C72" s="48" t="inlineStr">
        <is>
          <t>ON</t>
        </is>
      </c>
      <c r="D72" s="47" t="inlineStr">
        <is>
          <t>Consumo não cíclico</t>
        </is>
      </c>
      <c r="E72" s="47" t="inlineStr">
        <is>
          <t>Produtos de uso pessoal e de limpeza</t>
        </is>
      </c>
      <c r="F72" s="47" t="inlineStr">
        <is>
          <t>Produtos de limpeza</t>
        </is>
      </c>
      <c r="G72" s="50" t="inlineStr">
        <is>
          <t>SIM</t>
        </is>
      </c>
      <c r="H72" s="51" t="inlineStr">
        <is>
          <t>COMMODITIES/DÓLAR</t>
        </is>
      </c>
    </row>
    <row r="73">
      <c r="A73" s="47" t="inlineStr">
        <is>
          <t>BOBR4</t>
        </is>
      </c>
      <c r="B73" s="47" t="inlineStr">
        <is>
          <t>Bombril</t>
        </is>
      </c>
      <c r="C73" s="48" t="inlineStr">
        <is>
          <t>PN</t>
        </is>
      </c>
      <c r="D73" s="47" t="inlineStr">
        <is>
          <t>Consumo não cíclico</t>
        </is>
      </c>
      <c r="E73" s="47" t="inlineStr">
        <is>
          <t>Produtos de uso pessoal e de limpeza</t>
        </is>
      </c>
      <c r="F73" s="47" t="inlineStr">
        <is>
          <t>Produtos de limpeza</t>
        </is>
      </c>
      <c r="G73" s="50" t="inlineStr">
        <is>
          <t>SIM</t>
        </is>
      </c>
      <c r="H73" s="51" t="inlineStr">
        <is>
          <t>COMMODITIES/DÓLAR</t>
        </is>
      </c>
    </row>
    <row r="74">
      <c r="A74" s="47" t="inlineStr">
        <is>
          <t>BRBI11</t>
        </is>
      </c>
      <c r="B74" s="47" t="inlineStr">
        <is>
          <t>BR Partners</t>
        </is>
      </c>
      <c r="C74" s="48" t="inlineStr">
        <is>
          <t>UNT N2</t>
        </is>
      </c>
      <c r="D74" s="47" t="inlineStr">
        <is>
          <t>Financeiro</t>
        </is>
      </c>
      <c r="E74" s="47" t="inlineStr">
        <is>
          <t>Intermediários financeiros</t>
        </is>
      </c>
      <c r="F74" s="47" t="inlineStr">
        <is>
          <t>Bancos</t>
        </is>
      </c>
      <c r="G74" s="50" t="inlineStr">
        <is>
          <t>NÃO</t>
        </is>
      </c>
    </row>
    <row r="75">
      <c r="A75" s="47" t="inlineStr">
        <is>
          <t>BBDC3</t>
        </is>
      </c>
      <c r="B75" s="47" t="inlineStr">
        <is>
          <t>Bradesco</t>
        </is>
      </c>
      <c r="C75" s="48" t="inlineStr">
        <is>
          <t>ON</t>
        </is>
      </c>
      <c r="D75" s="47" t="inlineStr">
        <is>
          <t>Financeiro</t>
        </is>
      </c>
      <c r="E75" s="47" t="inlineStr">
        <is>
          <t>Intermediários financeiros</t>
        </is>
      </c>
      <c r="F75" s="47" t="inlineStr">
        <is>
          <t>Bancos</t>
        </is>
      </c>
      <c r="G75" s="50" t="inlineStr">
        <is>
          <t>NÃO</t>
        </is>
      </c>
    </row>
    <row r="76">
      <c r="A76" s="47" t="inlineStr">
        <is>
          <t>BBDC4</t>
        </is>
      </c>
      <c r="B76" s="47" t="inlineStr">
        <is>
          <t>Bradesco</t>
        </is>
      </c>
      <c r="C76" s="48" t="inlineStr">
        <is>
          <t>PN</t>
        </is>
      </c>
      <c r="D76" s="47" t="inlineStr">
        <is>
          <t>Financeiro</t>
        </is>
      </c>
      <c r="E76" s="47" t="inlineStr">
        <is>
          <t>Intermediários financeiros</t>
        </is>
      </c>
      <c r="F76" s="47" t="inlineStr">
        <is>
          <t>Bancos</t>
        </is>
      </c>
      <c r="G76" s="50" t="inlineStr">
        <is>
          <t>NÃO</t>
        </is>
      </c>
    </row>
    <row r="77">
      <c r="A77" s="47" t="inlineStr">
        <is>
          <t>BRAP3</t>
        </is>
      </c>
      <c r="B77" s="47" t="inlineStr">
        <is>
          <t>Bradespar</t>
        </is>
      </c>
      <c r="C77" s="48" t="inlineStr">
        <is>
          <t>ON</t>
        </is>
      </c>
      <c r="D77" s="47" t="inlineStr">
        <is>
          <t>Materiais básicos</t>
        </is>
      </c>
      <c r="E77" s="47" t="inlineStr">
        <is>
          <t>Mineração</t>
        </is>
      </c>
      <c r="F77" s="47" t="inlineStr">
        <is>
          <t>Minerais metálicos</t>
        </is>
      </c>
      <c r="G77" s="50" t="inlineStr">
        <is>
          <t>SIM</t>
        </is>
      </c>
      <c r="H77" s="52" t="inlineStr">
        <is>
          <t>MINÉRIO/DÓLAR</t>
        </is>
      </c>
    </row>
    <row r="78">
      <c r="A78" s="47" t="inlineStr">
        <is>
          <t>BRAP4</t>
        </is>
      </c>
      <c r="B78" s="47" t="inlineStr">
        <is>
          <t>Bradespar</t>
        </is>
      </c>
      <c r="C78" s="48" t="inlineStr">
        <is>
          <t>PN</t>
        </is>
      </c>
      <c r="D78" s="47" t="inlineStr">
        <is>
          <t>Materiais básicos</t>
        </is>
      </c>
      <c r="E78" s="47" t="inlineStr">
        <is>
          <t>Mineração</t>
        </is>
      </c>
      <c r="F78" s="47" t="inlineStr">
        <is>
          <t>Minerais metálicos</t>
        </is>
      </c>
      <c r="G78" s="50" t="inlineStr">
        <is>
          <t>SIM</t>
        </is>
      </c>
      <c r="H78" s="52" t="inlineStr">
        <is>
          <t>MINÉRIO/DÓLAR</t>
        </is>
      </c>
    </row>
    <row r="79">
      <c r="A79" s="47" t="inlineStr">
        <is>
          <t>BBAS3</t>
        </is>
      </c>
      <c r="B79" s="47" t="inlineStr">
        <is>
          <t>Brasil</t>
        </is>
      </c>
      <c r="C79" s="48" t="inlineStr">
        <is>
          <t>ON</t>
        </is>
      </c>
      <c r="D79" s="47" t="inlineStr">
        <is>
          <t>Financeiro</t>
        </is>
      </c>
      <c r="E79" s="47" t="inlineStr">
        <is>
          <t>Intermediários financeiros</t>
        </is>
      </c>
      <c r="F79" s="47" t="inlineStr">
        <is>
          <t>Bancos</t>
        </is>
      </c>
      <c r="G79" s="50" t="inlineStr">
        <is>
          <t>NÃO</t>
        </is>
      </c>
    </row>
    <row r="80">
      <c r="A80" s="47" t="inlineStr">
        <is>
          <t>AGRO3</t>
        </is>
      </c>
      <c r="B80" s="47" t="inlineStr">
        <is>
          <t>Brasilagro</t>
        </is>
      </c>
      <c r="C80" s="48" t="inlineStr">
        <is>
          <t>ON</t>
        </is>
      </c>
      <c r="D80" s="47" t="inlineStr">
        <is>
          <t>Consumo não cíclico</t>
        </is>
      </c>
      <c r="E80" s="47" t="inlineStr">
        <is>
          <t>Agropecuária</t>
        </is>
      </c>
      <c r="F80" s="47" t="inlineStr">
        <is>
          <t>Agricultura</t>
        </is>
      </c>
      <c r="G80" s="50" t="inlineStr">
        <is>
          <t>SIM</t>
        </is>
      </c>
      <c r="H80" s="51" t="inlineStr">
        <is>
          <t>COMMODITIES/DÓLAR</t>
        </is>
      </c>
    </row>
    <row r="81">
      <c r="A81" s="47" t="inlineStr">
        <is>
          <t>BRKM3</t>
        </is>
      </c>
      <c r="B81" s="47" t="inlineStr">
        <is>
          <t>Braskem</t>
        </is>
      </c>
      <c r="C81" s="48" t="inlineStr">
        <is>
          <t>ON</t>
        </is>
      </c>
      <c r="D81" s="47" t="inlineStr">
        <is>
          <t>Materiais básicos</t>
        </is>
      </c>
      <c r="E81" s="47" t="inlineStr">
        <is>
          <t>Químicos</t>
        </is>
      </c>
      <c r="F81" s="47" t="inlineStr">
        <is>
          <t>Petroquímicos</t>
        </is>
      </c>
      <c r="G81" s="50" t="inlineStr">
        <is>
          <t>SIM</t>
        </is>
      </c>
      <c r="H81" s="51" t="inlineStr">
        <is>
          <t>DÓLAR</t>
        </is>
      </c>
    </row>
    <row r="82">
      <c r="A82" s="47" t="inlineStr">
        <is>
          <t>BRKM5</t>
        </is>
      </c>
      <c r="B82" s="47" t="inlineStr">
        <is>
          <t>Braskem</t>
        </is>
      </c>
      <c r="C82" s="48" t="inlineStr">
        <is>
          <t>PNA</t>
        </is>
      </c>
      <c r="D82" s="47" t="inlineStr">
        <is>
          <t>Materiais básicos</t>
        </is>
      </c>
      <c r="E82" s="47" t="inlineStr">
        <is>
          <t>Químicos</t>
        </is>
      </c>
      <c r="F82" s="47" t="inlineStr">
        <is>
          <t>Petroquímicos</t>
        </is>
      </c>
      <c r="G82" s="50" t="inlineStr">
        <is>
          <t>SIM</t>
        </is>
      </c>
      <c r="H82" s="51" t="inlineStr">
        <is>
          <t>DÓLAR</t>
        </is>
      </c>
    </row>
    <row r="83">
      <c r="A83" s="47" t="inlineStr">
        <is>
          <t>BRKM6</t>
        </is>
      </c>
      <c r="B83" s="47" t="inlineStr">
        <is>
          <t>Braskem</t>
        </is>
      </c>
      <c r="C83" s="48" t="inlineStr">
        <is>
          <t>PNB</t>
        </is>
      </c>
      <c r="D83" s="47" t="inlineStr">
        <is>
          <t>Materiais básicos</t>
        </is>
      </c>
      <c r="E83" s="47" t="inlineStr">
        <is>
          <t>Químicos</t>
        </is>
      </c>
      <c r="F83" s="47" t="inlineStr">
        <is>
          <t>Petroquímicos</t>
        </is>
      </c>
      <c r="G83" s="50" t="inlineStr">
        <is>
          <t>SIM</t>
        </is>
      </c>
      <c r="H83" s="51" t="inlineStr">
        <is>
          <t>DÓLAR</t>
        </is>
      </c>
    </row>
    <row r="84">
      <c r="A84" s="47" t="inlineStr">
        <is>
          <t>BSLI3</t>
        </is>
      </c>
      <c r="B84" s="47" t="inlineStr">
        <is>
          <t>BRB Banco</t>
        </is>
      </c>
      <c r="C84" s="48" t="inlineStr">
        <is>
          <t>ON</t>
        </is>
      </c>
      <c r="D84" s="47" t="inlineStr">
        <is>
          <t>Financeiro</t>
        </is>
      </c>
      <c r="E84" s="47" t="inlineStr">
        <is>
          <t>Intermediários financeiros</t>
        </is>
      </c>
      <c r="F84" s="47" t="inlineStr">
        <is>
          <t>Bancos</t>
        </is>
      </c>
      <c r="G84" s="50" t="inlineStr">
        <is>
          <t>NÃO</t>
        </is>
      </c>
    </row>
    <row r="85">
      <c r="A85" s="47" t="inlineStr">
        <is>
          <t>BSLI4</t>
        </is>
      </c>
      <c r="B85" s="47" t="inlineStr">
        <is>
          <t>BRB Banco</t>
        </is>
      </c>
      <c r="C85" s="48" t="inlineStr">
        <is>
          <t>PN</t>
        </is>
      </c>
      <c r="D85" s="47" t="inlineStr">
        <is>
          <t>Financeiro</t>
        </is>
      </c>
      <c r="E85" s="47" t="inlineStr">
        <is>
          <t>Intermediários financeiros</t>
        </is>
      </c>
      <c r="F85" s="47" t="inlineStr">
        <is>
          <t>Bancos</t>
        </is>
      </c>
      <c r="G85" s="50" t="inlineStr">
        <is>
          <t>NÃO</t>
        </is>
      </c>
    </row>
    <row r="86">
      <c r="A86" s="47" t="inlineStr">
        <is>
          <t>BRFS3</t>
        </is>
      </c>
      <c r="B86" s="47" t="inlineStr">
        <is>
          <t>BRF SA</t>
        </is>
      </c>
      <c r="C86" s="48" t="inlineStr">
        <is>
          <t>ON</t>
        </is>
      </c>
      <c r="D86" s="47" t="inlineStr">
        <is>
          <t>Consumo não cíclico</t>
        </is>
      </c>
      <c r="E86" s="47" t="inlineStr">
        <is>
          <t>Alimentos processados</t>
        </is>
      </c>
      <c r="F86" s="47" t="inlineStr">
        <is>
          <t>Carnes e derivados</t>
        </is>
      </c>
      <c r="G86" s="50" t="inlineStr">
        <is>
          <t>SIM</t>
        </is>
      </c>
      <c r="H86" s="51" t="inlineStr">
        <is>
          <t>COMMODITIES/DÓLAR</t>
        </is>
      </c>
    </row>
    <row r="87">
      <c r="A87" s="47" t="inlineStr">
        <is>
          <t>BRIT3</t>
        </is>
      </c>
      <c r="B87" s="47" t="inlineStr">
        <is>
          <t>Brisanet</t>
        </is>
      </c>
      <c r="C87" s="48" t="inlineStr">
        <is>
          <t>ON</t>
        </is>
      </c>
      <c r="D87" s="47" t="inlineStr">
        <is>
          <t>Comunicações</t>
        </is>
      </c>
      <c r="E87" s="47" t="inlineStr">
        <is>
          <t>Telecomunicações</t>
        </is>
      </c>
      <c r="F87" s="47" t="inlineStr">
        <is>
          <t>Telecomunicações</t>
        </is>
      </c>
      <c r="G87" s="50" t="inlineStr">
        <is>
          <t>SIM</t>
        </is>
      </c>
      <c r="H87" s="51" t="inlineStr">
        <is>
          <t>TAXA DE JUROS/CRESCIMENTO ECONOMICO</t>
        </is>
      </c>
    </row>
    <row r="88">
      <c r="A88" s="47" t="inlineStr">
        <is>
          <t>BRQB3</t>
        </is>
      </c>
      <c r="B88" s="47" t="inlineStr">
        <is>
          <t>Brq</t>
        </is>
      </c>
      <c r="C88" s="48" t="inlineStr">
        <is>
          <t>ON</t>
        </is>
      </c>
      <c r="D88" s="47" t="inlineStr">
        <is>
          <t>Tecnologia da informação</t>
        </is>
      </c>
      <c r="E88" s="47" t="inlineStr">
        <is>
          <t>Programas e serviços</t>
        </is>
      </c>
      <c r="F88" s="47" t="inlineStr">
        <is>
          <t>Programas e serviços</t>
        </is>
      </c>
      <c r="G88" s="50" t="inlineStr">
        <is>
          <t>SIM</t>
        </is>
      </c>
      <c r="H88" s="51" t="inlineStr">
        <is>
          <t>TAXA DE JUROS/CRESCIMENTO ECONOMICO</t>
        </is>
      </c>
    </row>
    <row r="89">
      <c r="A89" s="47" t="inlineStr">
        <is>
          <t>BPAC3</t>
        </is>
      </c>
      <c r="B89" s="47" t="inlineStr">
        <is>
          <t>Btgp Banco</t>
        </is>
      </c>
      <c r="C89" s="48" t="inlineStr">
        <is>
          <t>ON</t>
        </is>
      </c>
      <c r="D89" s="47" t="inlineStr">
        <is>
          <t>Financeiro</t>
        </is>
      </c>
      <c r="E89" s="47" t="inlineStr">
        <is>
          <t>Intermediários financeiros</t>
        </is>
      </c>
      <c r="F89" s="47" t="inlineStr">
        <is>
          <t>Bancos</t>
        </is>
      </c>
      <c r="G89" s="50" t="inlineStr">
        <is>
          <t>NÃO</t>
        </is>
      </c>
    </row>
    <row r="90">
      <c r="A90" s="47" t="inlineStr">
        <is>
          <t>BPAC5</t>
        </is>
      </c>
      <c r="B90" s="47" t="inlineStr">
        <is>
          <t>Btgp Banco</t>
        </is>
      </c>
      <c r="C90" s="48" t="inlineStr">
        <is>
          <t>PNA</t>
        </is>
      </c>
      <c r="D90" s="47" t="inlineStr">
        <is>
          <t>Financeiro</t>
        </is>
      </c>
      <c r="E90" s="47" t="inlineStr">
        <is>
          <t>Intermediários financeiros</t>
        </is>
      </c>
      <c r="F90" s="47" t="inlineStr">
        <is>
          <t>Bancos</t>
        </is>
      </c>
      <c r="G90" s="50" t="inlineStr">
        <is>
          <t>NÃO</t>
        </is>
      </c>
    </row>
    <row r="91">
      <c r="A91" s="47" t="inlineStr">
        <is>
          <t>BPAC11</t>
        </is>
      </c>
      <c r="B91" s="47" t="inlineStr">
        <is>
          <t>Btgp Banco</t>
        </is>
      </c>
      <c r="C91" s="48" t="inlineStr">
        <is>
          <t>UNT</t>
        </is>
      </c>
      <c r="D91" s="47" t="inlineStr">
        <is>
          <t>Financeiro</t>
        </is>
      </c>
      <c r="E91" s="47" t="inlineStr">
        <is>
          <t>Intermediários financeiros</t>
        </is>
      </c>
      <c r="F91" s="47" t="inlineStr">
        <is>
          <t>Bancos</t>
        </is>
      </c>
      <c r="G91" s="50" t="inlineStr">
        <is>
          <t>NÃO</t>
        </is>
      </c>
    </row>
    <row r="92">
      <c r="A92" s="47" t="inlineStr">
        <is>
          <t>CXSE3</t>
        </is>
      </c>
      <c r="B92" s="47" t="inlineStr">
        <is>
          <t>Caixa Seguri</t>
        </is>
      </c>
      <c r="C92" s="48" t="inlineStr">
        <is>
          <t>ON</t>
        </is>
      </c>
      <c r="D92" s="47" t="inlineStr">
        <is>
          <t>Financeiro</t>
        </is>
      </c>
      <c r="E92" s="47" t="inlineStr">
        <is>
          <t>Previdência e seguros</t>
        </is>
      </c>
      <c r="F92" s="47" t="inlineStr">
        <is>
          <t>Seguradoras</t>
        </is>
      </c>
      <c r="G92" s="50" t="inlineStr">
        <is>
          <t>NÃO</t>
        </is>
      </c>
    </row>
    <row r="93">
      <c r="A93" s="47" t="inlineStr">
        <is>
          <t>CAMB3</t>
        </is>
      </c>
      <c r="B93" s="47" t="inlineStr">
        <is>
          <t>Cambuci</t>
        </is>
      </c>
      <c r="C93" s="48" t="inlineStr">
        <is>
          <t>ON</t>
        </is>
      </c>
      <c r="D93" s="47" t="inlineStr">
        <is>
          <t>Consumo cíclico</t>
        </is>
      </c>
      <c r="E93" s="47" t="inlineStr">
        <is>
          <t>Tecidos vestuário e calçados</t>
        </is>
      </c>
      <c r="F93" s="47" t="inlineStr">
        <is>
          <t>Calçados</t>
        </is>
      </c>
      <c r="G93" s="50" t="inlineStr">
        <is>
          <t>SIM</t>
        </is>
      </c>
      <c r="H93" s="51" t="inlineStr">
        <is>
          <t>TAXA DE JUROS/CRESCIMENTO ECONOMICO</t>
        </is>
      </c>
    </row>
    <row r="94">
      <c r="A94" s="47" t="inlineStr">
        <is>
          <t>CAML3</t>
        </is>
      </c>
      <c r="B94" s="47" t="inlineStr">
        <is>
          <t>Camil</t>
        </is>
      </c>
      <c r="C94" s="48" t="inlineStr">
        <is>
          <t>ON</t>
        </is>
      </c>
      <c r="D94" s="47" t="inlineStr">
        <is>
          <t>Consumo não cíclico</t>
        </is>
      </c>
      <c r="E94" s="47" t="inlineStr">
        <is>
          <t>Alimentos processados</t>
        </is>
      </c>
      <c r="F94" s="47" t="inlineStr">
        <is>
          <t>Alimentos diversos</t>
        </is>
      </c>
      <c r="G94" s="50" t="inlineStr">
        <is>
          <t>SIM</t>
        </is>
      </c>
      <c r="H94" s="51" t="inlineStr">
        <is>
          <t>COMMODITIES/DÓLAR</t>
        </is>
      </c>
    </row>
    <row r="95">
      <c r="A95" s="47" t="inlineStr">
        <is>
          <t>CRFB3</t>
        </is>
      </c>
      <c r="B95" s="47" t="inlineStr">
        <is>
          <t>Carrefour BR</t>
        </is>
      </c>
      <c r="C95" s="48" t="inlineStr">
        <is>
          <t>ON</t>
        </is>
      </c>
      <c r="D95" s="47" t="inlineStr">
        <is>
          <t>Consumo não cíclico</t>
        </is>
      </c>
      <c r="E95" s="47" t="inlineStr">
        <is>
          <t>Comércio e distribuição</t>
        </is>
      </c>
      <c r="F95" s="47" t="inlineStr">
        <is>
          <t>Alimentos</t>
        </is>
      </c>
      <c r="G95" s="50" t="inlineStr">
        <is>
          <t>SIM</t>
        </is>
      </c>
      <c r="H95" s="51" t="inlineStr">
        <is>
          <t>TAXA DE JUROS/CRESCIMENTO ECONOMICO</t>
        </is>
      </c>
    </row>
    <row r="96">
      <c r="A96" s="47" t="inlineStr">
        <is>
          <t>CASN3</t>
        </is>
      </c>
      <c r="B96" s="47" t="inlineStr">
        <is>
          <t>Casan</t>
        </is>
      </c>
      <c r="C96" s="48" t="inlineStr">
        <is>
          <t>ON</t>
        </is>
      </c>
      <c r="D96" s="47" t="inlineStr">
        <is>
          <t>Utilidade pública</t>
        </is>
      </c>
      <c r="E96" s="47" t="inlineStr">
        <is>
          <t>Água e saneamento</t>
        </is>
      </c>
      <c r="F96" s="47" t="inlineStr">
        <is>
          <t>Água e saneamento</t>
        </is>
      </c>
      <c r="G96" s="50" t="inlineStr">
        <is>
          <t>NÃO</t>
        </is>
      </c>
    </row>
    <row r="97">
      <c r="A97" s="47" t="inlineStr">
        <is>
          <t>CASN4</t>
        </is>
      </c>
      <c r="B97" s="47" t="inlineStr">
        <is>
          <t>Casan</t>
        </is>
      </c>
      <c r="C97" s="48" t="inlineStr">
        <is>
          <t>PN</t>
        </is>
      </c>
      <c r="D97" s="47" t="inlineStr">
        <is>
          <t>Utilidade pública</t>
        </is>
      </c>
      <c r="E97" s="47" t="inlineStr">
        <is>
          <t>Água e saneamento</t>
        </is>
      </c>
      <c r="F97" s="47" t="inlineStr">
        <is>
          <t>Água e saneamento</t>
        </is>
      </c>
      <c r="G97" s="50" t="inlineStr">
        <is>
          <t>NÃO</t>
        </is>
      </c>
    </row>
    <row r="98">
      <c r="A98" s="47" t="inlineStr">
        <is>
          <t>BHIA3</t>
        </is>
      </c>
      <c r="B98" s="47" t="inlineStr">
        <is>
          <t>Casas Bahia</t>
        </is>
      </c>
      <c r="C98" s="48" t="inlineStr">
        <is>
          <t>ON</t>
        </is>
      </c>
      <c r="D98" s="47" t="inlineStr">
        <is>
          <t>Consumo cíclico</t>
        </is>
      </c>
      <c r="E98" s="47" t="inlineStr">
        <is>
          <t>Comércio</t>
        </is>
      </c>
      <c r="F98" s="47" t="inlineStr">
        <is>
          <t>Eletrodomésticos</t>
        </is>
      </c>
      <c r="G98" s="50" t="inlineStr">
        <is>
          <t>SIM</t>
        </is>
      </c>
      <c r="H98" s="51" t="inlineStr">
        <is>
          <t>TAXA DE JUROS/CRESCIMENTO ECONOMICO</t>
        </is>
      </c>
    </row>
    <row r="99">
      <c r="A99" s="47" t="inlineStr">
        <is>
          <t>CBAV3</t>
        </is>
      </c>
      <c r="B99" s="47" t="inlineStr">
        <is>
          <t>Cba</t>
        </is>
      </c>
      <c r="C99" s="48" t="inlineStr">
        <is>
          <t>ON</t>
        </is>
      </c>
      <c r="D99" s="47" t="inlineStr">
        <is>
          <t>Materiais básicos</t>
        </is>
      </c>
      <c r="E99" s="47" t="inlineStr">
        <is>
          <t>Mineração</t>
        </is>
      </c>
      <c r="F99" s="47" t="inlineStr">
        <is>
          <t>Minerais metálicos</t>
        </is>
      </c>
      <c r="G99" s="50" t="inlineStr">
        <is>
          <t>SIM</t>
        </is>
      </c>
      <c r="H99" s="52" t="inlineStr">
        <is>
          <t>MINÉRIO/DÓLAR</t>
        </is>
      </c>
    </row>
    <row r="100">
      <c r="A100" s="47" t="inlineStr">
        <is>
          <t>CCRO3</t>
        </is>
      </c>
      <c r="B100" s="47" t="inlineStr">
        <is>
          <t>CCR SA</t>
        </is>
      </c>
      <c r="C100" s="48" t="inlineStr">
        <is>
          <t>ON</t>
        </is>
      </c>
      <c r="D100" s="47" t="inlineStr">
        <is>
          <t>Bens industriais</t>
        </is>
      </c>
      <c r="E100" s="47" t="inlineStr">
        <is>
          <t>Transporte</t>
        </is>
      </c>
      <c r="F100" s="47" t="inlineStr">
        <is>
          <t>Exploração de rodovias</t>
        </is>
      </c>
      <c r="G100" s="50" t="inlineStr">
        <is>
          <t>SIM</t>
        </is>
      </c>
      <c r="H100" s="51" t="inlineStr">
        <is>
          <t>TAXA DE JUROS/CRESCIMENTO ECONOMICO</t>
        </is>
      </c>
    </row>
    <row r="101">
      <c r="A101" s="47" t="inlineStr">
        <is>
          <t>CEAB3</t>
        </is>
      </c>
      <c r="B101" s="47" t="inlineStr">
        <is>
          <t>Cea Modas</t>
        </is>
      </c>
      <c r="C101" s="48" t="inlineStr">
        <is>
          <t>ON</t>
        </is>
      </c>
      <c r="D101" s="47" t="inlineStr">
        <is>
          <t>Consumo cíclico</t>
        </is>
      </c>
      <c r="E101" s="47" t="inlineStr">
        <is>
          <t>Comércio</t>
        </is>
      </c>
      <c r="F101" s="47" t="inlineStr">
        <is>
          <t>Tecidos vestuário e calçados</t>
        </is>
      </c>
      <c r="G101" s="50" t="inlineStr">
        <is>
          <t>SIM</t>
        </is>
      </c>
      <c r="H101" s="51" t="inlineStr">
        <is>
          <t>TAXA DE JUROS/CRESCIMENTO ECONOMICO</t>
        </is>
      </c>
    </row>
    <row r="102">
      <c r="A102" s="47" t="inlineStr">
        <is>
          <t>CEBR3</t>
        </is>
      </c>
      <c r="B102" s="47" t="inlineStr">
        <is>
          <t>Ceb</t>
        </is>
      </c>
      <c r="C102" s="48" t="inlineStr">
        <is>
          <t>ON</t>
        </is>
      </c>
      <c r="D102" s="47" t="inlineStr">
        <is>
          <t>Utilidade pública</t>
        </is>
      </c>
      <c r="E102" s="47" t="inlineStr">
        <is>
          <t>Energia elétrica</t>
        </is>
      </c>
      <c r="F102" s="47" t="inlineStr">
        <is>
          <t>Energia elétrica</t>
        </is>
      </c>
      <c r="G102" s="50" t="inlineStr">
        <is>
          <t>NÃO</t>
        </is>
      </c>
    </row>
    <row r="103">
      <c r="A103" s="47" t="inlineStr">
        <is>
          <t>CEBR5</t>
        </is>
      </c>
      <c r="B103" s="47" t="inlineStr">
        <is>
          <t>Ceb</t>
        </is>
      </c>
      <c r="C103" s="48" t="inlineStr">
        <is>
          <t>PNA</t>
        </is>
      </c>
      <c r="D103" s="47" t="inlineStr">
        <is>
          <t>Utilidade pública</t>
        </is>
      </c>
      <c r="E103" s="47" t="inlineStr">
        <is>
          <t>Energia elétrica</t>
        </is>
      </c>
      <c r="F103" s="47" t="inlineStr">
        <is>
          <t>Energia elétrica</t>
        </is>
      </c>
      <c r="G103" s="50" t="inlineStr">
        <is>
          <t>NÃO</t>
        </is>
      </c>
    </row>
    <row r="104">
      <c r="A104" s="47" t="inlineStr">
        <is>
          <t>CEBR6</t>
        </is>
      </c>
      <c r="B104" s="47" t="inlineStr">
        <is>
          <t>Ceb</t>
        </is>
      </c>
      <c r="C104" s="48" t="inlineStr">
        <is>
          <t>PNB</t>
        </is>
      </c>
      <c r="D104" s="47" t="inlineStr">
        <is>
          <t>Utilidade pública</t>
        </is>
      </c>
      <c r="E104" s="47" t="inlineStr">
        <is>
          <t>Energia elétrica</t>
        </is>
      </c>
      <c r="F104" s="47" t="inlineStr">
        <is>
          <t>Energia elétrica</t>
        </is>
      </c>
      <c r="G104" s="50" t="inlineStr">
        <is>
          <t>NÃO</t>
        </is>
      </c>
    </row>
    <row r="105">
      <c r="A105" s="47" t="inlineStr">
        <is>
          <t>CEDO3</t>
        </is>
      </c>
      <c r="B105" s="47" t="inlineStr">
        <is>
          <t>Cedro</t>
        </is>
      </c>
      <c r="C105" s="48" t="inlineStr">
        <is>
          <t>ON</t>
        </is>
      </c>
      <c r="D105" s="47" t="inlineStr">
        <is>
          <t>Consumo cíclico</t>
        </is>
      </c>
      <c r="E105" s="47" t="inlineStr">
        <is>
          <t>Tecidos vestuário e calçados</t>
        </is>
      </c>
      <c r="F105" s="47" t="inlineStr">
        <is>
          <t>Fios e tecidos</t>
        </is>
      </c>
      <c r="G105" s="50" t="inlineStr">
        <is>
          <t>SIM</t>
        </is>
      </c>
      <c r="H105" s="51" t="inlineStr">
        <is>
          <t>TAXA DE JUROS/CRESCIMENTO ECONOMICO</t>
        </is>
      </c>
    </row>
    <row r="106">
      <c r="A106" s="47" t="inlineStr">
        <is>
          <t>CEDO4</t>
        </is>
      </c>
      <c r="B106" s="47" t="inlineStr">
        <is>
          <t>Cedro</t>
        </is>
      </c>
      <c r="C106" s="48" t="inlineStr">
        <is>
          <t>PN</t>
        </is>
      </c>
      <c r="D106" s="47" t="inlineStr">
        <is>
          <t>Consumo cíclico</t>
        </is>
      </c>
      <c r="E106" s="47" t="inlineStr">
        <is>
          <t>Tecidos vestuário e calçados</t>
        </is>
      </c>
      <c r="F106" s="47" t="inlineStr">
        <is>
          <t>Fios e tecidos</t>
        </is>
      </c>
      <c r="G106" s="50" t="inlineStr">
        <is>
          <t>SIM</t>
        </is>
      </c>
      <c r="H106" s="51" t="inlineStr">
        <is>
          <t>TAXA DE JUROS/CRESCIMENTO ECONOMICO</t>
        </is>
      </c>
    </row>
    <row r="107">
      <c r="A107" s="47" t="inlineStr">
        <is>
          <t>CEED3</t>
        </is>
      </c>
      <c r="B107" s="47" t="inlineStr">
        <is>
          <t>Ceee-D</t>
        </is>
      </c>
      <c r="C107" s="48" t="inlineStr">
        <is>
          <t>ON</t>
        </is>
      </c>
      <c r="D107" s="47" t="inlineStr">
        <is>
          <t>Utilidade pública</t>
        </is>
      </c>
      <c r="E107" s="47" t="inlineStr">
        <is>
          <t>Energia elétrica</t>
        </is>
      </c>
      <c r="F107" s="47" t="inlineStr">
        <is>
          <t>Energia elétrica</t>
        </is>
      </c>
      <c r="G107" s="50" t="inlineStr">
        <is>
          <t>NÃO</t>
        </is>
      </c>
    </row>
    <row r="108">
      <c r="A108" s="47" t="inlineStr">
        <is>
          <t>CEED4</t>
        </is>
      </c>
      <c r="B108" s="47" t="inlineStr">
        <is>
          <t>Ceee-D</t>
        </is>
      </c>
      <c r="C108" s="48" t="inlineStr">
        <is>
          <t>PN</t>
        </is>
      </c>
      <c r="D108" s="47" t="inlineStr">
        <is>
          <t>Utilidade pública</t>
        </is>
      </c>
      <c r="E108" s="47" t="inlineStr">
        <is>
          <t>Energia elétrica</t>
        </is>
      </c>
      <c r="F108" s="47" t="inlineStr">
        <is>
          <t>Energia elétrica</t>
        </is>
      </c>
      <c r="G108" s="50" t="inlineStr">
        <is>
          <t>NÃO</t>
        </is>
      </c>
    </row>
    <row r="109">
      <c r="A109" s="47" t="inlineStr">
        <is>
          <t>CGEE3</t>
        </is>
      </c>
      <c r="B109" s="47" t="inlineStr">
        <is>
          <t>Ceee-G</t>
        </is>
      </c>
      <c r="C109" s="48" t="inlineStr">
        <is>
          <t>ON</t>
        </is>
      </c>
      <c r="D109" s="47" t="inlineStr">
        <is>
          <t>Utilidade pública</t>
        </is>
      </c>
      <c r="E109" s="47" t="inlineStr">
        <is>
          <t>Energia elétrica</t>
        </is>
      </c>
      <c r="F109" s="47" t="inlineStr">
        <is>
          <t>Energia elétrica</t>
        </is>
      </c>
      <c r="G109" s="50" t="inlineStr">
        <is>
          <t>NÃO</t>
        </is>
      </c>
    </row>
    <row r="110">
      <c r="A110" s="47" t="inlineStr">
        <is>
          <t>CGEE4</t>
        </is>
      </c>
      <c r="B110" s="47" t="inlineStr">
        <is>
          <t>Ceee-G</t>
        </is>
      </c>
      <c r="C110" s="48" t="inlineStr">
        <is>
          <t>PN</t>
        </is>
      </c>
      <c r="D110" s="47" t="inlineStr">
        <is>
          <t>Utilidade pública</t>
        </is>
      </c>
      <c r="E110" s="47" t="inlineStr">
        <is>
          <t>Energia elétrica</t>
        </is>
      </c>
      <c r="F110" s="47" t="inlineStr">
        <is>
          <t>Energia elétrica</t>
        </is>
      </c>
      <c r="G110" s="50" t="inlineStr">
        <is>
          <t>NÃO</t>
        </is>
      </c>
    </row>
    <row r="111">
      <c r="A111" s="47" t="inlineStr">
        <is>
          <t>CEGR3</t>
        </is>
      </c>
      <c r="B111" s="47" t="inlineStr">
        <is>
          <t>Ceg</t>
        </is>
      </c>
      <c r="C111" s="48" t="inlineStr">
        <is>
          <t>ON</t>
        </is>
      </c>
      <c r="D111" s="47" t="inlineStr">
        <is>
          <t>Utilidade pública</t>
        </is>
      </c>
      <c r="E111" s="47" t="inlineStr">
        <is>
          <t>Gás</t>
        </is>
      </c>
      <c r="F111" s="47" t="inlineStr">
        <is>
          <t>Gás</t>
        </is>
      </c>
      <c r="G111" s="50" t="inlineStr">
        <is>
          <t>NÃO</t>
        </is>
      </c>
    </row>
    <row r="112">
      <c r="A112" s="47" t="inlineStr">
        <is>
          <t>CLSC3</t>
        </is>
      </c>
      <c r="B112" s="47" t="inlineStr">
        <is>
          <t>Celesc</t>
        </is>
      </c>
      <c r="C112" s="48" t="inlineStr">
        <is>
          <t>ON</t>
        </is>
      </c>
      <c r="D112" s="47" t="inlineStr">
        <is>
          <t>Utilidade pública</t>
        </is>
      </c>
      <c r="E112" s="47" t="inlineStr">
        <is>
          <t>Energia elétrica</t>
        </is>
      </c>
      <c r="F112" s="47" t="inlineStr">
        <is>
          <t>Energia elétrica</t>
        </is>
      </c>
      <c r="G112" s="50" t="inlineStr">
        <is>
          <t>NÃO</t>
        </is>
      </c>
    </row>
    <row r="113">
      <c r="A113" s="47" t="inlineStr">
        <is>
          <t>CLSC4</t>
        </is>
      </c>
      <c r="B113" s="47" t="inlineStr">
        <is>
          <t>Celesc</t>
        </is>
      </c>
      <c r="C113" s="48" t="inlineStr">
        <is>
          <t>PN</t>
        </is>
      </c>
      <c r="D113" s="47" t="inlineStr">
        <is>
          <t>Utilidade pública</t>
        </is>
      </c>
      <c r="E113" s="47" t="inlineStr">
        <is>
          <t>Energia elétrica</t>
        </is>
      </c>
      <c r="F113" s="47" t="inlineStr">
        <is>
          <t>Energia elétrica</t>
        </is>
      </c>
      <c r="G113" s="50" t="inlineStr">
        <is>
          <t>NÃO</t>
        </is>
      </c>
    </row>
    <row r="114">
      <c r="A114" s="47" t="inlineStr">
        <is>
          <t>GPAR3</t>
        </is>
      </c>
      <c r="B114" s="47" t="inlineStr">
        <is>
          <t>Celgpar</t>
        </is>
      </c>
      <c r="C114" s="48" t="inlineStr">
        <is>
          <t>ON</t>
        </is>
      </c>
      <c r="D114" s="47" t="inlineStr">
        <is>
          <t>Utilidade pública</t>
        </is>
      </c>
      <c r="E114" s="47" t="inlineStr">
        <is>
          <t>Energia elétrica</t>
        </is>
      </c>
      <c r="F114" s="47" t="inlineStr">
        <is>
          <t>Energia elétrica</t>
        </is>
      </c>
      <c r="G114" s="50" t="inlineStr">
        <is>
          <t>NÃO</t>
        </is>
      </c>
    </row>
    <row r="115">
      <c r="A115" s="47" t="inlineStr">
        <is>
          <t>MAPT3</t>
        </is>
      </c>
      <c r="B115" s="47" t="inlineStr">
        <is>
          <t>Cemepe</t>
        </is>
      </c>
      <c r="C115" s="48" t="inlineStr">
        <is>
          <t>ON</t>
        </is>
      </c>
      <c r="D115" s="47" t="inlineStr">
        <is>
          <t>Outros</t>
        </is>
      </c>
      <c r="E115" s="47" t="inlineStr">
        <is>
          <t>Outros</t>
        </is>
      </c>
      <c r="F115" s="47" t="inlineStr">
        <is>
          <t>Outros</t>
        </is>
      </c>
    </row>
    <row r="116">
      <c r="A116" s="47" t="inlineStr">
        <is>
          <t>MAPT4</t>
        </is>
      </c>
      <c r="B116" s="47" t="inlineStr">
        <is>
          <t>Cemepe</t>
        </is>
      </c>
      <c r="C116" s="48" t="inlineStr">
        <is>
          <t>PN</t>
        </is>
      </c>
      <c r="D116" s="47" t="inlineStr">
        <is>
          <t>Outros</t>
        </is>
      </c>
      <c r="E116" s="47" t="inlineStr">
        <is>
          <t>Outros</t>
        </is>
      </c>
      <c r="F116" s="47" t="inlineStr">
        <is>
          <t>Outros</t>
        </is>
      </c>
    </row>
    <row r="117">
      <c r="A117" s="47" t="inlineStr">
        <is>
          <t>CMIG3</t>
        </is>
      </c>
      <c r="B117" s="47" t="inlineStr">
        <is>
          <t>Cemig</t>
        </is>
      </c>
      <c r="C117" s="48" t="inlineStr">
        <is>
          <t>ON</t>
        </is>
      </c>
      <c r="D117" s="47" t="inlineStr">
        <is>
          <t>Utilidade pública</t>
        </is>
      </c>
      <c r="E117" s="47" t="inlineStr">
        <is>
          <t>Energia elétrica</t>
        </is>
      </c>
      <c r="F117" s="47" t="inlineStr">
        <is>
          <t>Energia elétrica</t>
        </is>
      </c>
      <c r="G117" s="50" t="inlineStr">
        <is>
          <t>NÃO</t>
        </is>
      </c>
    </row>
    <row r="118">
      <c r="A118" s="47" t="inlineStr">
        <is>
          <t>CMIG4</t>
        </is>
      </c>
      <c r="B118" s="47" t="inlineStr">
        <is>
          <t>Cemig</t>
        </is>
      </c>
      <c r="C118" s="48" t="inlineStr">
        <is>
          <t>PN</t>
        </is>
      </c>
      <c r="D118" s="47" t="inlineStr">
        <is>
          <t>Utilidade pública</t>
        </is>
      </c>
      <c r="E118" s="47" t="inlineStr">
        <is>
          <t>Energia elétrica</t>
        </is>
      </c>
      <c r="F118" s="47" t="inlineStr">
        <is>
          <t>Energia elétrica</t>
        </is>
      </c>
      <c r="G118" s="50" t="inlineStr">
        <is>
          <t>NÃO</t>
        </is>
      </c>
    </row>
    <row r="119">
      <c r="A119" s="47" t="inlineStr">
        <is>
          <t>CMSA3</t>
        </is>
      </c>
      <c r="B119" s="47" t="inlineStr">
        <is>
          <t>Cims</t>
        </is>
      </c>
      <c r="C119" s="48" t="inlineStr">
        <is>
          <t>ON</t>
        </is>
      </c>
      <c r="D119" s="47" t="inlineStr">
        <is>
          <t>Outros</t>
        </is>
      </c>
      <c r="E119" s="47" t="inlineStr">
        <is>
          <t>Outros</t>
        </is>
      </c>
      <c r="F119" s="47" t="inlineStr">
        <is>
          <t>Outros</t>
        </is>
      </c>
    </row>
    <row r="120">
      <c r="A120" s="47" t="inlineStr">
        <is>
          <t>CMSA4</t>
        </is>
      </c>
      <c r="B120" s="47" t="inlineStr">
        <is>
          <t>Cims</t>
        </is>
      </c>
      <c r="C120" s="48" t="inlineStr">
        <is>
          <t>PN</t>
        </is>
      </c>
      <c r="D120" s="47" t="inlineStr">
        <is>
          <t>Outros</t>
        </is>
      </c>
      <c r="E120" s="47" t="inlineStr">
        <is>
          <t>Outros</t>
        </is>
      </c>
      <c r="F120" s="47" t="inlineStr">
        <is>
          <t>Outros</t>
        </is>
      </c>
    </row>
    <row r="121">
      <c r="A121" s="47" t="inlineStr">
        <is>
          <t>CLSA3</t>
        </is>
      </c>
      <c r="B121" s="47" t="inlineStr">
        <is>
          <t>Clearsale</t>
        </is>
      </c>
      <c r="C121" s="48" t="inlineStr">
        <is>
          <t>ON</t>
        </is>
      </c>
      <c r="D121" s="47" t="inlineStr">
        <is>
          <t>Financeiro</t>
        </is>
      </c>
      <c r="E121" s="47" t="inlineStr">
        <is>
          <t>Serviços financeiros diversos</t>
        </is>
      </c>
      <c r="F121" s="47" t="inlineStr">
        <is>
          <t>Serviços financeiros diversos</t>
        </is>
      </c>
      <c r="G121" s="50" t="inlineStr">
        <is>
          <t>SIM</t>
        </is>
      </c>
      <c r="H121" s="51" t="inlineStr">
        <is>
          <t>TAXA DE JUROS/CRESCIMENTO ECONOMICO</t>
        </is>
      </c>
    </row>
    <row r="122">
      <c r="A122" s="47" t="inlineStr">
        <is>
          <t>CEEB3</t>
        </is>
      </c>
      <c r="B122" s="47" t="inlineStr">
        <is>
          <t>Coelba</t>
        </is>
      </c>
      <c r="C122" s="48" t="inlineStr">
        <is>
          <t>ON</t>
        </is>
      </c>
      <c r="D122" s="47" t="inlineStr">
        <is>
          <t>Utilidade pública</t>
        </is>
      </c>
      <c r="E122" s="47" t="inlineStr">
        <is>
          <t>Energia elétrica</t>
        </is>
      </c>
      <c r="F122" s="47" t="inlineStr">
        <is>
          <t>Energia elétrica</t>
        </is>
      </c>
      <c r="G122" s="50" t="inlineStr">
        <is>
          <t>NÃO</t>
        </is>
      </c>
    </row>
    <row r="123">
      <c r="A123" s="47" t="inlineStr">
        <is>
          <t>CEEB5</t>
        </is>
      </c>
      <c r="B123" s="47" t="inlineStr">
        <is>
          <t>Coelba</t>
        </is>
      </c>
      <c r="C123" s="48" t="inlineStr">
        <is>
          <t>PNA</t>
        </is>
      </c>
      <c r="D123" s="47" t="inlineStr">
        <is>
          <t>Utilidade pública</t>
        </is>
      </c>
      <c r="E123" s="47" t="inlineStr">
        <is>
          <t>Energia elétrica</t>
        </is>
      </c>
      <c r="F123" s="47" t="inlineStr">
        <is>
          <t>Energia elétrica</t>
        </is>
      </c>
      <c r="G123" s="50" t="inlineStr">
        <is>
          <t>NÃO</t>
        </is>
      </c>
    </row>
    <row r="124">
      <c r="A124" s="47" t="inlineStr">
        <is>
          <t>CEEB6</t>
        </is>
      </c>
      <c r="B124" s="47" t="inlineStr">
        <is>
          <t>Coelba</t>
        </is>
      </c>
      <c r="C124" s="48" t="inlineStr">
        <is>
          <t>PNB</t>
        </is>
      </c>
      <c r="D124" s="47" t="inlineStr">
        <is>
          <t>Utilidade pública</t>
        </is>
      </c>
      <c r="E124" s="47" t="inlineStr">
        <is>
          <t>Energia elétrica</t>
        </is>
      </c>
      <c r="F124" s="47" t="inlineStr">
        <is>
          <t>Energia elétrica</t>
        </is>
      </c>
      <c r="G124" s="50" t="inlineStr">
        <is>
          <t>NÃO</t>
        </is>
      </c>
    </row>
    <row r="125">
      <c r="A125" s="47" t="inlineStr">
        <is>
          <t>COCE3</t>
        </is>
      </c>
      <c r="B125" s="47" t="inlineStr">
        <is>
          <t>Coelce</t>
        </is>
      </c>
      <c r="C125" s="48" t="inlineStr">
        <is>
          <t>ON</t>
        </is>
      </c>
      <c r="D125" s="47" t="inlineStr">
        <is>
          <t>Utilidade pública</t>
        </is>
      </c>
      <c r="E125" s="47" t="inlineStr">
        <is>
          <t>Energia elétrica</t>
        </is>
      </c>
      <c r="F125" s="47" t="inlineStr">
        <is>
          <t>Energia elétrica</t>
        </is>
      </c>
      <c r="G125" s="50" t="inlineStr">
        <is>
          <t>NÃO</t>
        </is>
      </c>
    </row>
    <row r="126">
      <c r="A126" s="47" t="inlineStr">
        <is>
          <t>COCE5</t>
        </is>
      </c>
      <c r="B126" s="47" t="inlineStr">
        <is>
          <t>Coelce</t>
        </is>
      </c>
      <c r="C126" s="48" t="inlineStr">
        <is>
          <t>PNA</t>
        </is>
      </c>
      <c r="D126" s="47" t="inlineStr">
        <is>
          <t>Utilidade pública</t>
        </is>
      </c>
      <c r="E126" s="47" t="inlineStr">
        <is>
          <t>Energia elétrica</t>
        </is>
      </c>
      <c r="F126" s="47" t="inlineStr">
        <is>
          <t>Energia elétrica</t>
        </is>
      </c>
      <c r="G126" s="50" t="inlineStr">
        <is>
          <t>NÃO</t>
        </is>
      </c>
    </row>
    <row r="127">
      <c r="A127" s="47" t="inlineStr">
        <is>
          <t>COCE6</t>
        </is>
      </c>
      <c r="B127" s="47" t="inlineStr">
        <is>
          <t>Coelce</t>
        </is>
      </c>
      <c r="C127" s="48" t="inlineStr">
        <is>
          <t>PNB</t>
        </is>
      </c>
      <c r="D127" s="47" t="inlineStr">
        <is>
          <t>Utilidade pública</t>
        </is>
      </c>
      <c r="E127" s="47" t="inlineStr">
        <is>
          <t>Energia elétrica</t>
        </is>
      </c>
      <c r="F127" s="47" t="inlineStr">
        <is>
          <t>Energia elétrica</t>
        </is>
      </c>
      <c r="G127" s="50" t="inlineStr">
        <is>
          <t>NÃO</t>
        </is>
      </c>
    </row>
    <row r="128">
      <c r="A128" s="47" t="inlineStr">
        <is>
          <t>COGN3</t>
        </is>
      </c>
      <c r="B128" s="47" t="inlineStr">
        <is>
          <t>Cogna ON</t>
        </is>
      </c>
      <c r="C128" s="48" t="inlineStr">
        <is>
          <t>ON</t>
        </is>
      </c>
      <c r="D128" s="47" t="inlineStr">
        <is>
          <t>Consumo cíclico</t>
        </is>
      </c>
      <c r="E128" s="47" t="inlineStr">
        <is>
          <t>Diversos</t>
        </is>
      </c>
      <c r="F128" s="47" t="inlineStr">
        <is>
          <t>Serviços educacionais</t>
        </is>
      </c>
      <c r="G128" s="50" t="inlineStr">
        <is>
          <t>SIM</t>
        </is>
      </c>
      <c r="H128" s="51" t="inlineStr">
        <is>
          <t>TAXA DE JUROS/CRESCIMENTO ECONOMICO</t>
        </is>
      </c>
    </row>
    <row r="129">
      <c r="A129" s="47" t="inlineStr">
        <is>
          <t>COMR3</t>
        </is>
      </c>
      <c r="B129" s="47" t="inlineStr">
        <is>
          <t>Comerc</t>
        </is>
      </c>
      <c r="C129" s="48" t="inlineStr">
        <is>
          <t>ON</t>
        </is>
      </c>
      <c r="D129" s="47" t="inlineStr">
        <is>
          <t>Utilidade pública</t>
        </is>
      </c>
      <c r="E129" s="47" t="inlineStr">
        <is>
          <t>Energia elétrica</t>
        </is>
      </c>
      <c r="F129" s="47" t="inlineStr">
        <is>
          <t>Energia elétrica</t>
        </is>
      </c>
      <c r="G129" s="50" t="inlineStr">
        <is>
          <t>NÃO</t>
        </is>
      </c>
    </row>
    <row r="130">
      <c r="A130" s="47" t="inlineStr">
        <is>
          <t>CGAS3</t>
        </is>
      </c>
      <c r="B130" s="47" t="inlineStr">
        <is>
          <t>Comgas</t>
        </is>
      </c>
      <c r="C130" s="48" t="inlineStr">
        <is>
          <t>ON</t>
        </is>
      </c>
      <c r="D130" s="47" t="inlineStr">
        <is>
          <t>Utilidade pública</t>
        </is>
      </c>
      <c r="E130" s="47" t="inlineStr">
        <is>
          <t>Gás</t>
        </is>
      </c>
      <c r="F130" s="47" t="inlineStr">
        <is>
          <t>Gás</t>
        </is>
      </c>
      <c r="G130" s="50" t="inlineStr">
        <is>
          <t>NÃO</t>
        </is>
      </c>
    </row>
    <row r="131">
      <c r="A131" s="47" t="inlineStr">
        <is>
          <t>CGAS5</t>
        </is>
      </c>
      <c r="B131" s="47" t="inlineStr">
        <is>
          <t>Comgas</t>
        </is>
      </c>
      <c r="C131" s="48" t="inlineStr">
        <is>
          <t>PNA</t>
        </is>
      </c>
      <c r="D131" s="47" t="inlineStr">
        <is>
          <t>Utilidade pública</t>
        </is>
      </c>
      <c r="E131" s="47" t="inlineStr">
        <is>
          <t>Gás</t>
        </is>
      </c>
      <c r="F131" s="47" t="inlineStr">
        <is>
          <t>Gás</t>
        </is>
      </c>
      <c r="G131" s="50" t="inlineStr">
        <is>
          <t>NÃO</t>
        </is>
      </c>
    </row>
    <row r="132">
      <c r="A132" s="47" t="inlineStr">
        <is>
          <t>PASS3</t>
        </is>
      </c>
      <c r="B132" s="47" t="inlineStr">
        <is>
          <t>Compass Gas</t>
        </is>
      </c>
      <c r="C132" s="48" t="inlineStr">
        <is>
          <t>ON</t>
        </is>
      </c>
      <c r="D132" s="47" t="inlineStr">
        <is>
          <t>Utilidade pública</t>
        </is>
      </c>
      <c r="E132" s="47" t="inlineStr">
        <is>
          <t>Gás</t>
        </is>
      </c>
      <c r="F132" s="47" t="inlineStr">
        <is>
          <t>Gás</t>
        </is>
      </c>
      <c r="G132" s="50" t="inlineStr">
        <is>
          <t>NÃO</t>
        </is>
      </c>
    </row>
    <row r="133">
      <c r="A133" s="47" t="inlineStr">
        <is>
          <t>PASS6</t>
        </is>
      </c>
      <c r="B133" s="47" t="inlineStr">
        <is>
          <t>Compass Gas</t>
        </is>
      </c>
      <c r="C133" s="48" t="inlineStr">
        <is>
          <t>PNB</t>
        </is>
      </c>
      <c r="D133" s="47" t="inlineStr">
        <is>
          <t>Utilidade pública</t>
        </is>
      </c>
      <c r="E133" s="47" t="inlineStr">
        <is>
          <t>Gás</t>
        </is>
      </c>
      <c r="F133" s="47" t="inlineStr">
        <is>
          <t>Gás</t>
        </is>
      </c>
      <c r="G133" s="50" t="inlineStr">
        <is>
          <t>NÃO</t>
        </is>
      </c>
    </row>
    <row r="134">
      <c r="A134" s="47" t="inlineStr">
        <is>
          <t>CRTE3</t>
        </is>
      </c>
      <c r="B134" s="47" t="inlineStr">
        <is>
          <t>Conc Rio Ter</t>
        </is>
      </c>
      <c r="C134" s="48" t="inlineStr">
        <is>
          <t>ON</t>
        </is>
      </c>
      <c r="D134" s="47" t="inlineStr">
        <is>
          <t>Bens industriais</t>
        </is>
      </c>
      <c r="E134" s="47" t="inlineStr">
        <is>
          <t>Transporte</t>
        </is>
      </c>
      <c r="F134" s="47" t="inlineStr">
        <is>
          <t>Exploração de rodovias</t>
        </is>
      </c>
      <c r="G134" s="50" t="inlineStr">
        <is>
          <t>SIM</t>
        </is>
      </c>
      <c r="H134" s="51" t="inlineStr">
        <is>
          <t>TAXA DE JUROS/CRESCIMENTO ECONOMICO</t>
        </is>
      </c>
    </row>
    <row r="135">
      <c r="A135" s="47" t="inlineStr">
        <is>
          <t>CRTE5</t>
        </is>
      </c>
      <c r="B135" s="47" t="inlineStr">
        <is>
          <t>Conc Rio Ter</t>
        </is>
      </c>
      <c r="C135" s="48" t="inlineStr">
        <is>
          <t>PNA</t>
        </is>
      </c>
      <c r="D135" s="47" t="inlineStr">
        <is>
          <t>Bens industriais</t>
        </is>
      </c>
      <c r="E135" s="47" t="inlineStr">
        <is>
          <t>Transporte</t>
        </is>
      </c>
      <c r="F135" s="47" t="inlineStr">
        <is>
          <t>Exploração de rodovias</t>
        </is>
      </c>
      <c r="G135" s="50" t="inlineStr">
        <is>
          <t>SIM</t>
        </is>
      </c>
      <c r="H135" s="51" t="inlineStr">
        <is>
          <t>TAXA DE JUROS/CRESCIMENTO ECONOMICO</t>
        </is>
      </c>
    </row>
    <row r="136">
      <c r="A136" s="47" t="inlineStr">
        <is>
          <t>CALI3</t>
        </is>
      </c>
      <c r="B136" s="47" t="inlineStr">
        <is>
          <t>Const A Lind</t>
        </is>
      </c>
      <c r="C136" s="48" t="inlineStr">
        <is>
          <t>ON</t>
        </is>
      </c>
      <c r="D136" s="47" t="inlineStr">
        <is>
          <t>Consumo cíclico</t>
        </is>
      </c>
      <c r="E136" s="47" t="inlineStr">
        <is>
          <t>Construção civil</t>
        </is>
      </c>
      <c r="F136" s="47" t="inlineStr">
        <is>
          <t>Incorporações</t>
        </is>
      </c>
      <c r="G136" s="50" t="inlineStr">
        <is>
          <t>SIM</t>
        </is>
      </c>
      <c r="H136" s="51" t="inlineStr">
        <is>
          <t>TAXA DE JUROS/CRESCIMENTO ECONOMICO</t>
        </is>
      </c>
    </row>
    <row r="137">
      <c r="A137" s="47" t="inlineStr">
        <is>
          <t>CSMG3</t>
        </is>
      </c>
      <c r="B137" s="47" t="inlineStr">
        <is>
          <t>Copasa</t>
        </is>
      </c>
      <c r="C137" s="48" t="inlineStr">
        <is>
          <t>ON</t>
        </is>
      </c>
      <c r="D137" s="47" t="inlineStr">
        <is>
          <t>Utilidade pública</t>
        </is>
      </c>
      <c r="E137" s="47" t="inlineStr">
        <is>
          <t>Água e saneamento</t>
        </is>
      </c>
      <c r="F137" s="47" t="inlineStr">
        <is>
          <t>Água e saneamento</t>
        </is>
      </c>
      <c r="G137" s="50" t="inlineStr">
        <is>
          <t>NÃO</t>
        </is>
      </c>
    </row>
    <row r="138">
      <c r="A138" s="47" t="inlineStr">
        <is>
          <t>CPLE3</t>
        </is>
      </c>
      <c r="B138" s="47" t="inlineStr">
        <is>
          <t>Copel</t>
        </is>
      </c>
      <c r="C138" s="48" t="inlineStr">
        <is>
          <t>ON</t>
        </is>
      </c>
      <c r="D138" s="47" t="inlineStr">
        <is>
          <t>Utilidade pública</t>
        </is>
      </c>
      <c r="E138" s="47" t="inlineStr">
        <is>
          <t>Energia elétrica</t>
        </is>
      </c>
      <c r="F138" s="47" t="inlineStr">
        <is>
          <t>Energia elétrica</t>
        </is>
      </c>
      <c r="G138" s="50" t="inlineStr">
        <is>
          <t>NÃO</t>
        </is>
      </c>
    </row>
    <row r="139">
      <c r="A139" s="47" t="inlineStr">
        <is>
          <t>CPLE5</t>
        </is>
      </c>
      <c r="B139" s="47" t="inlineStr">
        <is>
          <t>Copel</t>
        </is>
      </c>
      <c r="C139" s="48" t="inlineStr">
        <is>
          <t>PNA</t>
        </is>
      </c>
      <c r="D139" s="47" t="inlineStr">
        <is>
          <t>Utilidade pública</t>
        </is>
      </c>
      <c r="E139" s="47" t="inlineStr">
        <is>
          <t>Energia elétrica</t>
        </is>
      </c>
      <c r="F139" s="47" t="inlineStr">
        <is>
          <t>Energia elétrica</t>
        </is>
      </c>
      <c r="G139" s="50" t="inlineStr">
        <is>
          <t>NÃO</t>
        </is>
      </c>
    </row>
    <row r="140">
      <c r="A140" s="47" t="inlineStr">
        <is>
          <t>CPLE6</t>
        </is>
      </c>
      <c r="B140" s="47" t="inlineStr">
        <is>
          <t>Copel</t>
        </is>
      </c>
      <c r="C140" s="48" t="inlineStr">
        <is>
          <t>PNB</t>
        </is>
      </c>
      <c r="D140" s="47" t="inlineStr">
        <is>
          <t>Utilidade pública</t>
        </is>
      </c>
      <c r="E140" s="47" t="inlineStr">
        <is>
          <t>Energia elétrica</t>
        </is>
      </c>
      <c r="F140" s="47" t="inlineStr">
        <is>
          <t>Energia elétrica</t>
        </is>
      </c>
      <c r="G140" s="50" t="inlineStr">
        <is>
          <t>NÃO</t>
        </is>
      </c>
    </row>
    <row r="141">
      <c r="A141" s="47" t="inlineStr">
        <is>
          <t>CSAN3</t>
        </is>
      </c>
      <c r="B141" s="47" t="inlineStr">
        <is>
          <t>Cosan</t>
        </is>
      </c>
      <c r="C141" s="48" t="inlineStr">
        <is>
          <t>ON</t>
        </is>
      </c>
      <c r="D141" s="47" t="inlineStr">
        <is>
          <t>Petróleo gás e biocombustíveis</t>
        </is>
      </c>
      <c r="E141" s="47" t="inlineStr">
        <is>
          <t>Petróleo gás e biocombustíveis</t>
        </is>
      </c>
      <c r="F141" s="47" t="inlineStr">
        <is>
          <t>Exploração refino e distribuição</t>
        </is>
      </c>
      <c r="G141" s="50" t="inlineStr">
        <is>
          <t>SIM</t>
        </is>
      </c>
      <c r="H141" s="51" t="inlineStr">
        <is>
          <t>PETRÓLEO/DÓLAR</t>
        </is>
      </c>
    </row>
    <row r="142">
      <c r="A142" s="47" t="inlineStr">
        <is>
          <t>CSRN3</t>
        </is>
      </c>
      <c r="B142" s="47" t="inlineStr">
        <is>
          <t>Cosern</t>
        </is>
      </c>
      <c r="C142" s="48" t="inlineStr">
        <is>
          <t>ON</t>
        </is>
      </c>
      <c r="D142" s="47" t="inlineStr">
        <is>
          <t>Utilidade pública</t>
        </is>
      </c>
      <c r="E142" s="47" t="inlineStr">
        <is>
          <t>Energia elétrica</t>
        </is>
      </c>
      <c r="F142" s="47" t="inlineStr">
        <is>
          <t>Energia elétrica</t>
        </is>
      </c>
      <c r="G142" s="50" t="inlineStr">
        <is>
          <t>NÃO</t>
        </is>
      </c>
    </row>
    <row r="143">
      <c r="A143" s="47" t="inlineStr">
        <is>
          <t>CSRN5</t>
        </is>
      </c>
      <c r="B143" s="47" t="inlineStr">
        <is>
          <t>Cosern</t>
        </is>
      </c>
      <c r="C143" s="48" t="inlineStr">
        <is>
          <t>PNA</t>
        </is>
      </c>
      <c r="D143" s="47" t="inlineStr">
        <is>
          <t>Utilidade pública</t>
        </is>
      </c>
      <c r="E143" s="47" t="inlineStr">
        <is>
          <t>Energia elétrica</t>
        </is>
      </c>
      <c r="F143" s="47" t="inlineStr">
        <is>
          <t>Energia elétrica</t>
        </is>
      </c>
      <c r="G143" s="50" t="inlineStr">
        <is>
          <t>NÃO</t>
        </is>
      </c>
    </row>
    <row r="144">
      <c r="A144" s="47" t="inlineStr">
        <is>
          <t>CSRN6</t>
        </is>
      </c>
      <c r="B144" s="47" t="inlineStr">
        <is>
          <t>Cosern</t>
        </is>
      </c>
      <c r="C144" s="48" t="inlineStr">
        <is>
          <t>PNB</t>
        </is>
      </c>
      <c r="D144" s="47" t="inlineStr">
        <is>
          <t>Utilidade pública</t>
        </is>
      </c>
      <c r="E144" s="47" t="inlineStr">
        <is>
          <t>Energia elétrica</t>
        </is>
      </c>
      <c r="F144" s="47" t="inlineStr">
        <is>
          <t>Energia elétrica</t>
        </is>
      </c>
      <c r="G144" s="50" t="inlineStr">
        <is>
          <t>NÃO</t>
        </is>
      </c>
    </row>
    <row r="145">
      <c r="A145" s="47" t="inlineStr">
        <is>
          <t>CTNM3</t>
        </is>
      </c>
      <c r="B145" s="47" t="inlineStr">
        <is>
          <t>Coteminas</t>
        </is>
      </c>
      <c r="C145" s="48" t="inlineStr">
        <is>
          <t>ON</t>
        </is>
      </c>
      <c r="D145" s="47" t="inlineStr">
        <is>
          <t>Consumo cíclico</t>
        </is>
      </c>
      <c r="E145" s="47" t="inlineStr">
        <is>
          <t>Tecidos vestuário e calçados</t>
        </is>
      </c>
      <c r="F145" s="47" t="inlineStr">
        <is>
          <t>Fios e tecidos</t>
        </is>
      </c>
      <c r="G145" s="50" t="inlineStr">
        <is>
          <t>SIM</t>
        </is>
      </c>
      <c r="H145" s="51" t="inlineStr">
        <is>
          <t>TAXA DE JUROS/CRESCIMENTO ECONOMICO</t>
        </is>
      </c>
    </row>
    <row r="146">
      <c r="A146" s="47" t="inlineStr">
        <is>
          <t>CTNM4</t>
        </is>
      </c>
      <c r="B146" s="47" t="inlineStr">
        <is>
          <t>Coteminas</t>
        </is>
      </c>
      <c r="C146" s="48" t="inlineStr">
        <is>
          <t>PN</t>
        </is>
      </c>
      <c r="D146" s="47" t="inlineStr">
        <is>
          <t>Consumo cíclico</t>
        </is>
      </c>
      <c r="E146" s="47" t="inlineStr">
        <is>
          <t>Tecidos vestuário e calçados</t>
        </is>
      </c>
      <c r="F146" s="47" t="inlineStr">
        <is>
          <t>Fios e tecidos</t>
        </is>
      </c>
      <c r="G146" s="50" t="inlineStr">
        <is>
          <t>SIM</t>
        </is>
      </c>
      <c r="H146" s="51" t="inlineStr">
        <is>
          <t>TAXA DE JUROS/CRESCIMENTO ECONOMICO</t>
        </is>
      </c>
    </row>
    <row r="147">
      <c r="A147" s="47" t="inlineStr">
        <is>
          <t>CPFE3</t>
        </is>
      </c>
      <c r="B147" s="47" t="inlineStr">
        <is>
          <t>CPFL Energia</t>
        </is>
      </c>
      <c r="C147" s="48" t="inlineStr">
        <is>
          <t>ON</t>
        </is>
      </c>
      <c r="D147" s="47" t="inlineStr">
        <is>
          <t>Utilidade pública</t>
        </is>
      </c>
      <c r="E147" s="47" t="inlineStr">
        <is>
          <t>Energia elétrica</t>
        </is>
      </c>
      <c r="F147" s="47" t="inlineStr">
        <is>
          <t>Energia elétrica</t>
        </is>
      </c>
      <c r="G147" s="50" t="inlineStr">
        <is>
          <t>NÃO</t>
        </is>
      </c>
    </row>
    <row r="148">
      <c r="A148" s="47" t="inlineStr">
        <is>
          <t>CRPG3</t>
        </is>
      </c>
      <c r="B148" s="47" t="inlineStr">
        <is>
          <t>Cristal</t>
        </is>
      </c>
      <c r="C148" s="48" t="inlineStr">
        <is>
          <t>ON</t>
        </is>
      </c>
      <c r="D148" s="47" t="inlineStr">
        <is>
          <t>Materiais básicos</t>
        </is>
      </c>
      <c r="E148" s="47" t="inlineStr">
        <is>
          <t>Químicos</t>
        </is>
      </c>
      <c r="F148" s="47" t="inlineStr">
        <is>
          <t>Químicos diversos</t>
        </is>
      </c>
      <c r="G148" s="50" t="inlineStr">
        <is>
          <t>SIM</t>
        </is>
      </c>
      <c r="H148" s="51" t="inlineStr">
        <is>
          <t>DÓLAR</t>
        </is>
      </c>
    </row>
    <row r="149">
      <c r="A149" s="47" t="inlineStr">
        <is>
          <t>CRPG5</t>
        </is>
      </c>
      <c r="B149" s="47" t="inlineStr">
        <is>
          <t>Cristal</t>
        </is>
      </c>
      <c r="C149" s="48" t="inlineStr">
        <is>
          <t>PNA</t>
        </is>
      </c>
      <c r="D149" s="47" t="inlineStr">
        <is>
          <t>Materiais básicos</t>
        </is>
      </c>
      <c r="E149" s="47" t="inlineStr">
        <is>
          <t>Químicos</t>
        </is>
      </c>
      <c r="F149" s="47" t="inlineStr">
        <is>
          <t>Químicos diversos</t>
        </is>
      </c>
      <c r="G149" s="50" t="inlineStr">
        <is>
          <t>SIM</t>
        </is>
      </c>
      <c r="H149" s="51" t="inlineStr">
        <is>
          <t>DÓLAR</t>
        </is>
      </c>
    </row>
    <row r="150">
      <c r="A150" s="47" t="inlineStr">
        <is>
          <t>CRPG6</t>
        </is>
      </c>
      <c r="B150" s="47" t="inlineStr">
        <is>
          <t>Cristal</t>
        </is>
      </c>
      <c r="C150" s="48" t="inlineStr">
        <is>
          <t>PNB</t>
        </is>
      </c>
      <c r="D150" s="47" t="inlineStr">
        <is>
          <t>Materiais básicos</t>
        </is>
      </c>
      <c r="E150" s="47" t="inlineStr">
        <is>
          <t>Químicos</t>
        </is>
      </c>
      <c r="F150" s="47" t="inlineStr">
        <is>
          <t>Químicos diversos</t>
        </is>
      </c>
      <c r="G150" s="50" t="inlineStr">
        <is>
          <t>SIM</t>
        </is>
      </c>
      <c r="H150" s="51" t="inlineStr">
        <is>
          <t>DÓLAR</t>
        </is>
      </c>
    </row>
    <row r="151">
      <c r="A151" s="47" t="inlineStr">
        <is>
          <t>CSED3</t>
        </is>
      </c>
      <c r="B151" s="47" t="inlineStr">
        <is>
          <t>Cruzeiro Edu</t>
        </is>
      </c>
      <c r="C151" s="48" t="inlineStr">
        <is>
          <t>ON</t>
        </is>
      </c>
      <c r="D151" s="47" t="inlineStr">
        <is>
          <t>Consumo cíclico</t>
        </is>
      </c>
      <c r="E151" s="47" t="inlineStr">
        <is>
          <t>Diversos</t>
        </is>
      </c>
      <c r="F151" s="47" t="inlineStr">
        <is>
          <t>Serviços educacionais</t>
        </is>
      </c>
      <c r="G151" s="50" t="inlineStr">
        <is>
          <t>SIM</t>
        </is>
      </c>
      <c r="H151" s="51" t="inlineStr">
        <is>
          <t>TAXA DE JUROS/CRESCIMENTO ECONOMICO</t>
        </is>
      </c>
    </row>
    <row r="152">
      <c r="A152" s="47" t="inlineStr">
        <is>
          <t>CMIN3</t>
        </is>
      </c>
      <c r="B152" s="47" t="inlineStr">
        <is>
          <t>Csn Mineracao</t>
        </is>
      </c>
      <c r="C152" s="48" t="inlineStr">
        <is>
          <t>ON</t>
        </is>
      </c>
      <c r="D152" s="47" t="inlineStr">
        <is>
          <t>Materiais básicos</t>
        </is>
      </c>
      <c r="E152" s="47" t="inlineStr">
        <is>
          <t>Mineração</t>
        </is>
      </c>
      <c r="F152" s="47" t="inlineStr">
        <is>
          <t>Minerais metálicos</t>
        </is>
      </c>
      <c r="G152" s="50" t="inlineStr">
        <is>
          <t>SIM</t>
        </is>
      </c>
      <c r="H152" s="52" t="inlineStr">
        <is>
          <t>MINÉRIO/DÓLAR</t>
        </is>
      </c>
    </row>
    <row r="153">
      <c r="A153" s="47" t="inlineStr">
        <is>
          <t>CSUD3</t>
        </is>
      </c>
      <c r="B153" s="47" t="inlineStr">
        <is>
          <t>Csu Digital</t>
        </is>
      </c>
      <c r="C153" s="48" t="inlineStr">
        <is>
          <t>ON</t>
        </is>
      </c>
      <c r="D153" s="47" t="inlineStr">
        <is>
          <t>Financeiro</t>
        </is>
      </c>
      <c r="E153" s="47" t="inlineStr">
        <is>
          <t>Serviços financeiros diversos</t>
        </is>
      </c>
      <c r="F153" s="47" t="inlineStr">
        <is>
          <t>Serviços financeiros diversos</t>
        </is>
      </c>
      <c r="G153" s="50" t="inlineStr">
        <is>
          <t>SIM</t>
        </is>
      </c>
      <c r="H153" s="51" t="inlineStr">
        <is>
          <t>TAXA DE JUROS/CRESCIMENTO ECONOMICO</t>
        </is>
      </c>
    </row>
    <row r="154">
      <c r="A154" s="47" t="inlineStr">
        <is>
          <t>CTCA3</t>
        </is>
      </c>
      <c r="B154" s="47" t="inlineStr">
        <is>
          <t>Ctc S.A.</t>
        </is>
      </c>
      <c r="C154" s="48" t="inlineStr">
        <is>
          <t>ON</t>
        </is>
      </c>
      <c r="D154" s="47" t="inlineStr">
        <is>
          <t>Consumo não cíclico</t>
        </is>
      </c>
      <c r="E154" s="47" t="inlineStr">
        <is>
          <t>Agropecuária</t>
        </is>
      </c>
      <c r="F154" s="47" t="inlineStr">
        <is>
          <t>Agricultura</t>
        </is>
      </c>
      <c r="G154" s="50" t="inlineStr">
        <is>
          <t>SIM</t>
        </is>
      </c>
      <c r="H154" s="51" t="inlineStr">
        <is>
          <t>COMMODITIES/DÓLAR</t>
        </is>
      </c>
    </row>
    <row r="155">
      <c r="A155" s="47" t="inlineStr">
        <is>
          <t>CURY3</t>
        </is>
      </c>
      <c r="B155" s="47" t="inlineStr">
        <is>
          <t>Cury S/A</t>
        </is>
      </c>
      <c r="C155" s="48" t="inlineStr">
        <is>
          <t>ON</t>
        </is>
      </c>
      <c r="D155" s="47" t="inlineStr">
        <is>
          <t>Consumo cíclico</t>
        </is>
      </c>
      <c r="E155" s="47" t="inlineStr">
        <is>
          <t>Construção civil</t>
        </is>
      </c>
      <c r="F155" s="47" t="inlineStr">
        <is>
          <t>Incorporações</t>
        </is>
      </c>
      <c r="G155" s="50" t="inlineStr">
        <is>
          <t>SIM</t>
        </is>
      </c>
      <c r="H155" s="51" t="inlineStr">
        <is>
          <t>TAXA DE JUROS/CRESCIMENTO ECONOMICO</t>
        </is>
      </c>
    </row>
    <row r="156">
      <c r="A156" s="47" t="inlineStr">
        <is>
          <t>CVCB3</t>
        </is>
      </c>
      <c r="B156" s="47" t="inlineStr">
        <is>
          <t>Cvc Brasil</t>
        </is>
      </c>
      <c r="C156" s="48" t="inlineStr">
        <is>
          <t>ON</t>
        </is>
      </c>
      <c r="D156" s="47" t="inlineStr">
        <is>
          <t>Consumo cíclico</t>
        </is>
      </c>
      <c r="E156" s="47" t="inlineStr">
        <is>
          <t>Viagens e lazer</t>
        </is>
      </c>
      <c r="F156" s="47" t="inlineStr">
        <is>
          <t>Viagens e turismo</t>
        </is>
      </c>
      <c r="G156" s="50" t="inlineStr">
        <is>
          <t>SIM</t>
        </is>
      </c>
      <c r="H156" s="51" t="inlineStr">
        <is>
          <t>TAXA DE JUROS/CRESCIMENTO ECONOMICO</t>
        </is>
      </c>
    </row>
    <row r="157">
      <c r="A157" s="47" t="inlineStr">
        <is>
          <t>CYRE3</t>
        </is>
      </c>
      <c r="B157" s="47" t="inlineStr">
        <is>
          <t>Cyrela Realt</t>
        </is>
      </c>
      <c r="C157" s="48" t="inlineStr">
        <is>
          <t>ON</t>
        </is>
      </c>
      <c r="D157" s="47" t="inlineStr">
        <is>
          <t>Consumo cíclico</t>
        </is>
      </c>
      <c r="E157" s="47" t="inlineStr">
        <is>
          <t>Construção civil</t>
        </is>
      </c>
      <c r="F157" s="47" t="inlineStr">
        <is>
          <t>Incorporações</t>
        </is>
      </c>
      <c r="G157" s="50" t="inlineStr">
        <is>
          <t>SIM</t>
        </is>
      </c>
      <c r="H157" s="51" t="inlineStr">
        <is>
          <t>TAXA DE JUROS/CRESCIMENTO ECONOMICO</t>
        </is>
      </c>
    </row>
    <row r="158">
      <c r="A158" s="47" t="inlineStr">
        <is>
          <t>DMVF3</t>
        </is>
      </c>
      <c r="B158" s="47" t="inlineStr">
        <is>
          <t>D1000vfarma</t>
        </is>
      </c>
      <c r="C158" s="48" t="inlineStr">
        <is>
          <t>ON</t>
        </is>
      </c>
      <c r="D158" s="47" t="inlineStr">
        <is>
          <t>Saúde</t>
        </is>
      </c>
      <c r="E158" s="47" t="inlineStr">
        <is>
          <t>Comércio e distribuição</t>
        </is>
      </c>
      <c r="F158" s="47" t="inlineStr">
        <is>
          <t>Medicamentos e outros produtos</t>
        </is>
      </c>
      <c r="G158" s="50" t="inlineStr">
        <is>
          <t>NÃO</t>
        </is>
      </c>
    </row>
    <row r="159">
      <c r="A159" s="47" t="inlineStr">
        <is>
          <t>DASA3</t>
        </is>
      </c>
      <c r="B159" s="47" t="inlineStr">
        <is>
          <t>Dasa</t>
        </is>
      </c>
      <c r="C159" s="48" t="inlineStr">
        <is>
          <t>ON</t>
        </is>
      </c>
      <c r="D159" s="47" t="inlineStr">
        <is>
          <t>Saúde</t>
        </is>
      </c>
      <c r="E159" s="47" t="inlineStr">
        <is>
          <t>Serviços médico-hospitalares análises e diagnósticos</t>
        </is>
      </c>
      <c r="F159" s="47" t="inlineStr">
        <is>
          <t>Serviços médico-hospitalares análises e diagnósticos</t>
        </is>
      </c>
      <c r="G159" s="50" t="inlineStr">
        <is>
          <t>NÃO</t>
        </is>
      </c>
    </row>
    <row r="160">
      <c r="A160" s="47" t="inlineStr">
        <is>
          <t>DESK3</t>
        </is>
      </c>
      <c r="B160" s="47" t="inlineStr">
        <is>
          <t>Desktopsigma</t>
        </is>
      </c>
      <c r="C160" s="48" t="inlineStr">
        <is>
          <t>ON</t>
        </is>
      </c>
      <c r="D160" s="47" t="inlineStr">
        <is>
          <t>Comunicações</t>
        </is>
      </c>
      <c r="E160" s="47" t="inlineStr">
        <is>
          <t>Telecomunicações</t>
        </is>
      </c>
      <c r="F160" s="47" t="inlineStr">
        <is>
          <t>Telecomunicações</t>
        </is>
      </c>
      <c r="G160" s="50" t="inlineStr">
        <is>
          <t>SIM</t>
        </is>
      </c>
      <c r="H160" s="51" t="inlineStr">
        <is>
          <t>TAXA DE JUROS/CRESCIMENTO ECONOMICO</t>
        </is>
      </c>
    </row>
    <row r="161">
      <c r="A161" s="47" t="inlineStr">
        <is>
          <t>DXCO3</t>
        </is>
      </c>
      <c r="B161" s="47" t="inlineStr">
        <is>
          <t>Dexco</t>
        </is>
      </c>
      <c r="C161" s="48" t="inlineStr">
        <is>
          <t>ON</t>
        </is>
      </c>
      <c r="D161" s="47" t="inlineStr">
        <is>
          <t>Materiais básicos</t>
        </is>
      </c>
      <c r="E161" s="47" t="inlineStr">
        <is>
          <t>Madeira e papel</t>
        </is>
      </c>
      <c r="F161" s="47" t="inlineStr">
        <is>
          <t>Madeira</t>
        </is>
      </c>
      <c r="G161" s="50" t="inlineStr">
        <is>
          <t>SIM</t>
        </is>
      </c>
      <c r="H161" s="51" t="inlineStr">
        <is>
          <t>CELULOSE/DOLAR</t>
        </is>
      </c>
    </row>
    <row r="162">
      <c r="A162" s="47" t="inlineStr">
        <is>
          <t>DEXP3</t>
        </is>
      </c>
      <c r="B162" s="47" t="inlineStr">
        <is>
          <t>Dexxos Par</t>
        </is>
      </c>
      <c r="C162" s="48" t="inlineStr">
        <is>
          <t>ON</t>
        </is>
      </c>
      <c r="D162" s="47" t="inlineStr">
        <is>
          <t>Materiais básicos</t>
        </is>
      </c>
      <c r="E162" s="47" t="inlineStr">
        <is>
          <t>Químicos</t>
        </is>
      </c>
      <c r="F162" s="47" t="inlineStr">
        <is>
          <t>Petroquímicos</t>
        </is>
      </c>
      <c r="G162" s="50" t="inlineStr">
        <is>
          <t>SIM</t>
        </is>
      </c>
      <c r="H162" s="51" t="inlineStr">
        <is>
          <t>DÓLAR</t>
        </is>
      </c>
    </row>
    <row r="163">
      <c r="A163" s="47" t="inlineStr">
        <is>
          <t>DEXP4</t>
        </is>
      </c>
      <c r="B163" s="47" t="inlineStr">
        <is>
          <t>Dexxos Par</t>
        </is>
      </c>
      <c r="C163" s="48" t="inlineStr">
        <is>
          <t>PN</t>
        </is>
      </c>
      <c r="D163" s="47" t="inlineStr">
        <is>
          <t>Materiais básicos</t>
        </is>
      </c>
      <c r="E163" s="47" t="inlineStr">
        <is>
          <t>Químicos</t>
        </is>
      </c>
      <c r="F163" s="47" t="inlineStr">
        <is>
          <t>Petroquímicos</t>
        </is>
      </c>
      <c r="G163" s="50" t="inlineStr">
        <is>
          <t>SIM</t>
        </is>
      </c>
      <c r="H163" s="51" t="inlineStr">
        <is>
          <t>DÓLAR</t>
        </is>
      </c>
    </row>
    <row r="164">
      <c r="A164" s="47" t="inlineStr">
        <is>
          <t>PNVL3</t>
        </is>
      </c>
      <c r="B164" s="47" t="inlineStr">
        <is>
          <t>Dimed</t>
        </is>
      </c>
      <c r="C164" s="48" t="inlineStr">
        <is>
          <t>ON</t>
        </is>
      </c>
      <c r="D164" s="47" t="inlineStr">
        <is>
          <t>Saúde</t>
        </is>
      </c>
      <c r="E164" s="47" t="inlineStr">
        <is>
          <t>Comércio e distribuição</t>
        </is>
      </c>
      <c r="F164" s="47" t="inlineStr">
        <is>
          <t>Medicamentos e outros produtos</t>
        </is>
      </c>
      <c r="G164" s="50" t="inlineStr">
        <is>
          <t>NÃO</t>
        </is>
      </c>
    </row>
    <row r="165">
      <c r="A165" s="47" t="inlineStr">
        <is>
          <t>DIRR3</t>
        </is>
      </c>
      <c r="B165" s="47" t="inlineStr">
        <is>
          <t>Direcional</t>
        </is>
      </c>
      <c r="C165" s="48" t="inlineStr">
        <is>
          <t>ON</t>
        </is>
      </c>
      <c r="D165" s="47" t="inlineStr">
        <is>
          <t>Consumo cíclico</t>
        </is>
      </c>
      <c r="E165" s="47" t="inlineStr">
        <is>
          <t>Construção civil</t>
        </is>
      </c>
      <c r="F165" s="47" t="inlineStr">
        <is>
          <t>Incorporações</t>
        </is>
      </c>
      <c r="G165" s="50" t="inlineStr">
        <is>
          <t>SIM</t>
        </is>
      </c>
      <c r="H165" s="51" t="inlineStr">
        <is>
          <t>TAXA DE JUROS/CRESCIMENTO ECONOMICO</t>
        </is>
      </c>
    </row>
    <row r="166">
      <c r="A166" s="47" t="inlineStr">
        <is>
          <t>DMFN3</t>
        </is>
      </c>
      <c r="B166" s="47" t="inlineStr">
        <is>
          <t>Dmfinanceira</t>
        </is>
      </c>
      <c r="C166" s="48" t="inlineStr">
        <is>
          <t>ON</t>
        </is>
      </c>
      <c r="D166" s="47" t="inlineStr">
        <is>
          <t>Financeiro</t>
        </is>
      </c>
      <c r="E166" s="47" t="inlineStr">
        <is>
          <t>Intermediários financeiros</t>
        </is>
      </c>
      <c r="F166" s="47" t="inlineStr">
        <is>
          <t>Soc. crédito e financiamento</t>
        </is>
      </c>
      <c r="G166" s="50" t="inlineStr">
        <is>
          <t>NÃO</t>
        </is>
      </c>
    </row>
    <row r="167">
      <c r="A167" s="47" t="inlineStr">
        <is>
          <t>DOHL3</t>
        </is>
      </c>
      <c r="B167" s="47" t="inlineStr">
        <is>
          <t>Dohler</t>
        </is>
      </c>
      <c r="C167" s="48" t="inlineStr">
        <is>
          <t>ON</t>
        </is>
      </c>
      <c r="D167" s="47" t="inlineStr">
        <is>
          <t>Consumo cíclico</t>
        </is>
      </c>
      <c r="E167" s="47" t="inlineStr">
        <is>
          <t>Tecidos vestuário e calçados</t>
        </is>
      </c>
      <c r="F167" s="47" t="inlineStr">
        <is>
          <t>Fios e tecidos</t>
        </is>
      </c>
      <c r="G167" s="50" t="inlineStr">
        <is>
          <t>SIM</t>
        </is>
      </c>
      <c r="H167" s="51" t="inlineStr">
        <is>
          <t>TAXA DE JUROS/CRESCIMENTO ECONOMICO</t>
        </is>
      </c>
    </row>
    <row r="168">
      <c r="A168" s="47" t="inlineStr">
        <is>
          <t>DOHL4</t>
        </is>
      </c>
      <c r="B168" s="47" t="inlineStr">
        <is>
          <t>Dohler</t>
        </is>
      </c>
      <c r="C168" s="48" t="inlineStr">
        <is>
          <t>PN</t>
        </is>
      </c>
      <c r="D168" s="47" t="inlineStr">
        <is>
          <t>Consumo cíclico</t>
        </is>
      </c>
      <c r="E168" s="47" t="inlineStr">
        <is>
          <t>Tecidos vestuário e calçados</t>
        </is>
      </c>
      <c r="F168" s="47" t="inlineStr">
        <is>
          <t>Fios e tecidos</t>
        </is>
      </c>
      <c r="G168" s="50" t="inlineStr">
        <is>
          <t>SIM</t>
        </is>
      </c>
      <c r="H168" s="51" t="inlineStr">
        <is>
          <t>TAXA DE JUROS/CRESCIMENTO ECONOMICO</t>
        </is>
      </c>
    </row>
    <row r="169">
      <c r="A169" s="47" t="inlineStr">
        <is>
          <t>DOTZ3</t>
        </is>
      </c>
      <c r="B169" s="47" t="inlineStr">
        <is>
          <t>Dotz SA</t>
        </is>
      </c>
      <c r="C169" s="48" t="inlineStr">
        <is>
          <t>ON</t>
        </is>
      </c>
      <c r="D169" s="47" t="inlineStr">
        <is>
          <t>Consumo cíclico</t>
        </is>
      </c>
      <c r="E169" s="47" t="inlineStr">
        <is>
          <t>Diversos</t>
        </is>
      </c>
      <c r="F169" s="47" t="inlineStr">
        <is>
          <t>Programas de fidelização</t>
        </is>
      </c>
      <c r="G169" s="50" t="inlineStr">
        <is>
          <t>SIM</t>
        </is>
      </c>
      <c r="H169" s="51" t="inlineStr">
        <is>
          <t>TAXA DE JUROS/CRESCIMENTO ECONOMICO</t>
        </is>
      </c>
    </row>
    <row r="170">
      <c r="A170" s="47" t="inlineStr">
        <is>
          <t>DTCY3</t>
        </is>
      </c>
      <c r="B170" s="47" t="inlineStr">
        <is>
          <t>Dtcom Direct</t>
        </is>
      </c>
      <c r="C170" s="48" t="inlineStr">
        <is>
          <t>ON</t>
        </is>
      </c>
      <c r="D170" s="47" t="inlineStr">
        <is>
          <t>Bens industriais</t>
        </is>
      </c>
      <c r="E170" s="47" t="inlineStr">
        <is>
          <t>Serviços diversos</t>
        </is>
      </c>
      <c r="F170" s="47" t="inlineStr">
        <is>
          <t>Serviços diversos</t>
        </is>
      </c>
      <c r="G170" s="50" t="inlineStr">
        <is>
          <t>SIM</t>
        </is>
      </c>
      <c r="H170" s="51" t="inlineStr">
        <is>
          <t>TAXA DE JUROS/CRESCIMENTO ECONOMICO</t>
        </is>
      </c>
    </row>
    <row r="171">
      <c r="A171" s="47" t="inlineStr">
        <is>
          <t>DTCY4</t>
        </is>
      </c>
      <c r="B171" s="47" t="inlineStr">
        <is>
          <t>Dtcom Direct</t>
        </is>
      </c>
      <c r="C171" s="48" t="inlineStr">
        <is>
          <t>PN</t>
        </is>
      </c>
      <c r="D171" s="47" t="inlineStr">
        <is>
          <t>Bens industriais</t>
        </is>
      </c>
      <c r="E171" s="47" t="inlineStr">
        <is>
          <t>Serviços diversos</t>
        </is>
      </c>
      <c r="F171" s="47" t="inlineStr">
        <is>
          <t>Serviços diversos</t>
        </is>
      </c>
      <c r="G171" s="50" t="inlineStr">
        <is>
          <t>SIM</t>
        </is>
      </c>
      <c r="H171" s="51" t="inlineStr">
        <is>
          <t>TAXA DE JUROS/CRESCIMENTO ECONOMICO</t>
        </is>
      </c>
    </row>
    <row r="172">
      <c r="A172" s="47" t="inlineStr">
        <is>
          <t>ECOR3</t>
        </is>
      </c>
      <c r="B172" s="47" t="inlineStr">
        <is>
          <t>Ecorodovias</t>
        </is>
      </c>
      <c r="C172" s="48" t="inlineStr">
        <is>
          <t>ON</t>
        </is>
      </c>
      <c r="D172" s="47" t="inlineStr">
        <is>
          <t>Bens industriais</t>
        </is>
      </c>
      <c r="E172" s="47" t="inlineStr">
        <is>
          <t>Transporte</t>
        </is>
      </c>
      <c r="F172" s="47" t="inlineStr">
        <is>
          <t>Exploração de rodovias</t>
        </is>
      </c>
      <c r="G172" s="50" t="inlineStr">
        <is>
          <t>SIM</t>
        </is>
      </c>
      <c r="H172" s="51" t="inlineStr">
        <is>
          <t>TAXA DE JUROS/CRESCIMENTO ECONOMICO</t>
        </is>
      </c>
    </row>
    <row r="173">
      <c r="A173" s="47" t="inlineStr">
        <is>
          <t>EKTR3</t>
        </is>
      </c>
      <c r="B173" s="47" t="inlineStr">
        <is>
          <t>Elektro</t>
        </is>
      </c>
      <c r="C173" s="48" t="inlineStr">
        <is>
          <t>ON</t>
        </is>
      </c>
      <c r="D173" s="47" t="inlineStr">
        <is>
          <t>Utilidade pública</t>
        </is>
      </c>
      <c r="E173" s="47" t="inlineStr">
        <is>
          <t>Energia elétrica</t>
        </is>
      </c>
      <c r="F173" s="47" t="inlineStr">
        <is>
          <t>Energia elétrica</t>
        </is>
      </c>
      <c r="G173" s="50" t="inlineStr">
        <is>
          <t>NÃO</t>
        </is>
      </c>
    </row>
    <row r="174">
      <c r="A174" s="47" t="inlineStr">
        <is>
          <t>EKTR4</t>
        </is>
      </c>
      <c r="B174" s="47" t="inlineStr">
        <is>
          <t>Elektro</t>
        </is>
      </c>
      <c r="C174" s="48" t="inlineStr">
        <is>
          <t>PN</t>
        </is>
      </c>
      <c r="D174" s="47" t="inlineStr">
        <is>
          <t>Utilidade pública</t>
        </is>
      </c>
      <c r="E174" s="47" t="inlineStr">
        <is>
          <t>Energia elétrica</t>
        </is>
      </c>
      <c r="F174" s="47" t="inlineStr">
        <is>
          <t>Energia elétrica</t>
        </is>
      </c>
      <c r="G174" s="50" t="inlineStr">
        <is>
          <t>NÃO</t>
        </is>
      </c>
    </row>
    <row r="175">
      <c r="A175" s="47" t="inlineStr">
        <is>
          <t>ELET3</t>
        </is>
      </c>
      <c r="B175" s="47" t="inlineStr">
        <is>
          <t>Eletrobras</t>
        </is>
      </c>
      <c r="C175" s="48" t="inlineStr">
        <is>
          <t>ON</t>
        </is>
      </c>
      <c r="D175" s="47" t="inlineStr">
        <is>
          <t>Utilidade pública</t>
        </is>
      </c>
      <c r="E175" s="47" t="inlineStr">
        <is>
          <t>Energia elétrica</t>
        </is>
      </c>
      <c r="F175" s="47" t="inlineStr">
        <is>
          <t>Energia elétrica</t>
        </is>
      </c>
      <c r="G175" s="50" t="inlineStr">
        <is>
          <t>NÃO</t>
        </is>
      </c>
    </row>
    <row r="176">
      <c r="A176" s="47" t="inlineStr">
        <is>
          <t>ELET5</t>
        </is>
      </c>
      <c r="B176" s="47" t="inlineStr">
        <is>
          <t>Eletrobras</t>
        </is>
      </c>
      <c r="C176" s="48" t="inlineStr">
        <is>
          <t>PNA</t>
        </is>
      </c>
      <c r="D176" s="47" t="inlineStr">
        <is>
          <t>Utilidade pública</t>
        </is>
      </c>
      <c r="E176" s="47" t="inlineStr">
        <is>
          <t>Energia elétrica</t>
        </is>
      </c>
      <c r="F176" s="47" t="inlineStr">
        <is>
          <t>Energia elétrica</t>
        </is>
      </c>
      <c r="G176" s="50" t="inlineStr">
        <is>
          <t>NÃO</t>
        </is>
      </c>
    </row>
    <row r="177">
      <c r="A177" s="47" t="inlineStr">
        <is>
          <t>ELET6</t>
        </is>
      </c>
      <c r="B177" s="47" t="inlineStr">
        <is>
          <t>Eletrobras</t>
        </is>
      </c>
      <c r="C177" s="48" t="inlineStr">
        <is>
          <t>PNB</t>
        </is>
      </c>
      <c r="D177" s="47" t="inlineStr">
        <is>
          <t>Utilidade pública</t>
        </is>
      </c>
      <c r="E177" s="47" t="inlineStr">
        <is>
          <t>Energia elétrica</t>
        </is>
      </c>
      <c r="F177" s="47" t="inlineStr">
        <is>
          <t>Energia elétrica</t>
        </is>
      </c>
      <c r="G177" s="50" t="inlineStr">
        <is>
          <t>NÃO</t>
        </is>
      </c>
    </row>
    <row r="178">
      <c r="A178" s="47" t="inlineStr">
        <is>
          <t>ELMD3</t>
        </is>
      </c>
      <c r="B178" s="47" t="inlineStr">
        <is>
          <t>Eletromidia</t>
        </is>
      </c>
      <c r="C178" s="48" t="inlineStr">
        <is>
          <t>ON</t>
        </is>
      </c>
      <c r="D178" s="47" t="inlineStr">
        <is>
          <t>Comunicações</t>
        </is>
      </c>
      <c r="E178" s="47" t="inlineStr">
        <is>
          <t>Mídia</t>
        </is>
      </c>
      <c r="F178" s="47" t="inlineStr">
        <is>
          <t>Publicidade e propaganda</t>
        </is>
      </c>
      <c r="G178" s="50" t="inlineStr">
        <is>
          <t>SIM</t>
        </is>
      </c>
      <c r="H178" s="51" t="inlineStr">
        <is>
          <t>TAXA DE JUROS/CRESCIMENTO ECONOMICO</t>
        </is>
      </c>
    </row>
    <row r="179">
      <c r="A179" s="47" t="inlineStr">
        <is>
          <t>LIPR3</t>
        </is>
      </c>
      <c r="B179" s="47" t="inlineStr">
        <is>
          <t>Eletropar</t>
        </is>
      </c>
      <c r="C179" s="48" t="inlineStr">
        <is>
          <t>ON</t>
        </is>
      </c>
      <c r="D179" s="47" t="inlineStr">
        <is>
          <t>Utilidade pública</t>
        </is>
      </c>
      <c r="E179" s="47" t="inlineStr">
        <is>
          <t>Energia elétrica</t>
        </is>
      </c>
      <c r="F179" s="47" t="inlineStr">
        <is>
          <t>Energia elétrica</t>
        </is>
      </c>
      <c r="G179" s="50" t="inlineStr">
        <is>
          <t>NÃO</t>
        </is>
      </c>
    </row>
    <row r="180">
      <c r="A180" s="47" t="inlineStr">
        <is>
          <t>EMAE3</t>
        </is>
      </c>
      <c r="B180" s="47" t="inlineStr">
        <is>
          <t>Emae</t>
        </is>
      </c>
      <c r="C180" s="48" t="inlineStr">
        <is>
          <t>ON</t>
        </is>
      </c>
      <c r="D180" s="47" t="inlineStr">
        <is>
          <t>Utilidade pública</t>
        </is>
      </c>
      <c r="E180" s="47" t="inlineStr">
        <is>
          <t>Energia elétrica</t>
        </is>
      </c>
      <c r="F180" s="47" t="inlineStr">
        <is>
          <t>Energia elétrica</t>
        </is>
      </c>
      <c r="G180" s="50" t="inlineStr">
        <is>
          <t>NÃO</t>
        </is>
      </c>
    </row>
    <row r="181">
      <c r="A181" s="47" t="inlineStr">
        <is>
          <t>EMAE4</t>
        </is>
      </c>
      <c r="B181" s="47" t="inlineStr">
        <is>
          <t>Emae</t>
        </is>
      </c>
      <c r="C181" s="48" t="inlineStr">
        <is>
          <t>PN</t>
        </is>
      </c>
      <c r="D181" s="47" t="inlineStr">
        <is>
          <t>Utilidade pública</t>
        </is>
      </c>
      <c r="E181" s="47" t="inlineStr">
        <is>
          <t>Energia elétrica</t>
        </is>
      </c>
      <c r="F181" s="47" t="inlineStr">
        <is>
          <t>Energia elétrica</t>
        </is>
      </c>
      <c r="G181" s="50" t="inlineStr">
        <is>
          <t>NÃO</t>
        </is>
      </c>
    </row>
    <row r="182">
      <c r="A182" s="47" t="inlineStr">
        <is>
          <t>EPAR3</t>
        </is>
      </c>
      <c r="B182" s="47" t="inlineStr">
        <is>
          <t>Embpar S/A</t>
        </is>
      </c>
      <c r="C182" s="48" t="inlineStr">
        <is>
          <t>ON</t>
        </is>
      </c>
      <c r="D182" s="47" t="inlineStr">
        <is>
          <t>Bens industriais</t>
        </is>
      </c>
      <c r="E182" s="47" t="inlineStr">
        <is>
          <t>Comércio</t>
        </is>
      </c>
      <c r="F182" s="47" t="inlineStr">
        <is>
          <t>Material de transporte</t>
        </is>
      </c>
      <c r="G182" s="50" t="inlineStr">
        <is>
          <t>SIM</t>
        </is>
      </c>
      <c r="H182" s="51" t="inlineStr">
        <is>
          <t>TAXA DE JUROS/CRESCIMENTO ECONOMICO</t>
        </is>
      </c>
    </row>
    <row r="183">
      <c r="A183" s="47" t="inlineStr">
        <is>
          <t>EMBR3</t>
        </is>
      </c>
      <c r="B183" s="47" t="inlineStr">
        <is>
          <t>Embraer</t>
        </is>
      </c>
      <c r="C183" s="48" t="inlineStr">
        <is>
          <t>ON</t>
        </is>
      </c>
      <c r="D183" s="47" t="inlineStr">
        <is>
          <t>Bens industriais</t>
        </is>
      </c>
      <c r="E183" s="47" t="inlineStr">
        <is>
          <t>Material de transporte</t>
        </is>
      </c>
      <c r="F183" s="47" t="inlineStr">
        <is>
          <t>Material aeronáutico e de defesa</t>
        </is>
      </c>
      <c r="G183" s="50" t="inlineStr">
        <is>
          <t>SIM</t>
        </is>
      </c>
      <c r="H183" s="51" t="inlineStr">
        <is>
          <t>DÓLAR/CRESCIMENTO ECONOMICO MUNDIAL</t>
        </is>
      </c>
    </row>
    <row r="184">
      <c r="A184" s="47" t="inlineStr">
        <is>
          <t>ENBR3</t>
        </is>
      </c>
      <c r="B184" s="47" t="inlineStr">
        <is>
          <t>Energias BR</t>
        </is>
      </c>
      <c r="C184" s="48" t="inlineStr">
        <is>
          <t>ON</t>
        </is>
      </c>
      <c r="D184" s="47" t="inlineStr">
        <is>
          <t>Utilidade pública</t>
        </is>
      </c>
      <c r="E184" s="47" t="inlineStr">
        <is>
          <t>Energia elétrica</t>
        </is>
      </c>
      <c r="F184" s="47" t="inlineStr">
        <is>
          <t>Energia elétrica</t>
        </is>
      </c>
      <c r="G184" s="50" t="inlineStr">
        <is>
          <t>NÃO</t>
        </is>
      </c>
    </row>
    <row r="185">
      <c r="A185" s="47" t="inlineStr">
        <is>
          <t>ENGI3</t>
        </is>
      </c>
      <c r="B185" s="47" t="inlineStr">
        <is>
          <t>Energisa</t>
        </is>
      </c>
      <c r="C185" s="48" t="inlineStr">
        <is>
          <t>ON</t>
        </is>
      </c>
      <c r="D185" s="47" t="inlineStr">
        <is>
          <t>Utilidade pública</t>
        </is>
      </c>
      <c r="E185" s="47" t="inlineStr">
        <is>
          <t>Energia elétrica</t>
        </is>
      </c>
      <c r="F185" s="47" t="inlineStr">
        <is>
          <t>Energia elétrica</t>
        </is>
      </c>
      <c r="G185" s="50" t="inlineStr">
        <is>
          <t>NÃO</t>
        </is>
      </c>
    </row>
    <row r="186">
      <c r="A186" s="47" t="inlineStr">
        <is>
          <t>ENGI4</t>
        </is>
      </c>
      <c r="B186" s="47" t="inlineStr">
        <is>
          <t>Energisa</t>
        </is>
      </c>
      <c r="C186" s="48" t="inlineStr">
        <is>
          <t>PN</t>
        </is>
      </c>
      <c r="D186" s="47" t="inlineStr">
        <is>
          <t>Utilidade pública</t>
        </is>
      </c>
      <c r="E186" s="47" t="inlineStr">
        <is>
          <t>Energia elétrica</t>
        </is>
      </c>
      <c r="F186" s="47" t="inlineStr">
        <is>
          <t>Energia elétrica</t>
        </is>
      </c>
      <c r="G186" s="50" t="inlineStr">
        <is>
          <t>NÃO</t>
        </is>
      </c>
    </row>
    <row r="187">
      <c r="A187" s="47" t="inlineStr">
        <is>
          <t>ENGI11</t>
        </is>
      </c>
      <c r="B187" s="47" t="inlineStr">
        <is>
          <t>Energisa</t>
        </is>
      </c>
      <c r="C187" s="48" t="inlineStr">
        <is>
          <t>UNT N2</t>
        </is>
      </c>
      <c r="D187" s="47" t="inlineStr">
        <is>
          <t>Utilidade pública</t>
        </is>
      </c>
      <c r="E187" s="47" t="inlineStr">
        <is>
          <t>Energia elétrica</t>
        </is>
      </c>
      <c r="F187" s="47" t="inlineStr">
        <is>
          <t>Energia elétrica</t>
        </is>
      </c>
      <c r="G187" s="50" t="inlineStr">
        <is>
          <t>NÃO</t>
        </is>
      </c>
    </row>
    <row r="188">
      <c r="A188" s="47" t="inlineStr">
        <is>
          <t>ENMT3</t>
        </is>
      </c>
      <c r="B188" s="47" t="inlineStr">
        <is>
          <t>Energisa Mt</t>
        </is>
      </c>
      <c r="C188" s="48" t="inlineStr">
        <is>
          <t>ON</t>
        </is>
      </c>
      <c r="D188" s="47" t="inlineStr">
        <is>
          <t>Utilidade pública</t>
        </is>
      </c>
      <c r="E188" s="47" t="inlineStr">
        <is>
          <t>Energia elétrica</t>
        </is>
      </c>
      <c r="F188" s="47" t="inlineStr">
        <is>
          <t>Energia elétrica</t>
        </is>
      </c>
      <c r="G188" s="50" t="inlineStr">
        <is>
          <t>NÃO</t>
        </is>
      </c>
    </row>
    <row r="189">
      <c r="A189" s="47" t="inlineStr">
        <is>
          <t>ENMT4</t>
        </is>
      </c>
      <c r="B189" s="47" t="inlineStr">
        <is>
          <t>Energisa Mt</t>
        </is>
      </c>
      <c r="C189" s="48" t="inlineStr">
        <is>
          <t>PN</t>
        </is>
      </c>
      <c r="D189" s="47" t="inlineStr">
        <is>
          <t>Utilidade pública</t>
        </is>
      </c>
      <c r="E189" s="47" t="inlineStr">
        <is>
          <t>Energia elétrica</t>
        </is>
      </c>
      <c r="F189" s="47" t="inlineStr">
        <is>
          <t>Energia elétrica</t>
        </is>
      </c>
      <c r="G189" s="50" t="inlineStr">
        <is>
          <t>NÃO</t>
        </is>
      </c>
    </row>
    <row r="190">
      <c r="A190" s="47" t="inlineStr">
        <is>
          <t>ENEV3</t>
        </is>
      </c>
      <c r="B190" s="47" t="inlineStr">
        <is>
          <t>Eneva</t>
        </is>
      </c>
      <c r="C190" s="48" t="inlineStr">
        <is>
          <t>ON</t>
        </is>
      </c>
      <c r="D190" s="47" t="inlineStr">
        <is>
          <t>Utilidade pública</t>
        </is>
      </c>
      <c r="E190" s="47" t="inlineStr">
        <is>
          <t>Energia elétrica</t>
        </is>
      </c>
      <c r="F190" s="47" t="inlineStr">
        <is>
          <t>Energia elétrica</t>
        </is>
      </c>
      <c r="G190" s="50" t="inlineStr">
        <is>
          <t>NÃO</t>
        </is>
      </c>
    </row>
    <row r="191">
      <c r="A191" s="47" t="inlineStr">
        <is>
          <t>EGIE3</t>
        </is>
      </c>
      <c r="B191" s="47" t="inlineStr">
        <is>
          <t>Engie Brasil</t>
        </is>
      </c>
      <c r="C191" s="48" t="inlineStr">
        <is>
          <t>ON</t>
        </is>
      </c>
      <c r="D191" s="47" t="inlineStr">
        <is>
          <t>Utilidade pública</t>
        </is>
      </c>
      <c r="E191" s="47" t="inlineStr">
        <is>
          <t>Energia elétrica</t>
        </is>
      </c>
      <c r="F191" s="47" t="inlineStr">
        <is>
          <t>Energia elétrica</t>
        </is>
      </c>
      <c r="G191" s="50" t="inlineStr">
        <is>
          <t>NÃO</t>
        </is>
      </c>
    </row>
    <row r="192">
      <c r="A192" s="47" t="inlineStr">
        <is>
          <t>ENJU3</t>
        </is>
      </c>
      <c r="B192" s="47" t="inlineStr">
        <is>
          <t>Enjoei</t>
        </is>
      </c>
      <c r="C192" s="48" t="inlineStr">
        <is>
          <t>ON</t>
        </is>
      </c>
      <c r="D192" s="47" t="inlineStr">
        <is>
          <t>Tecnologia da informação</t>
        </is>
      </c>
      <c r="E192" s="47" t="inlineStr">
        <is>
          <t>Programas e serviços</t>
        </is>
      </c>
      <c r="F192" s="47" t="inlineStr">
        <is>
          <t>Programas e serviços</t>
        </is>
      </c>
      <c r="G192" s="50" t="inlineStr">
        <is>
          <t>SIM</t>
        </is>
      </c>
      <c r="H192" s="51" t="inlineStr">
        <is>
          <t>TAXA DE JUROS/CRESCIMENTO ECONOMICO</t>
        </is>
      </c>
    </row>
    <row r="193">
      <c r="A193" s="47" t="inlineStr">
        <is>
          <t>EQMA3B</t>
        </is>
      </c>
      <c r="B193" s="47" t="inlineStr">
        <is>
          <t>Eqtl Maranhao</t>
        </is>
      </c>
      <c r="C193" s="48" t="inlineStr">
        <is>
          <t>ON</t>
        </is>
      </c>
      <c r="D193" s="47" t="inlineStr">
        <is>
          <t>Utilidade pública</t>
        </is>
      </c>
      <c r="E193" s="47" t="inlineStr">
        <is>
          <t>Energia elétrica</t>
        </is>
      </c>
      <c r="F193" s="47" t="inlineStr">
        <is>
          <t>Energia elétrica</t>
        </is>
      </c>
      <c r="G193" s="50" t="inlineStr">
        <is>
          <t>NÃO</t>
        </is>
      </c>
    </row>
    <row r="194">
      <c r="A194" s="47" t="inlineStr">
        <is>
          <t>EQMA5B</t>
        </is>
      </c>
      <c r="B194" s="47" t="inlineStr">
        <is>
          <t>Eqtl Maranhao</t>
        </is>
      </c>
      <c r="C194" s="48" t="inlineStr">
        <is>
          <t>PNA</t>
        </is>
      </c>
      <c r="D194" s="47" t="inlineStr">
        <is>
          <t>Utilidade pública</t>
        </is>
      </c>
      <c r="E194" s="47" t="inlineStr">
        <is>
          <t>Energia elétrica</t>
        </is>
      </c>
      <c r="F194" s="47" t="inlineStr">
        <is>
          <t>Energia elétrica</t>
        </is>
      </c>
      <c r="G194" s="50" t="inlineStr">
        <is>
          <t>NÃO</t>
        </is>
      </c>
    </row>
    <row r="195">
      <c r="A195" s="47" t="inlineStr">
        <is>
          <t>EQMA6B</t>
        </is>
      </c>
      <c r="B195" s="47" t="inlineStr">
        <is>
          <t>Eqtl Maranhao</t>
        </is>
      </c>
      <c r="C195" s="48" t="inlineStr">
        <is>
          <t>PNB</t>
        </is>
      </c>
      <c r="D195" s="47" t="inlineStr">
        <is>
          <t>Utilidade pública</t>
        </is>
      </c>
      <c r="E195" s="47" t="inlineStr">
        <is>
          <t>Energia elétrica</t>
        </is>
      </c>
      <c r="F195" s="47" t="inlineStr">
        <is>
          <t>Energia elétrica</t>
        </is>
      </c>
      <c r="G195" s="50" t="inlineStr">
        <is>
          <t>NÃO</t>
        </is>
      </c>
    </row>
    <row r="196">
      <c r="A196" s="47" t="inlineStr">
        <is>
          <t>EQPA3</t>
        </is>
      </c>
      <c r="B196" s="47" t="inlineStr">
        <is>
          <t>Eqtl Para</t>
        </is>
      </c>
      <c r="C196" s="48" t="inlineStr">
        <is>
          <t>ON</t>
        </is>
      </c>
      <c r="D196" s="47" t="inlineStr">
        <is>
          <t>Utilidade pública</t>
        </is>
      </c>
      <c r="E196" s="47" t="inlineStr">
        <is>
          <t>Energia elétrica</t>
        </is>
      </c>
      <c r="F196" s="47" t="inlineStr">
        <is>
          <t>Energia elétrica</t>
        </is>
      </c>
      <c r="G196" s="50" t="inlineStr">
        <is>
          <t>NÃO</t>
        </is>
      </c>
    </row>
    <row r="197">
      <c r="A197" s="47" t="inlineStr">
        <is>
          <t>EQPA5</t>
        </is>
      </c>
      <c r="B197" s="47" t="inlineStr">
        <is>
          <t>Eqtl Para</t>
        </is>
      </c>
      <c r="C197" s="48" t="inlineStr">
        <is>
          <t>PNA</t>
        </is>
      </c>
      <c r="D197" s="47" t="inlineStr">
        <is>
          <t>Utilidade pública</t>
        </is>
      </c>
      <c r="E197" s="47" t="inlineStr">
        <is>
          <t>Energia elétrica</t>
        </is>
      </c>
      <c r="F197" s="47" t="inlineStr">
        <is>
          <t>Energia elétrica</t>
        </is>
      </c>
      <c r="G197" s="50" t="inlineStr">
        <is>
          <t>NÃO</t>
        </is>
      </c>
    </row>
    <row r="198">
      <c r="A198" s="47" t="inlineStr">
        <is>
          <t>EQPA6</t>
        </is>
      </c>
      <c r="B198" s="47" t="inlineStr">
        <is>
          <t>Eqtl Para</t>
        </is>
      </c>
      <c r="C198" s="48" t="inlineStr">
        <is>
          <t>PNB</t>
        </is>
      </c>
      <c r="D198" s="47" t="inlineStr">
        <is>
          <t>Utilidade pública</t>
        </is>
      </c>
      <c r="E198" s="47" t="inlineStr">
        <is>
          <t>Energia elétrica</t>
        </is>
      </c>
      <c r="F198" s="47" t="inlineStr">
        <is>
          <t>Energia elétrica</t>
        </is>
      </c>
      <c r="G198" s="50" t="inlineStr">
        <is>
          <t>NÃO</t>
        </is>
      </c>
    </row>
    <row r="199">
      <c r="A199" s="47" t="inlineStr">
        <is>
          <t>EQPA7</t>
        </is>
      </c>
      <c r="B199" s="47" t="inlineStr">
        <is>
          <t>Eqtl Para</t>
        </is>
      </c>
      <c r="C199" s="48" t="inlineStr">
        <is>
          <t>PNC</t>
        </is>
      </c>
      <c r="D199" s="47" t="inlineStr">
        <is>
          <t>Utilidade pública</t>
        </is>
      </c>
      <c r="E199" s="47" t="inlineStr">
        <is>
          <t>Energia elétrica</t>
        </is>
      </c>
      <c r="F199" s="47" t="inlineStr">
        <is>
          <t>Energia elétrica</t>
        </is>
      </c>
      <c r="G199" s="50" t="inlineStr">
        <is>
          <t>NÃO</t>
        </is>
      </c>
    </row>
    <row r="200">
      <c r="A200" s="47" t="inlineStr">
        <is>
          <t>EQTL3</t>
        </is>
      </c>
      <c r="B200" s="47" t="inlineStr">
        <is>
          <t>Equatorial</t>
        </is>
      </c>
      <c r="C200" s="48" t="inlineStr">
        <is>
          <t>ON</t>
        </is>
      </c>
      <c r="D200" s="47" t="inlineStr">
        <is>
          <t>Utilidade pública</t>
        </is>
      </c>
      <c r="E200" s="47" t="inlineStr">
        <is>
          <t>Energia elétrica</t>
        </is>
      </c>
      <c r="F200" s="47" t="inlineStr">
        <is>
          <t>Energia elétrica</t>
        </is>
      </c>
      <c r="G200" s="50" t="inlineStr">
        <is>
          <t>NÃO</t>
        </is>
      </c>
    </row>
    <row r="201">
      <c r="A201" s="47" t="inlineStr">
        <is>
          <t>ESPA3</t>
        </is>
      </c>
      <c r="B201" s="47" t="inlineStr">
        <is>
          <t>Espacolaser</t>
        </is>
      </c>
      <c r="C201" s="48" t="inlineStr">
        <is>
          <t>ON</t>
        </is>
      </c>
      <c r="D201" s="47" t="inlineStr">
        <is>
          <t>Consumo cíclico</t>
        </is>
      </c>
      <c r="E201" s="47" t="inlineStr">
        <is>
          <t>Comércio</t>
        </is>
      </c>
      <c r="F201" s="47" t="inlineStr">
        <is>
          <t>Produtos diversos</t>
        </is>
      </c>
      <c r="G201" s="50" t="inlineStr">
        <is>
          <t>SIM</t>
        </is>
      </c>
      <c r="H201" s="51" t="inlineStr">
        <is>
          <t>TAXA DE JUROS/CRESCIMENTO ECONOMICO</t>
        </is>
      </c>
    </row>
    <row r="202">
      <c r="A202" s="47" t="inlineStr">
        <is>
          <t>ALPK3</t>
        </is>
      </c>
      <c r="B202" s="47" t="inlineStr">
        <is>
          <t>Estapar</t>
        </is>
      </c>
      <c r="C202" s="48" t="inlineStr">
        <is>
          <t>ON</t>
        </is>
      </c>
      <c r="D202" s="47" t="inlineStr">
        <is>
          <t>Bens industriais</t>
        </is>
      </c>
      <c r="E202" s="47" t="inlineStr">
        <is>
          <t>Serviços diversos</t>
        </is>
      </c>
      <c r="F202" s="47" t="inlineStr">
        <is>
          <t>Serviços diversos</t>
        </is>
      </c>
      <c r="G202" s="50" t="inlineStr">
        <is>
          <t>SIM</t>
        </is>
      </c>
      <c r="H202" s="51" t="inlineStr">
        <is>
          <t>TAXA DE JUROS/CRESCIMENTO ECONOMICO</t>
        </is>
      </c>
    </row>
    <row r="203">
      <c r="A203" s="47" t="inlineStr">
        <is>
          <t>ESTR3</t>
        </is>
      </c>
      <c r="B203" s="47" t="inlineStr">
        <is>
          <t>Estrela</t>
        </is>
      </c>
      <c r="C203" s="48" t="inlineStr">
        <is>
          <t>ON</t>
        </is>
      </c>
      <c r="D203" s="47" t="inlineStr">
        <is>
          <t>Consumo cíclico</t>
        </is>
      </c>
      <c r="E203" s="47" t="inlineStr">
        <is>
          <t>Viagens e lazer</t>
        </is>
      </c>
      <c r="F203" s="47" t="inlineStr">
        <is>
          <t>Brinquedos e jogos</t>
        </is>
      </c>
      <c r="G203" s="50" t="inlineStr">
        <is>
          <t>SIM</t>
        </is>
      </c>
      <c r="H203" s="51" t="inlineStr">
        <is>
          <t>TAXA DE JUROS/CRESCIMENTO ECONOMICO</t>
        </is>
      </c>
    </row>
    <row r="204">
      <c r="A204" s="47" t="inlineStr">
        <is>
          <t>ESTR4</t>
        </is>
      </c>
      <c r="B204" s="47" t="inlineStr">
        <is>
          <t>Estrela</t>
        </is>
      </c>
      <c r="C204" s="48" t="inlineStr">
        <is>
          <t>PN</t>
        </is>
      </c>
      <c r="D204" s="47" t="inlineStr">
        <is>
          <t>Consumo cíclico</t>
        </is>
      </c>
      <c r="E204" s="47" t="inlineStr">
        <is>
          <t>Viagens e lazer</t>
        </is>
      </c>
      <c r="F204" s="47" t="inlineStr">
        <is>
          <t>Brinquedos e jogos</t>
        </is>
      </c>
      <c r="G204" s="50" t="inlineStr">
        <is>
          <t>SIM</t>
        </is>
      </c>
      <c r="H204" s="51" t="inlineStr">
        <is>
          <t>TAXA DE JUROS/CRESCIMENTO ECONOMICO</t>
        </is>
      </c>
    </row>
    <row r="205">
      <c r="A205" s="47" t="inlineStr">
        <is>
          <t>ETER3</t>
        </is>
      </c>
      <c r="B205" s="47" t="inlineStr">
        <is>
          <t>Eternit</t>
        </is>
      </c>
      <c r="C205" s="48" t="inlineStr">
        <is>
          <t>ON</t>
        </is>
      </c>
      <c r="D205" s="47" t="inlineStr">
        <is>
          <t>Bens industriais</t>
        </is>
      </c>
      <c r="E205" s="47" t="inlineStr">
        <is>
          <t>Construção e engenharia</t>
        </is>
      </c>
      <c r="F205" s="47" t="inlineStr">
        <is>
          <t>Produtos para construção</t>
        </is>
      </c>
      <c r="G205" s="50" t="inlineStr">
        <is>
          <t>SIM</t>
        </is>
      </c>
      <c r="H205" s="51" t="inlineStr">
        <is>
          <t>TAXA DE JUROS/CRESCIMENTO ECONOMICO</t>
        </is>
      </c>
    </row>
    <row r="206">
      <c r="A206" s="47" t="inlineStr">
        <is>
          <t>EUCA3</t>
        </is>
      </c>
      <c r="B206" s="47" t="inlineStr">
        <is>
          <t>Eucatex</t>
        </is>
      </c>
      <c r="C206" s="48" t="inlineStr">
        <is>
          <t>ON</t>
        </is>
      </c>
      <c r="D206" s="47" t="inlineStr">
        <is>
          <t>Materiais básicos</t>
        </is>
      </c>
      <c r="E206" s="47" t="inlineStr">
        <is>
          <t>Madeira e papel</t>
        </is>
      </c>
      <c r="F206" s="47" t="inlineStr">
        <is>
          <t>Madeira</t>
        </is>
      </c>
      <c r="G206" s="50" t="inlineStr">
        <is>
          <t>SIM</t>
        </is>
      </c>
      <c r="H206" s="51" t="inlineStr">
        <is>
          <t>CELULOSE/DOLAR</t>
        </is>
      </c>
    </row>
    <row r="207">
      <c r="A207" s="47" t="inlineStr">
        <is>
          <t>EUCA4</t>
        </is>
      </c>
      <c r="B207" s="47" t="inlineStr">
        <is>
          <t>Eucatex</t>
        </is>
      </c>
      <c r="C207" s="48" t="inlineStr">
        <is>
          <t>PN</t>
        </is>
      </c>
      <c r="D207" s="47" t="inlineStr">
        <is>
          <t>Materiais básicos</t>
        </is>
      </c>
      <c r="E207" s="47" t="inlineStr">
        <is>
          <t>Madeira e papel</t>
        </is>
      </c>
      <c r="F207" s="47" t="inlineStr">
        <is>
          <t>Madeira</t>
        </is>
      </c>
      <c r="G207" s="50" t="inlineStr">
        <is>
          <t>SIM</t>
        </is>
      </c>
      <c r="H207" s="51" t="inlineStr">
        <is>
          <t>CELULOSE/DOLAR</t>
        </is>
      </c>
    </row>
    <row r="208">
      <c r="A208" s="47" t="inlineStr">
        <is>
          <t>EUFA3</t>
        </is>
      </c>
      <c r="B208" s="47" t="inlineStr">
        <is>
          <t>Eurofarma SA</t>
        </is>
      </c>
      <c r="C208" s="48" t="inlineStr">
        <is>
          <t>ON</t>
        </is>
      </c>
      <c r="D208" s="47" t="inlineStr">
        <is>
          <t>Saúde</t>
        </is>
      </c>
      <c r="E208" s="47" t="inlineStr">
        <is>
          <t>Comércio e distribuição</t>
        </is>
      </c>
      <c r="F208" s="47" t="inlineStr">
        <is>
          <t>Medicamentos e outros produtos</t>
        </is>
      </c>
      <c r="G208" s="50" t="inlineStr">
        <is>
          <t>NÃO</t>
        </is>
      </c>
    </row>
    <row r="209">
      <c r="A209" s="47" t="inlineStr">
        <is>
          <t>EVEN3</t>
        </is>
      </c>
      <c r="B209" s="47" t="inlineStr">
        <is>
          <t>Even</t>
        </is>
      </c>
      <c r="C209" s="48" t="inlineStr">
        <is>
          <t>ON</t>
        </is>
      </c>
      <c r="D209" s="47" t="inlineStr">
        <is>
          <t>Consumo cíclico</t>
        </is>
      </c>
      <c r="E209" s="47" t="inlineStr">
        <is>
          <t>Construção civil</t>
        </is>
      </c>
      <c r="F209" s="47" t="inlineStr">
        <is>
          <t>Incorporações</t>
        </is>
      </c>
      <c r="G209" s="50" t="inlineStr">
        <is>
          <t>SIM</t>
        </is>
      </c>
      <c r="H209" s="51" t="inlineStr">
        <is>
          <t>TAXA DE JUROS/CRESCIMENTO ECONOMICO</t>
        </is>
      </c>
    </row>
    <row r="210">
      <c r="A210" s="47" t="inlineStr">
        <is>
          <t>BAUH3</t>
        </is>
      </c>
      <c r="B210" s="47" t="inlineStr">
        <is>
          <t>Excelsior</t>
        </is>
      </c>
      <c r="C210" s="48" t="inlineStr">
        <is>
          <t>ON</t>
        </is>
      </c>
      <c r="D210" s="47" t="inlineStr">
        <is>
          <t>Consumo não cíclico</t>
        </is>
      </c>
      <c r="E210" s="47" t="inlineStr">
        <is>
          <t>Alimentos processados</t>
        </is>
      </c>
      <c r="F210" s="47" t="inlineStr">
        <is>
          <t>Carnes e derivados</t>
        </is>
      </c>
      <c r="G210" s="50" t="inlineStr">
        <is>
          <t>SIM</t>
        </is>
      </c>
      <c r="H210" s="51" t="inlineStr">
        <is>
          <t>COMMODITIES/DÓLAR</t>
        </is>
      </c>
    </row>
    <row r="211">
      <c r="A211" s="47" t="inlineStr">
        <is>
          <t>BAUH4</t>
        </is>
      </c>
      <c r="B211" s="47" t="inlineStr">
        <is>
          <t>Excelsior</t>
        </is>
      </c>
      <c r="C211" s="48" t="inlineStr">
        <is>
          <t>PN</t>
        </is>
      </c>
      <c r="D211" s="47" t="inlineStr">
        <is>
          <t>Consumo não cíclico</t>
        </is>
      </c>
      <c r="E211" s="47" t="inlineStr">
        <is>
          <t>Alimentos processados</t>
        </is>
      </c>
      <c r="F211" s="47" t="inlineStr">
        <is>
          <t>Carnes e derivados</t>
        </is>
      </c>
      <c r="G211" s="50" t="inlineStr">
        <is>
          <t>SIM</t>
        </is>
      </c>
      <c r="H211" s="51" t="inlineStr">
        <is>
          <t>COMMODITIES/DÓLAR</t>
        </is>
      </c>
    </row>
    <row r="212">
      <c r="A212" s="47" t="inlineStr">
        <is>
          <t>EZTC3</t>
        </is>
      </c>
      <c r="B212" s="47" t="inlineStr">
        <is>
          <t>Eztec</t>
        </is>
      </c>
      <c r="C212" s="48" t="inlineStr">
        <is>
          <t>ON</t>
        </is>
      </c>
      <c r="D212" s="47" t="inlineStr">
        <is>
          <t>Consumo cíclico</t>
        </is>
      </c>
      <c r="E212" s="47" t="inlineStr">
        <is>
          <t>Construção civil</t>
        </is>
      </c>
      <c r="F212" s="47" t="inlineStr">
        <is>
          <t>Incorporações</t>
        </is>
      </c>
      <c r="G212" s="50" t="inlineStr">
        <is>
          <t>SIM</t>
        </is>
      </c>
      <c r="H212" s="51" t="inlineStr">
        <is>
          <t>TAXA DE JUROS/CRESCIMENTO ECONOMICO</t>
        </is>
      </c>
    </row>
    <row r="213">
      <c r="A213" s="47" t="inlineStr">
        <is>
          <t>FHER3</t>
        </is>
      </c>
      <c r="B213" s="47" t="inlineStr">
        <is>
          <t>Fer Heringer</t>
        </is>
      </c>
      <c r="C213" s="48" t="inlineStr">
        <is>
          <t>ON</t>
        </is>
      </c>
      <c r="D213" s="47" t="inlineStr">
        <is>
          <t>Materiais básicos</t>
        </is>
      </c>
      <c r="E213" s="47" t="inlineStr">
        <is>
          <t>Químicos</t>
        </is>
      </c>
      <c r="F213" s="47" t="inlineStr">
        <is>
          <t>Fertilizantes e defensivos</t>
        </is>
      </c>
      <c r="G213" s="50" t="inlineStr">
        <is>
          <t>SIM</t>
        </is>
      </c>
      <c r="H213" s="51" t="inlineStr">
        <is>
          <t>DÓLAR</t>
        </is>
      </c>
    </row>
    <row r="214">
      <c r="A214" s="47" t="inlineStr">
        <is>
          <t>FESA3</t>
        </is>
      </c>
      <c r="B214" s="47" t="inlineStr">
        <is>
          <t>Ferbasa</t>
        </is>
      </c>
      <c r="C214" s="48" t="inlineStr">
        <is>
          <t>ON</t>
        </is>
      </c>
      <c r="D214" s="47" t="inlineStr">
        <is>
          <t>Materiais básicos</t>
        </is>
      </c>
      <c r="E214" s="47" t="inlineStr">
        <is>
          <t>Siderurgia e metalurgia</t>
        </is>
      </c>
      <c r="F214" s="47" t="inlineStr">
        <is>
          <t>Siderurgia</t>
        </is>
      </c>
      <c r="G214" s="50" t="inlineStr">
        <is>
          <t>SIM</t>
        </is>
      </c>
      <c r="H214" s="52" t="inlineStr">
        <is>
          <t>MINÉRIO/DÓLAR</t>
        </is>
      </c>
    </row>
    <row r="215">
      <c r="A215" s="47" t="inlineStr">
        <is>
          <t>FESA4</t>
        </is>
      </c>
      <c r="B215" s="47" t="inlineStr">
        <is>
          <t>Ferbasa</t>
        </is>
      </c>
      <c r="C215" s="48" t="inlineStr">
        <is>
          <t>PN</t>
        </is>
      </c>
      <c r="D215" s="47" t="inlineStr">
        <is>
          <t>Materiais básicos</t>
        </is>
      </c>
      <c r="E215" s="47" t="inlineStr">
        <is>
          <t>Siderurgia e metalurgia</t>
        </is>
      </c>
      <c r="F215" s="47" t="inlineStr">
        <is>
          <t>Siderurgia</t>
        </is>
      </c>
      <c r="G215" s="50" t="inlineStr">
        <is>
          <t>SIM</t>
        </is>
      </c>
      <c r="H215" s="52" t="inlineStr">
        <is>
          <t>MINÉRIO/DÓLAR</t>
        </is>
      </c>
    </row>
    <row r="216">
      <c r="A216" s="47" t="inlineStr">
        <is>
          <t>FIEI3</t>
        </is>
      </c>
      <c r="B216" s="47" t="inlineStr">
        <is>
          <t>Fica</t>
        </is>
      </c>
      <c r="C216" s="48" t="inlineStr">
        <is>
          <t>ON</t>
        </is>
      </c>
      <c r="D216" s="47" t="inlineStr">
        <is>
          <t>Consumo cíclico</t>
        </is>
      </c>
      <c r="E216" s="47" t="inlineStr">
        <is>
          <t>Construção civil</t>
        </is>
      </c>
      <c r="F216" s="47" t="inlineStr">
        <is>
          <t>Incorporações</t>
        </is>
      </c>
      <c r="G216" s="50" t="inlineStr">
        <is>
          <t>SIM</t>
        </is>
      </c>
      <c r="H216" s="51" t="inlineStr">
        <is>
          <t>TAXA DE JUROS/CRESCIMENTO ECONOMICO</t>
        </is>
      </c>
    </row>
    <row r="217">
      <c r="A217" s="47" t="inlineStr">
        <is>
          <t>FLRY3</t>
        </is>
      </c>
      <c r="B217" s="47" t="inlineStr">
        <is>
          <t>Fleury</t>
        </is>
      </c>
      <c r="C217" s="48" t="inlineStr">
        <is>
          <t>ON</t>
        </is>
      </c>
      <c r="D217" s="47" t="inlineStr">
        <is>
          <t>Saúde</t>
        </is>
      </c>
      <c r="E217" s="47" t="inlineStr">
        <is>
          <t>Serviços médico-hospitalares análises e diagnósticos</t>
        </is>
      </c>
      <c r="F217" s="47" t="inlineStr">
        <is>
          <t>Serviços médico-hospitalares análises e diagnósticos</t>
        </is>
      </c>
      <c r="G217" s="50" t="inlineStr">
        <is>
          <t>NÃO</t>
        </is>
      </c>
    </row>
    <row r="218">
      <c r="A218" s="47" t="inlineStr">
        <is>
          <t>FRAS3</t>
        </is>
      </c>
      <c r="B218" s="47" t="inlineStr">
        <is>
          <t>Fras-Le</t>
        </is>
      </c>
      <c r="C218" s="48" t="inlineStr">
        <is>
          <t>ON</t>
        </is>
      </c>
      <c r="D218" s="47" t="inlineStr">
        <is>
          <t>Bens industriais</t>
        </is>
      </c>
      <c r="E218" s="47" t="inlineStr">
        <is>
          <t>Material de transporte</t>
        </is>
      </c>
      <c r="F218" s="47" t="inlineStr">
        <is>
          <t>Material rodoviário</t>
        </is>
      </c>
      <c r="G218" s="50" t="inlineStr">
        <is>
          <t>SIM</t>
        </is>
      </c>
      <c r="H218" s="51" t="inlineStr">
        <is>
          <t>TAXA DE JUROS/CRESCIMENTO ECONOMICO</t>
        </is>
      </c>
    </row>
    <row r="219">
      <c r="A219" s="47" t="inlineStr">
        <is>
          <t>G2DI33</t>
        </is>
      </c>
      <c r="B219" s="47" t="inlineStr">
        <is>
          <t>G2d Invest</t>
        </is>
      </c>
      <c r="C219" s="48" t="inlineStr">
        <is>
          <t>A</t>
        </is>
      </c>
      <c r="D219" s="47" t="inlineStr">
        <is>
          <t>Financeiro</t>
        </is>
      </c>
      <c r="E219" s="47" t="inlineStr">
        <is>
          <t>Serviços financeiros diversos</t>
        </is>
      </c>
      <c r="F219" s="47" t="inlineStr">
        <is>
          <t>Gestão de recursos e investimentos</t>
        </is>
      </c>
      <c r="G219" s="50" t="inlineStr">
        <is>
          <t>SIM</t>
        </is>
      </c>
      <c r="H219" s="51" t="inlineStr">
        <is>
          <t>TAXA DE JUROS/CRESCIMENTO ECONOMICO</t>
        </is>
      </c>
    </row>
    <row r="220">
      <c r="A220" s="47" t="inlineStr">
        <is>
          <t>GFSA3</t>
        </is>
      </c>
      <c r="B220" s="47" t="inlineStr">
        <is>
          <t>Gafisa</t>
        </is>
      </c>
      <c r="C220" s="48" t="inlineStr">
        <is>
          <t>ON</t>
        </is>
      </c>
      <c r="D220" s="47" t="inlineStr">
        <is>
          <t>Consumo cíclico</t>
        </is>
      </c>
      <c r="E220" s="47" t="inlineStr">
        <is>
          <t>Construção civil</t>
        </is>
      </c>
      <c r="F220" s="47" t="inlineStr">
        <is>
          <t>Incorporações</t>
        </is>
      </c>
      <c r="G220" s="50" t="inlineStr">
        <is>
          <t>SIM</t>
        </is>
      </c>
      <c r="H220" s="51" t="inlineStr">
        <is>
          <t>TAXA DE JUROS/CRESCIMENTO ECONOMICO</t>
        </is>
      </c>
    </row>
    <row r="221">
      <c r="A221" s="47" t="inlineStr">
        <is>
          <t>OPGM3</t>
        </is>
      </c>
      <c r="B221" s="47" t="inlineStr">
        <is>
          <t>Gama Part</t>
        </is>
      </c>
      <c r="C221" s="48" t="inlineStr">
        <is>
          <t>ON</t>
        </is>
      </c>
      <c r="D221" s="47" t="inlineStr">
        <is>
          <t>Outros</t>
        </is>
      </c>
      <c r="E221" s="47" t="inlineStr">
        <is>
          <t>Outros</t>
        </is>
      </c>
      <c r="F221" s="47" t="inlineStr">
        <is>
          <t>Outros</t>
        </is>
      </c>
    </row>
    <row r="222">
      <c r="A222" s="47" t="inlineStr">
        <is>
          <t>GSHP3</t>
        </is>
      </c>
      <c r="B222" s="47" t="inlineStr">
        <is>
          <t>Generalshopp</t>
        </is>
      </c>
      <c r="C222" s="48" t="inlineStr">
        <is>
          <t>ON</t>
        </is>
      </c>
      <c r="D222" s="47" t="inlineStr">
        <is>
          <t>Financeiro</t>
        </is>
      </c>
      <c r="E222" s="47" t="inlineStr">
        <is>
          <t>Exploração de imóveis</t>
        </is>
      </c>
      <c r="F222" s="47" t="inlineStr">
        <is>
          <t>Exploração de imóveis</t>
        </is>
      </c>
      <c r="G222" s="50" t="inlineStr">
        <is>
          <t>SIM</t>
        </is>
      </c>
      <c r="H222" s="51" t="inlineStr">
        <is>
          <t>TAXA DE JUROS/CRESCIMENTO ECONOMICO</t>
        </is>
      </c>
    </row>
    <row r="223">
      <c r="A223" s="47" t="inlineStr">
        <is>
          <t>GEPA3</t>
        </is>
      </c>
      <c r="B223" s="47" t="inlineStr">
        <is>
          <t>Ger Paranap</t>
        </is>
      </c>
      <c r="C223" s="48" t="inlineStr">
        <is>
          <t>ON</t>
        </is>
      </c>
      <c r="D223" s="47" t="inlineStr">
        <is>
          <t>Utilidade pública</t>
        </is>
      </c>
      <c r="E223" s="47" t="inlineStr">
        <is>
          <t>Energia elétrica</t>
        </is>
      </c>
      <c r="F223" s="47" t="inlineStr">
        <is>
          <t>Energia elétrica</t>
        </is>
      </c>
      <c r="G223" s="50" t="inlineStr">
        <is>
          <t>NÃO</t>
        </is>
      </c>
    </row>
    <row r="224">
      <c r="A224" s="47" t="inlineStr">
        <is>
          <t>GEPA4</t>
        </is>
      </c>
      <c r="B224" s="47" t="inlineStr">
        <is>
          <t>Ger Paranap</t>
        </is>
      </c>
      <c r="C224" s="48" t="inlineStr">
        <is>
          <t>PN</t>
        </is>
      </c>
      <c r="D224" s="47" t="inlineStr">
        <is>
          <t>Utilidade pública</t>
        </is>
      </c>
      <c r="E224" s="47" t="inlineStr">
        <is>
          <t>Energia elétrica</t>
        </is>
      </c>
      <c r="F224" s="47" t="inlineStr">
        <is>
          <t>Energia elétrica</t>
        </is>
      </c>
      <c r="G224" s="50" t="inlineStr">
        <is>
          <t>NÃO</t>
        </is>
      </c>
    </row>
    <row r="225">
      <c r="A225" s="47" t="inlineStr">
        <is>
          <t>GGBR3</t>
        </is>
      </c>
      <c r="B225" s="47" t="inlineStr">
        <is>
          <t>Gerdau</t>
        </is>
      </c>
      <c r="C225" s="48" t="inlineStr">
        <is>
          <t>ON</t>
        </is>
      </c>
      <c r="D225" s="47" t="inlineStr">
        <is>
          <t>Materiais básicos</t>
        </is>
      </c>
      <c r="E225" s="47" t="inlineStr">
        <is>
          <t>Siderurgia e metalurgia</t>
        </is>
      </c>
      <c r="F225" s="47" t="inlineStr">
        <is>
          <t>Siderurgia</t>
        </is>
      </c>
      <c r="G225" s="50" t="inlineStr">
        <is>
          <t>SIM</t>
        </is>
      </c>
      <c r="H225" s="52" t="inlineStr">
        <is>
          <t>MINÉRIO/DÓLAR</t>
        </is>
      </c>
    </row>
    <row r="226">
      <c r="A226" s="47" t="inlineStr">
        <is>
          <t>GGBR4</t>
        </is>
      </c>
      <c r="B226" s="47" t="inlineStr">
        <is>
          <t>Gerdau</t>
        </is>
      </c>
      <c r="C226" s="48" t="inlineStr">
        <is>
          <t>PN</t>
        </is>
      </c>
      <c r="D226" s="47" t="inlineStr">
        <is>
          <t>Materiais básicos</t>
        </is>
      </c>
      <c r="E226" s="47" t="inlineStr">
        <is>
          <t>Siderurgia e metalurgia</t>
        </is>
      </c>
      <c r="F226" s="47" t="inlineStr">
        <is>
          <t>Siderurgia</t>
        </is>
      </c>
      <c r="G226" s="50" t="inlineStr">
        <is>
          <t>SIM</t>
        </is>
      </c>
      <c r="H226" s="52" t="inlineStr">
        <is>
          <t>MINÉRIO/DÓLAR</t>
        </is>
      </c>
    </row>
    <row r="227">
      <c r="A227" s="47" t="inlineStr">
        <is>
          <t>GOAU3</t>
        </is>
      </c>
      <c r="B227" s="47" t="inlineStr">
        <is>
          <t>Gerdau Met</t>
        </is>
      </c>
      <c r="C227" s="48" t="inlineStr">
        <is>
          <t>ON</t>
        </is>
      </c>
      <c r="D227" s="47" t="inlineStr">
        <is>
          <t>Materiais básicos</t>
        </is>
      </c>
      <c r="E227" s="47" t="inlineStr">
        <is>
          <t>Siderurgia e metalurgia</t>
        </is>
      </c>
      <c r="F227" s="47" t="inlineStr">
        <is>
          <t>Siderurgia</t>
        </is>
      </c>
      <c r="G227" s="50" t="inlineStr">
        <is>
          <t>SIM</t>
        </is>
      </c>
      <c r="H227" s="52" t="inlineStr">
        <is>
          <t>MINÉRIO/DÓLAR</t>
        </is>
      </c>
    </row>
    <row r="228">
      <c r="A228" s="47" t="inlineStr">
        <is>
          <t>GOAU4</t>
        </is>
      </c>
      <c r="B228" s="47" t="inlineStr">
        <is>
          <t>Gerdau Met</t>
        </is>
      </c>
      <c r="C228" s="48" t="inlineStr">
        <is>
          <t>PN</t>
        </is>
      </c>
      <c r="D228" s="47" t="inlineStr">
        <is>
          <t>Materiais básicos</t>
        </is>
      </c>
      <c r="E228" s="47" t="inlineStr">
        <is>
          <t>Siderurgia e metalurgia</t>
        </is>
      </c>
      <c r="F228" s="47" t="inlineStr">
        <is>
          <t>Siderurgia</t>
        </is>
      </c>
      <c r="G228" s="50" t="inlineStr">
        <is>
          <t>SIM</t>
        </is>
      </c>
      <c r="H228" s="52" t="inlineStr">
        <is>
          <t>MINÉRIO/DÓLAR</t>
        </is>
      </c>
    </row>
    <row r="229">
      <c r="A229" s="47" t="inlineStr">
        <is>
          <t>NINJ3</t>
        </is>
      </c>
      <c r="B229" s="47" t="inlineStr">
        <is>
          <t>Getninjas</t>
        </is>
      </c>
      <c r="C229" s="48" t="inlineStr">
        <is>
          <t>ON</t>
        </is>
      </c>
      <c r="D229" s="47" t="inlineStr">
        <is>
          <t>Tecnologia da informação</t>
        </is>
      </c>
      <c r="E229" s="47" t="inlineStr">
        <is>
          <t>Programas e serviços</t>
        </is>
      </c>
      <c r="F229" s="47" t="inlineStr">
        <is>
          <t>Programas e serviços</t>
        </is>
      </c>
      <c r="G229" s="50" t="inlineStr">
        <is>
          <t>SIM</t>
        </is>
      </c>
      <c r="H229" s="51" t="inlineStr">
        <is>
          <t>TAXA DE JUROS/CRESCIMENTO ECONOMICO</t>
        </is>
      </c>
    </row>
    <row r="230">
      <c r="A230" s="47" t="inlineStr">
        <is>
          <t>GOLL3</t>
        </is>
      </c>
      <c r="B230" s="47" t="inlineStr">
        <is>
          <t>Gol</t>
        </is>
      </c>
      <c r="C230" s="48" t="inlineStr">
        <is>
          <t>ON</t>
        </is>
      </c>
      <c r="D230" s="47" t="inlineStr">
        <is>
          <t>Bens industriais</t>
        </is>
      </c>
      <c r="E230" s="47" t="inlineStr">
        <is>
          <t>Transporte</t>
        </is>
      </c>
      <c r="F230" s="47" t="inlineStr">
        <is>
          <t>Transporte aéreo</t>
        </is>
      </c>
      <c r="G230" s="50" t="inlineStr">
        <is>
          <t>SIM</t>
        </is>
      </c>
      <c r="H230" s="51" t="inlineStr">
        <is>
          <t>TAXA DE JUROS/CRESCIMENTO ECONOMICO</t>
        </is>
      </c>
    </row>
    <row r="231">
      <c r="A231" s="47" t="inlineStr">
        <is>
          <t>GOLL4</t>
        </is>
      </c>
      <c r="B231" s="47" t="inlineStr">
        <is>
          <t>Gol</t>
        </is>
      </c>
      <c r="C231" s="48" t="inlineStr">
        <is>
          <t>PN</t>
        </is>
      </c>
      <c r="D231" s="47" t="inlineStr">
        <is>
          <t>Bens industriais</t>
        </is>
      </c>
      <c r="E231" s="47" t="inlineStr">
        <is>
          <t>Transporte</t>
        </is>
      </c>
      <c r="F231" s="47" t="inlineStr">
        <is>
          <t>Transporte aéreo</t>
        </is>
      </c>
      <c r="G231" s="50" t="inlineStr">
        <is>
          <t>SIM</t>
        </is>
      </c>
      <c r="H231" s="51" t="inlineStr">
        <is>
          <t>TAXA DE JUROS/CRESCIMENTO ECONOMICO</t>
        </is>
      </c>
    </row>
    <row r="232">
      <c r="A232" s="47" t="inlineStr">
        <is>
          <t>GPIV33</t>
        </is>
      </c>
      <c r="B232" s="47" t="inlineStr">
        <is>
          <t>GP Invest</t>
        </is>
      </c>
      <c r="C232" s="48" t="inlineStr">
        <is>
          <t>A</t>
        </is>
      </c>
      <c r="D232" s="47" t="inlineStr">
        <is>
          <t>Financeiro</t>
        </is>
      </c>
      <c r="E232" s="47" t="inlineStr">
        <is>
          <t>Serviços financeiros diversos</t>
        </is>
      </c>
      <c r="F232" s="47" t="inlineStr">
        <is>
          <t>Gestão de recursos e investimentos</t>
        </is>
      </c>
      <c r="G232" s="50" t="inlineStr">
        <is>
          <t>SIM</t>
        </is>
      </c>
      <c r="H232" s="51" t="inlineStr">
        <is>
          <t>TAXA DE JUROS/CRESCIMENTO ECONOMICO</t>
        </is>
      </c>
    </row>
    <row r="233">
      <c r="A233" s="47" t="inlineStr">
        <is>
          <t>GGPS3</t>
        </is>
      </c>
      <c r="B233" s="47" t="inlineStr">
        <is>
          <t>Gps</t>
        </is>
      </c>
      <c r="C233" s="48" t="inlineStr">
        <is>
          <t>ON</t>
        </is>
      </c>
      <c r="D233" s="47" t="inlineStr">
        <is>
          <t>Bens industriais</t>
        </is>
      </c>
      <c r="E233" s="47" t="inlineStr">
        <is>
          <t>Serviços diversos</t>
        </is>
      </c>
      <c r="F233" s="47" t="inlineStr">
        <is>
          <t>Serviços diversos</t>
        </is>
      </c>
      <c r="G233" s="50" t="inlineStr">
        <is>
          <t>SIM</t>
        </is>
      </c>
      <c r="H233" s="51" t="inlineStr">
        <is>
          <t>TAXA DE JUROS/CRESCIMENTO ECONOMICO</t>
        </is>
      </c>
    </row>
    <row r="234">
      <c r="A234" s="47" t="inlineStr">
        <is>
          <t>EGGY3</t>
        </is>
      </c>
      <c r="B234" s="47" t="inlineStr">
        <is>
          <t>Granja Faria</t>
        </is>
      </c>
      <c r="C234" s="48" t="inlineStr">
        <is>
          <t>ON</t>
        </is>
      </c>
      <c r="D234" s="47" t="inlineStr">
        <is>
          <t>-</t>
        </is>
      </c>
      <c r="E234" s="47" t="inlineStr">
        <is>
          <t>-</t>
        </is>
      </c>
      <c r="F234" s="47" t="inlineStr">
        <is>
          <t>-</t>
        </is>
      </c>
    </row>
    <row r="235">
      <c r="A235" s="47" t="inlineStr">
        <is>
          <t>CGRA3</t>
        </is>
      </c>
      <c r="B235" s="47" t="inlineStr">
        <is>
          <t>Grazziotin</t>
        </is>
      </c>
      <c r="C235" s="48" t="inlineStr">
        <is>
          <t>ON</t>
        </is>
      </c>
      <c r="D235" s="47" t="inlineStr">
        <is>
          <t>Consumo cíclico</t>
        </is>
      </c>
      <c r="E235" s="47" t="inlineStr">
        <is>
          <t>Comércio</t>
        </is>
      </c>
      <c r="F235" s="47" t="inlineStr">
        <is>
          <t>Tecidos vestuário e calçados</t>
        </is>
      </c>
      <c r="G235" s="50" t="inlineStr">
        <is>
          <t>SIM</t>
        </is>
      </c>
      <c r="H235" s="51" t="inlineStr">
        <is>
          <t>TAXA DE JUROS/CRESCIMENTO ECONOMICO</t>
        </is>
      </c>
    </row>
    <row r="236">
      <c r="A236" s="47" t="inlineStr">
        <is>
          <t>CGRA4</t>
        </is>
      </c>
      <c r="B236" s="47" t="inlineStr">
        <is>
          <t>Grazziotin</t>
        </is>
      </c>
      <c r="C236" s="48" t="inlineStr">
        <is>
          <t>PN</t>
        </is>
      </c>
      <c r="D236" s="47" t="inlineStr">
        <is>
          <t>Consumo cíclico</t>
        </is>
      </c>
      <c r="E236" s="47" t="inlineStr">
        <is>
          <t>Comércio</t>
        </is>
      </c>
      <c r="F236" s="47" t="inlineStr">
        <is>
          <t>Tecidos vestuário e calçados</t>
        </is>
      </c>
      <c r="G236" s="50" t="inlineStr">
        <is>
          <t>SIM</t>
        </is>
      </c>
      <c r="H236" s="51" t="inlineStr">
        <is>
          <t>TAXA DE JUROS/CRESCIMENTO ECONOMICO</t>
        </is>
      </c>
    </row>
    <row r="237">
      <c r="A237" s="47" t="inlineStr">
        <is>
          <t>GRND3</t>
        </is>
      </c>
      <c r="B237" s="47" t="inlineStr">
        <is>
          <t>Grendene</t>
        </is>
      </c>
      <c r="C237" s="48" t="inlineStr">
        <is>
          <t>ON</t>
        </is>
      </c>
      <c r="D237" s="47" t="inlineStr">
        <is>
          <t>Consumo cíclico</t>
        </is>
      </c>
      <c r="E237" s="47" t="inlineStr">
        <is>
          <t>Tecidos vestuário e calçados</t>
        </is>
      </c>
      <c r="F237" s="47" t="inlineStr">
        <is>
          <t>Calçados</t>
        </is>
      </c>
      <c r="G237" s="50" t="inlineStr">
        <is>
          <t>SIM</t>
        </is>
      </c>
      <c r="H237" s="51" t="inlineStr">
        <is>
          <t>TAXA DE JUROS/CRESCIMENTO ECONOMICO</t>
        </is>
      </c>
    </row>
    <row r="238">
      <c r="A238" s="47" t="inlineStr">
        <is>
          <t>GMAT3</t>
        </is>
      </c>
      <c r="B238" s="47" t="inlineStr">
        <is>
          <t>Grupo Mateus</t>
        </is>
      </c>
      <c r="C238" s="48" t="inlineStr">
        <is>
          <t>ON</t>
        </is>
      </c>
      <c r="D238" s="47" t="inlineStr">
        <is>
          <t>Consumo não cíclico</t>
        </is>
      </c>
      <c r="E238" s="47" t="inlineStr">
        <is>
          <t>Comércio e distribuição</t>
        </is>
      </c>
      <c r="F238" s="47" t="inlineStr">
        <is>
          <t>Alimentos</t>
        </is>
      </c>
      <c r="G238" s="50" t="inlineStr">
        <is>
          <t>SIM</t>
        </is>
      </c>
      <c r="H238" s="51" t="inlineStr">
        <is>
          <t>TAXA DE JUROS/CRESCIMENTO ECONOMICO</t>
        </is>
      </c>
    </row>
    <row r="239">
      <c r="A239" s="47" t="inlineStr">
        <is>
          <t>NTCO3</t>
        </is>
      </c>
      <c r="B239" s="47" t="inlineStr">
        <is>
          <t>Grupo Natura</t>
        </is>
      </c>
      <c r="C239" s="48" t="inlineStr">
        <is>
          <t>ON</t>
        </is>
      </c>
      <c r="D239" s="47" t="inlineStr">
        <is>
          <t>Consumo não cíclico</t>
        </is>
      </c>
      <c r="E239" s="47" t="inlineStr">
        <is>
          <t>Produtos de uso pessoal e de limpeza</t>
        </is>
      </c>
      <c r="F239" s="47" t="inlineStr">
        <is>
          <t>Produtos de uso pessoal</t>
        </is>
      </c>
      <c r="G239" s="50" t="inlineStr">
        <is>
          <t>SIM</t>
        </is>
      </c>
      <c r="H239" s="51" t="inlineStr">
        <is>
          <t>TAXA DE JUROS/CRESCIMENTO ECONOMICO</t>
        </is>
      </c>
    </row>
    <row r="240">
      <c r="A240" s="47" t="inlineStr">
        <is>
          <t>SBFG3</t>
        </is>
      </c>
      <c r="B240" s="47" t="inlineStr">
        <is>
          <t>Grupo Sbf</t>
        </is>
      </c>
      <c r="C240" s="48" t="inlineStr">
        <is>
          <t>ON</t>
        </is>
      </c>
      <c r="D240" s="47" t="inlineStr">
        <is>
          <t>Consumo cíclico</t>
        </is>
      </c>
      <c r="E240" s="47" t="inlineStr">
        <is>
          <t>Comércio</t>
        </is>
      </c>
      <c r="F240" s="47" t="inlineStr">
        <is>
          <t>Produtos diversos</t>
        </is>
      </c>
      <c r="G240" s="50" t="inlineStr">
        <is>
          <t>SIM</t>
        </is>
      </c>
      <c r="H240" s="51" t="inlineStr">
        <is>
          <t>TAXA DE JUROS/CRESCIMENTO ECONOMICO</t>
        </is>
      </c>
    </row>
    <row r="241">
      <c r="A241" s="47" t="inlineStr">
        <is>
          <t>GUAR3</t>
        </is>
      </c>
      <c r="B241" s="47" t="inlineStr">
        <is>
          <t>Guararapes</t>
        </is>
      </c>
      <c r="C241" s="48" t="inlineStr">
        <is>
          <t>ON</t>
        </is>
      </c>
      <c r="D241" s="47" t="inlineStr">
        <is>
          <t>Consumo cíclico</t>
        </is>
      </c>
      <c r="E241" s="47" t="inlineStr">
        <is>
          <t>Comércio</t>
        </is>
      </c>
      <c r="F241" s="47" t="inlineStr">
        <is>
          <t>Tecidos vestuário e calçados</t>
        </is>
      </c>
      <c r="G241" s="50" t="inlineStr">
        <is>
          <t>SIM</t>
        </is>
      </c>
      <c r="H241" s="51" t="inlineStr">
        <is>
          <t>TAXA DE JUROS/CRESCIMENTO ECONOMICO</t>
        </is>
      </c>
    </row>
    <row r="242">
      <c r="A242" s="47" t="inlineStr">
        <is>
          <t>HBTS3</t>
        </is>
      </c>
      <c r="B242" s="47" t="inlineStr">
        <is>
          <t>Habitasul</t>
        </is>
      </c>
      <c r="C242" s="48" t="inlineStr">
        <is>
          <t>ON</t>
        </is>
      </c>
      <c r="D242" s="47" t="inlineStr">
        <is>
          <t>Financeiro</t>
        </is>
      </c>
      <c r="E242" s="47" t="inlineStr">
        <is>
          <t>Exploração de imóveis</t>
        </is>
      </c>
      <c r="F242" s="47" t="inlineStr">
        <is>
          <t>Exploração de imóveis</t>
        </is>
      </c>
      <c r="G242" s="50" t="inlineStr">
        <is>
          <t>SIM</t>
        </is>
      </c>
      <c r="H242" s="51" t="inlineStr">
        <is>
          <t>TAXA DE JUROS/CRESCIMENTO ECONOMICO</t>
        </is>
      </c>
    </row>
    <row r="243">
      <c r="A243" s="47" t="inlineStr">
        <is>
          <t>HBTS5</t>
        </is>
      </c>
      <c r="B243" s="47" t="inlineStr">
        <is>
          <t>Habitasul</t>
        </is>
      </c>
      <c r="C243" s="48" t="inlineStr">
        <is>
          <t>PNA</t>
        </is>
      </c>
      <c r="D243" s="47" t="inlineStr">
        <is>
          <t>Financeiro</t>
        </is>
      </c>
      <c r="E243" s="47" t="inlineStr">
        <is>
          <t>Exploração de imóveis</t>
        </is>
      </c>
      <c r="F243" s="47" t="inlineStr">
        <is>
          <t>Exploração de imóveis</t>
        </is>
      </c>
      <c r="G243" s="50" t="inlineStr">
        <is>
          <t>SIM</t>
        </is>
      </c>
      <c r="H243" s="51" t="inlineStr">
        <is>
          <t>TAXA DE JUROS/CRESCIMENTO ECONOMICO</t>
        </is>
      </c>
    </row>
    <row r="244">
      <c r="A244" s="47" t="inlineStr">
        <is>
          <t>HBTS6</t>
        </is>
      </c>
      <c r="B244" s="47" t="inlineStr">
        <is>
          <t>Habitasul</t>
        </is>
      </c>
      <c r="C244" s="48" t="inlineStr">
        <is>
          <t>PNB</t>
        </is>
      </c>
      <c r="D244" s="47" t="inlineStr">
        <is>
          <t>Financeiro</t>
        </is>
      </c>
      <c r="E244" s="47" t="inlineStr">
        <is>
          <t>Exploração de imóveis</t>
        </is>
      </c>
      <c r="F244" s="47" t="inlineStr">
        <is>
          <t>Exploração de imóveis</t>
        </is>
      </c>
      <c r="G244" s="50" t="inlineStr">
        <is>
          <t>SIM</t>
        </is>
      </c>
      <c r="H244" s="51" t="inlineStr">
        <is>
          <t>TAXA DE JUROS/CRESCIMENTO ECONOMICO</t>
        </is>
      </c>
    </row>
    <row r="245">
      <c r="A245" s="47" t="inlineStr">
        <is>
          <t>HAGA3</t>
        </is>
      </c>
      <c r="B245" s="47" t="inlineStr">
        <is>
          <t>Haga S/A</t>
        </is>
      </c>
      <c r="C245" s="48" t="inlineStr">
        <is>
          <t>ON</t>
        </is>
      </c>
      <c r="D245" s="47" t="inlineStr">
        <is>
          <t>Bens industriais</t>
        </is>
      </c>
      <c r="E245" s="47" t="inlineStr">
        <is>
          <t>Construção e engenharia</t>
        </is>
      </c>
      <c r="F245" s="47" t="inlineStr">
        <is>
          <t>Produtos para construção</t>
        </is>
      </c>
      <c r="G245" s="50" t="inlineStr">
        <is>
          <t>SIM</t>
        </is>
      </c>
      <c r="H245" s="51" t="inlineStr">
        <is>
          <t>TAXA DE JUROS/CRESCIMENTO ECONOMICO</t>
        </is>
      </c>
    </row>
    <row r="246">
      <c r="A246" s="47" t="inlineStr">
        <is>
          <t>HAGA4</t>
        </is>
      </c>
      <c r="B246" s="47" t="inlineStr">
        <is>
          <t>Haga S/A</t>
        </is>
      </c>
      <c r="C246" s="48" t="inlineStr">
        <is>
          <t>PN</t>
        </is>
      </c>
      <c r="D246" s="47" t="inlineStr">
        <is>
          <t>Bens industriais</t>
        </is>
      </c>
      <c r="E246" s="47" t="inlineStr">
        <is>
          <t>Construção e engenharia</t>
        </is>
      </c>
      <c r="F246" s="47" t="inlineStr">
        <is>
          <t>Produtos para construção</t>
        </is>
      </c>
      <c r="G246" s="50" t="inlineStr">
        <is>
          <t>SIM</t>
        </is>
      </c>
      <c r="H246" s="51" t="inlineStr">
        <is>
          <t>TAXA DE JUROS/CRESCIMENTO ECONOMICO</t>
        </is>
      </c>
    </row>
    <row r="247">
      <c r="A247" s="47" t="inlineStr">
        <is>
          <t>HAPV3</t>
        </is>
      </c>
      <c r="B247" s="47" t="inlineStr">
        <is>
          <t>Hapvida</t>
        </is>
      </c>
      <c r="C247" s="48" t="inlineStr">
        <is>
          <t>ON</t>
        </is>
      </c>
      <c r="D247" s="47" t="inlineStr">
        <is>
          <t>Saúde</t>
        </is>
      </c>
      <c r="E247" s="47" t="inlineStr">
        <is>
          <t>Serviços médico-hospitalares análises e diagnósticos</t>
        </is>
      </c>
      <c r="F247" s="47" t="inlineStr">
        <is>
          <t>Serviços médico-hospitalares análises e diagnósticos</t>
        </is>
      </c>
      <c r="G247" s="50" t="inlineStr">
        <is>
          <t>NÃO</t>
        </is>
      </c>
    </row>
    <row r="248">
      <c r="A248" s="47" t="inlineStr">
        <is>
          <t>HBRE3</t>
        </is>
      </c>
      <c r="B248" s="47" t="inlineStr">
        <is>
          <t>Hbr Realty</t>
        </is>
      </c>
      <c r="C248" s="48" t="inlineStr">
        <is>
          <t>ON</t>
        </is>
      </c>
      <c r="D248" s="47" t="inlineStr">
        <is>
          <t>Financeiro</t>
        </is>
      </c>
      <c r="E248" s="47" t="inlineStr">
        <is>
          <t>Exploração de imóveis</t>
        </is>
      </c>
      <c r="F248" s="47" t="inlineStr">
        <is>
          <t>Exploração de imóveis</t>
        </is>
      </c>
      <c r="G248" s="50" t="inlineStr">
        <is>
          <t>SIM</t>
        </is>
      </c>
      <c r="H248" s="51" t="inlineStr">
        <is>
          <t>TAXA DE JUROS/CRESCIMENTO ECONOMICO</t>
        </is>
      </c>
    </row>
    <row r="249">
      <c r="A249" s="47" t="inlineStr">
        <is>
          <t>HBOR3</t>
        </is>
      </c>
      <c r="B249" s="47" t="inlineStr">
        <is>
          <t>Helbor</t>
        </is>
      </c>
      <c r="C249" s="48" t="inlineStr">
        <is>
          <t>ON</t>
        </is>
      </c>
      <c r="D249" s="47" t="inlineStr">
        <is>
          <t>Consumo cíclico</t>
        </is>
      </c>
      <c r="E249" s="47" t="inlineStr">
        <is>
          <t>Construção civil</t>
        </is>
      </c>
      <c r="F249" s="47" t="inlineStr">
        <is>
          <t>Incorporações</t>
        </is>
      </c>
      <c r="G249" s="50" t="inlineStr">
        <is>
          <t>SIM</t>
        </is>
      </c>
      <c r="H249" s="51" t="inlineStr">
        <is>
          <t>TAXA DE JUROS/CRESCIMENTO ECONOMICO</t>
        </is>
      </c>
    </row>
    <row r="250">
      <c r="A250" s="47" t="inlineStr">
        <is>
          <t>HETA3</t>
        </is>
      </c>
      <c r="B250" s="47" t="inlineStr">
        <is>
          <t>Hercules</t>
        </is>
      </c>
      <c r="C250" s="48" t="inlineStr">
        <is>
          <t>ON</t>
        </is>
      </c>
      <c r="D250" s="47" t="inlineStr">
        <is>
          <t>Consumo cíclico</t>
        </is>
      </c>
      <c r="E250" s="47" t="inlineStr">
        <is>
          <t>Utilidades domésticas</t>
        </is>
      </c>
      <c r="F250" s="47" t="inlineStr">
        <is>
          <t>Utensílios domésticos</t>
        </is>
      </c>
      <c r="G250" s="50" t="inlineStr">
        <is>
          <t>SIM</t>
        </is>
      </c>
      <c r="H250" s="51" t="inlineStr">
        <is>
          <t>TAXA DE JUROS/CRESCIMENTO ECONOMICO</t>
        </is>
      </c>
    </row>
    <row r="251">
      <c r="A251" s="47" t="inlineStr">
        <is>
          <t>HETA4</t>
        </is>
      </c>
      <c r="B251" s="47" t="inlineStr">
        <is>
          <t>Hercules</t>
        </is>
      </c>
      <c r="C251" s="48" t="inlineStr">
        <is>
          <t>PN</t>
        </is>
      </c>
      <c r="D251" s="47" t="inlineStr">
        <is>
          <t>Consumo cíclico</t>
        </is>
      </c>
      <c r="E251" s="47" t="inlineStr">
        <is>
          <t>Utilidades domésticas</t>
        </is>
      </c>
      <c r="F251" s="47" t="inlineStr">
        <is>
          <t>Utensílios domésticos</t>
        </is>
      </c>
      <c r="G251" s="50" t="inlineStr">
        <is>
          <t>SIM</t>
        </is>
      </c>
      <c r="H251" s="51" t="inlineStr">
        <is>
          <t>TAXA DE JUROS/CRESCIMENTO ECONOMICO</t>
        </is>
      </c>
    </row>
    <row r="252">
      <c r="A252" s="47" t="inlineStr">
        <is>
          <t>HBSA3</t>
        </is>
      </c>
      <c r="B252" s="47" t="inlineStr">
        <is>
          <t>Hidrovias</t>
        </is>
      </c>
      <c r="C252" s="48" t="inlineStr">
        <is>
          <t>ON</t>
        </is>
      </c>
      <c r="D252" s="47" t="inlineStr">
        <is>
          <t>Bens industriais</t>
        </is>
      </c>
      <c r="E252" s="47" t="inlineStr">
        <is>
          <t>Transporte</t>
        </is>
      </c>
      <c r="F252" s="47" t="inlineStr">
        <is>
          <t>Transporte hidroviário</t>
        </is>
      </c>
      <c r="G252" s="50" t="inlineStr">
        <is>
          <t>SIM</t>
        </is>
      </c>
      <c r="H252" s="51" t="inlineStr">
        <is>
          <t>TAXA DE JUROS/CRESCIMENTO ECONOMICO</t>
        </is>
      </c>
    </row>
    <row r="253">
      <c r="A253" s="47" t="inlineStr">
        <is>
          <t>HMOB3</t>
        </is>
      </c>
      <c r="B253" s="47" t="inlineStr">
        <is>
          <t>Hmobi S/A</t>
        </is>
      </c>
      <c r="C253" s="48" t="inlineStr">
        <is>
          <t>ON</t>
        </is>
      </c>
      <c r="D253" s="47" t="inlineStr">
        <is>
          <t>Bens industriais</t>
        </is>
      </c>
      <c r="E253" s="47" t="inlineStr">
        <is>
          <t>Transporte</t>
        </is>
      </c>
      <c r="F253" s="47" t="inlineStr">
        <is>
          <t>Serviços de apoio e armazenagem</t>
        </is>
      </c>
      <c r="G253" s="50" t="inlineStr">
        <is>
          <t>SIM</t>
        </is>
      </c>
      <c r="H253" s="51" t="inlineStr">
        <is>
          <t>TAXA DE JUROS/CRESCIMENTO ECONOMICO</t>
        </is>
      </c>
    </row>
    <row r="254">
      <c r="A254" s="47" t="inlineStr">
        <is>
          <t>HOOT3</t>
        </is>
      </c>
      <c r="B254" s="47" t="inlineStr">
        <is>
          <t>Hoteis Othon</t>
        </is>
      </c>
      <c r="C254" s="48" t="inlineStr">
        <is>
          <t>ON</t>
        </is>
      </c>
      <c r="D254" s="47" t="inlineStr">
        <is>
          <t>Consumo cíclico</t>
        </is>
      </c>
      <c r="E254" s="47" t="inlineStr">
        <is>
          <t>Hotéis e restaurantes</t>
        </is>
      </c>
      <c r="F254" s="47" t="inlineStr">
        <is>
          <t>Hotelaria</t>
        </is>
      </c>
      <c r="G254" s="50" t="inlineStr">
        <is>
          <t>SIM</t>
        </is>
      </c>
      <c r="H254" s="51" t="inlineStr">
        <is>
          <t>TAXA DE JUROS/CRESCIMENTO ECONOMICO</t>
        </is>
      </c>
    </row>
    <row r="255">
      <c r="A255" s="47" t="inlineStr">
        <is>
          <t>HOOT4</t>
        </is>
      </c>
      <c r="B255" s="47" t="inlineStr">
        <is>
          <t>Hoteis Othon</t>
        </is>
      </c>
      <c r="C255" s="48" t="inlineStr">
        <is>
          <t>PN</t>
        </is>
      </c>
      <c r="D255" s="47" t="inlineStr">
        <is>
          <t>Consumo cíclico</t>
        </is>
      </c>
      <c r="E255" s="47" t="inlineStr">
        <is>
          <t>Hotéis e restaurantes</t>
        </is>
      </c>
      <c r="F255" s="47" t="inlineStr">
        <is>
          <t>Hotelaria</t>
        </is>
      </c>
      <c r="G255" s="50" t="inlineStr">
        <is>
          <t>SIM</t>
        </is>
      </c>
      <c r="H255" s="51" t="inlineStr">
        <is>
          <t>TAXA DE JUROS/CRESCIMENTO ECONOMICO</t>
        </is>
      </c>
    </row>
    <row r="256">
      <c r="A256" s="47" t="inlineStr">
        <is>
          <t>HYPE3</t>
        </is>
      </c>
      <c r="B256" s="47" t="inlineStr">
        <is>
          <t>Hypera</t>
        </is>
      </c>
      <c r="C256" s="48" t="inlineStr">
        <is>
          <t>ON</t>
        </is>
      </c>
      <c r="D256" s="47" t="inlineStr">
        <is>
          <t>Saúde</t>
        </is>
      </c>
      <c r="E256" s="47" t="inlineStr">
        <is>
          <t>Comércio e distribuição</t>
        </is>
      </c>
      <c r="F256" s="47" t="inlineStr">
        <is>
          <t>Medicamentos e outros produtos</t>
        </is>
      </c>
      <c r="G256" s="50" t="inlineStr">
        <is>
          <t>NÃO</t>
        </is>
      </c>
    </row>
    <row r="257">
      <c r="A257" s="47" t="inlineStr">
        <is>
          <t>IGSN3</t>
        </is>
      </c>
      <c r="B257" s="47" t="inlineStr">
        <is>
          <t>Igua SA</t>
        </is>
      </c>
      <c r="C257" s="48" t="inlineStr">
        <is>
          <t>ON</t>
        </is>
      </c>
      <c r="D257" s="47" t="inlineStr">
        <is>
          <t>Utilidade pública</t>
        </is>
      </c>
      <c r="E257" s="47" t="inlineStr">
        <is>
          <t>Água e saneamento</t>
        </is>
      </c>
      <c r="F257" s="47" t="inlineStr">
        <is>
          <t>Água e saneamento</t>
        </is>
      </c>
      <c r="G257" s="50" t="inlineStr">
        <is>
          <t>NÃO</t>
        </is>
      </c>
    </row>
    <row r="258">
      <c r="A258" s="47" t="inlineStr">
        <is>
          <t>IGTI3</t>
        </is>
      </c>
      <c r="B258" s="47" t="inlineStr">
        <is>
          <t>Iguatemi SA</t>
        </is>
      </c>
      <c r="C258" s="48" t="inlineStr">
        <is>
          <t>ON</t>
        </is>
      </c>
      <c r="D258" s="47" t="inlineStr">
        <is>
          <t>Financeiro</t>
        </is>
      </c>
      <c r="E258" s="47" t="inlineStr">
        <is>
          <t>Exploração de imóveis</t>
        </is>
      </c>
      <c r="F258" s="47" t="inlineStr">
        <is>
          <t>Exploração de imóveis</t>
        </is>
      </c>
      <c r="G258" s="50" t="inlineStr">
        <is>
          <t>SIM</t>
        </is>
      </c>
      <c r="H258" s="51" t="inlineStr">
        <is>
          <t>TAXA DE JUROS/CRESCIMENTO ECONOMICO</t>
        </is>
      </c>
    </row>
    <row r="259">
      <c r="A259" s="47" t="inlineStr">
        <is>
          <t>IGTI4</t>
        </is>
      </c>
      <c r="B259" s="47" t="inlineStr">
        <is>
          <t>Iguatemi SA</t>
        </is>
      </c>
      <c r="C259" s="48" t="inlineStr">
        <is>
          <t>PN</t>
        </is>
      </c>
      <c r="D259" s="47" t="inlineStr">
        <is>
          <t>Financeiro</t>
        </is>
      </c>
      <c r="E259" s="47" t="inlineStr">
        <is>
          <t>Exploração de imóveis</t>
        </is>
      </c>
      <c r="F259" s="47" t="inlineStr">
        <is>
          <t>Exploração de imóveis</t>
        </is>
      </c>
      <c r="G259" s="50" t="inlineStr">
        <is>
          <t>SIM</t>
        </is>
      </c>
      <c r="H259" s="51" t="inlineStr">
        <is>
          <t>TAXA DE JUROS/CRESCIMENTO ECONOMICO</t>
        </is>
      </c>
    </row>
    <row r="260">
      <c r="A260" s="47" t="inlineStr">
        <is>
          <t>IGTI11</t>
        </is>
      </c>
      <c r="B260" s="47" t="inlineStr">
        <is>
          <t>Iguatemi SA</t>
        </is>
      </c>
      <c r="C260" s="48" t="inlineStr">
        <is>
          <t>UNT</t>
        </is>
      </c>
      <c r="D260" s="47" t="inlineStr">
        <is>
          <t>Financeiro</t>
        </is>
      </c>
      <c r="E260" s="47" t="inlineStr">
        <is>
          <t>Exploração de imóveis</t>
        </is>
      </c>
      <c r="F260" s="47" t="inlineStr">
        <is>
          <t>Exploração de imóveis</t>
        </is>
      </c>
      <c r="G260" s="50" t="inlineStr">
        <is>
          <t>SIM</t>
        </is>
      </c>
      <c r="H260" s="51" t="inlineStr">
        <is>
          <t>TAXA DE JUROS/CRESCIMENTO ECONOMICO</t>
        </is>
      </c>
    </row>
    <row r="261">
      <c r="A261" s="47" t="inlineStr">
        <is>
          <t>MEAL3</t>
        </is>
      </c>
      <c r="B261" s="47" t="inlineStr">
        <is>
          <t>Imc S/A</t>
        </is>
      </c>
      <c r="C261" s="48" t="inlineStr">
        <is>
          <t>ON</t>
        </is>
      </c>
      <c r="D261" s="47" t="inlineStr">
        <is>
          <t>Consumo cíclico</t>
        </is>
      </c>
      <c r="E261" s="47" t="inlineStr">
        <is>
          <t>Hotéis e restaurantes</t>
        </is>
      </c>
      <c r="F261" s="47" t="inlineStr">
        <is>
          <t>Restaurante e similares</t>
        </is>
      </c>
      <c r="G261" s="50" t="inlineStr">
        <is>
          <t>SIM</t>
        </is>
      </c>
      <c r="H261" s="51" t="inlineStr">
        <is>
          <t>TAXA DE JUROS/CRESCIMENTO ECONOMICO</t>
        </is>
      </c>
    </row>
    <row r="262">
      <c r="A262" s="47" t="inlineStr">
        <is>
          <t>INNC3</t>
        </is>
      </c>
      <c r="B262" s="47" t="inlineStr">
        <is>
          <t>Inc SA</t>
        </is>
      </c>
      <c r="C262" s="48" t="inlineStr">
        <is>
          <t>ON</t>
        </is>
      </c>
      <c r="D262" s="47" t="inlineStr">
        <is>
          <t>Consumo cíclico</t>
        </is>
      </c>
      <c r="E262" s="47" t="inlineStr">
        <is>
          <t>Construção civil</t>
        </is>
      </c>
      <c r="F262" s="47" t="inlineStr">
        <is>
          <t>Incorporações</t>
        </is>
      </c>
      <c r="G262" s="50" t="inlineStr">
        <is>
          <t>SIM</t>
        </is>
      </c>
      <c r="H262" s="51" t="inlineStr">
        <is>
          <t>TAXA DE JUROS/CRESCIMENTO ECONOMICO</t>
        </is>
      </c>
    </row>
    <row r="263">
      <c r="A263" s="47" t="inlineStr">
        <is>
          <t>CATA3</t>
        </is>
      </c>
      <c r="B263" s="47" t="inlineStr">
        <is>
          <t>Ind Cataguas</t>
        </is>
      </c>
      <c r="C263" s="48" t="inlineStr">
        <is>
          <t>ON</t>
        </is>
      </c>
      <c r="D263" s="47" t="inlineStr">
        <is>
          <t>Consumo cíclico</t>
        </is>
      </c>
      <c r="E263" s="47" t="inlineStr">
        <is>
          <t>Tecidos vestuário e calçados</t>
        </is>
      </c>
      <c r="F263" s="47" t="inlineStr">
        <is>
          <t>Fios e tecidos</t>
        </is>
      </c>
      <c r="G263" s="50" t="inlineStr">
        <is>
          <t>SIM</t>
        </is>
      </c>
      <c r="H263" s="51" t="inlineStr">
        <is>
          <t>TAXA DE JUROS/CRESCIMENTO ECONOMICO</t>
        </is>
      </c>
    </row>
    <row r="264">
      <c r="A264" s="47" t="inlineStr">
        <is>
          <t>CATA4</t>
        </is>
      </c>
      <c r="B264" s="47" t="inlineStr">
        <is>
          <t>Ind Cataguas</t>
        </is>
      </c>
      <c r="C264" s="48" t="inlineStr">
        <is>
          <t>PN</t>
        </is>
      </c>
      <c r="D264" s="47" t="inlineStr">
        <is>
          <t>Consumo cíclico</t>
        </is>
      </c>
      <c r="E264" s="47" t="inlineStr">
        <is>
          <t>Tecidos vestuário e calçados</t>
        </is>
      </c>
      <c r="F264" s="47" t="inlineStr">
        <is>
          <t>Fios e tecidos</t>
        </is>
      </c>
      <c r="G264" s="50" t="inlineStr">
        <is>
          <t>SIM</t>
        </is>
      </c>
      <c r="H264" s="51" t="inlineStr">
        <is>
          <t>TAXA DE JUROS/CRESCIMENTO ECONOMICO</t>
        </is>
      </c>
    </row>
    <row r="265">
      <c r="A265" s="47" t="inlineStr">
        <is>
          <t>INEP3</t>
        </is>
      </c>
      <c r="B265" s="47" t="inlineStr">
        <is>
          <t>Inepar</t>
        </is>
      </c>
      <c r="C265" s="48" t="inlineStr">
        <is>
          <t>ON</t>
        </is>
      </c>
      <c r="D265" s="47" t="inlineStr">
        <is>
          <t>Bens industriais</t>
        </is>
      </c>
      <c r="E265" s="47" t="inlineStr">
        <is>
          <t>Máquinas e equipamentos</t>
        </is>
      </c>
      <c r="F265" s="47" t="inlineStr">
        <is>
          <t>Máq. e equip. industriais</t>
        </is>
      </c>
      <c r="G265" s="50" t="inlineStr">
        <is>
          <t>SIM</t>
        </is>
      </c>
      <c r="H265" s="51" t="inlineStr">
        <is>
          <t>TAXA DE JUROS/CRESCIMENTO ECONOMICO</t>
        </is>
      </c>
    </row>
    <row r="266">
      <c r="A266" s="47" t="inlineStr">
        <is>
          <t>INEP4</t>
        </is>
      </c>
      <c r="B266" s="47" t="inlineStr">
        <is>
          <t>Inepar</t>
        </is>
      </c>
      <c r="C266" s="48" t="inlineStr">
        <is>
          <t>PN</t>
        </is>
      </c>
      <c r="D266" s="47" t="inlineStr">
        <is>
          <t>Bens industriais</t>
        </is>
      </c>
      <c r="E266" s="47" t="inlineStr">
        <is>
          <t>Máquinas e equipamentos</t>
        </is>
      </c>
      <c r="F266" s="47" t="inlineStr">
        <is>
          <t>Máq. e equip. industriais</t>
        </is>
      </c>
      <c r="G266" s="50" t="inlineStr">
        <is>
          <t>SIM</t>
        </is>
      </c>
      <c r="H266" s="51" t="inlineStr">
        <is>
          <t>TAXA DE JUROS/CRESCIMENTO ECONOMICO</t>
        </is>
      </c>
    </row>
    <row r="267">
      <c r="A267" s="47" t="inlineStr">
        <is>
          <t>IFCM3</t>
        </is>
      </c>
      <c r="B267" s="47" t="inlineStr">
        <is>
          <t>Infracomm</t>
        </is>
      </c>
      <c r="C267" s="48" t="inlineStr">
        <is>
          <t>ON</t>
        </is>
      </c>
      <c r="D267" s="47" t="inlineStr">
        <is>
          <t>Tecnologia da informação</t>
        </is>
      </c>
      <c r="E267" s="47" t="inlineStr">
        <is>
          <t>Programas e serviços</t>
        </is>
      </c>
      <c r="F267" s="47" t="inlineStr">
        <is>
          <t>Programas e serviços</t>
        </is>
      </c>
      <c r="G267" s="50" t="inlineStr">
        <is>
          <t>SIM</t>
        </is>
      </c>
      <c r="H267" s="51" t="inlineStr">
        <is>
          <t>TAXA DE JUROS/CRESCIMENTO ECONOMICO</t>
        </is>
      </c>
    </row>
    <row r="268">
      <c r="A268" s="47" t="inlineStr">
        <is>
          <t>INTB3</t>
        </is>
      </c>
      <c r="B268" s="47" t="inlineStr">
        <is>
          <t>Intelbras</t>
        </is>
      </c>
      <c r="C268" s="48" t="inlineStr">
        <is>
          <t>ON</t>
        </is>
      </c>
      <c r="D268" s="47" t="inlineStr">
        <is>
          <t>Tecnologia da informação</t>
        </is>
      </c>
      <c r="E268" s="47" t="inlineStr">
        <is>
          <t>Computadores e equipamentos</t>
        </is>
      </c>
      <c r="F268" s="47" t="inlineStr">
        <is>
          <t>Computadores e equipamentos</t>
        </is>
      </c>
      <c r="G268" s="50" t="inlineStr">
        <is>
          <t>SIM</t>
        </is>
      </c>
      <c r="H268" s="51" t="inlineStr">
        <is>
          <t>TAXA DE JUROS/CRESCIMENTO ECONOMICO</t>
        </is>
      </c>
    </row>
    <row r="269">
      <c r="A269" s="47" t="inlineStr">
        <is>
          <t>IVPR3B</t>
        </is>
      </c>
      <c r="B269" s="47" t="inlineStr">
        <is>
          <t>Invepar</t>
        </is>
      </c>
      <c r="C269" s="48" t="inlineStr">
        <is>
          <t>ON</t>
        </is>
      </c>
      <c r="D269" s="47" t="inlineStr">
        <is>
          <t>Bens industriais</t>
        </is>
      </c>
      <c r="E269" s="47" t="inlineStr">
        <is>
          <t>Transporte</t>
        </is>
      </c>
      <c r="F269" s="47" t="inlineStr">
        <is>
          <t>Serviços de apoio e armazenagem</t>
        </is>
      </c>
      <c r="G269" s="50" t="inlineStr">
        <is>
          <t>SIM</t>
        </is>
      </c>
      <c r="H269" s="51" t="inlineStr">
        <is>
          <t>TAXA DE JUROS/CRESCIMENTO ECONOMICO</t>
        </is>
      </c>
    </row>
    <row r="270">
      <c r="A270" s="47" t="inlineStr">
        <is>
          <t>IVPR4B</t>
        </is>
      </c>
      <c r="B270" s="47" t="inlineStr">
        <is>
          <t>Invepar</t>
        </is>
      </c>
      <c r="C270" s="48" t="inlineStr">
        <is>
          <t>PN</t>
        </is>
      </c>
      <c r="D270" s="47" t="inlineStr">
        <is>
          <t>Bens industriais</t>
        </is>
      </c>
      <c r="E270" s="47" t="inlineStr">
        <is>
          <t>Transporte</t>
        </is>
      </c>
      <c r="F270" s="47" t="inlineStr">
        <is>
          <t>Serviços de apoio e armazenagem</t>
        </is>
      </c>
      <c r="G270" s="50" t="inlineStr">
        <is>
          <t>SIM</t>
        </is>
      </c>
      <c r="H270" s="51" t="inlineStr">
        <is>
          <t>TAXA DE JUROS/CRESCIMENTO ECONOMICO</t>
        </is>
      </c>
    </row>
    <row r="271">
      <c r="A271" s="47" t="inlineStr">
        <is>
          <t>FIGE3</t>
        </is>
      </c>
      <c r="B271" s="47" t="inlineStr">
        <is>
          <t>Invest Bemge</t>
        </is>
      </c>
      <c r="C271" s="48" t="inlineStr">
        <is>
          <t>ON</t>
        </is>
      </c>
      <c r="D271" s="47" t="inlineStr">
        <is>
          <t>Outros</t>
        </is>
      </c>
      <c r="E271" s="47" t="inlineStr">
        <is>
          <t>Outros</t>
        </is>
      </c>
      <c r="F271" s="47" t="inlineStr">
        <is>
          <t>Outros</t>
        </is>
      </c>
    </row>
    <row r="272">
      <c r="A272" s="47" t="inlineStr">
        <is>
          <t>FIGE4</t>
        </is>
      </c>
      <c r="B272" s="47" t="inlineStr">
        <is>
          <t>Invest Bemge</t>
        </is>
      </c>
      <c r="C272" s="48" t="inlineStr">
        <is>
          <t>PN</t>
        </is>
      </c>
      <c r="D272" s="47" t="inlineStr">
        <is>
          <t>Outros</t>
        </is>
      </c>
      <c r="E272" s="47" t="inlineStr">
        <is>
          <t>Outros</t>
        </is>
      </c>
      <c r="F272" s="47" t="inlineStr">
        <is>
          <t>Outros</t>
        </is>
      </c>
    </row>
    <row r="273">
      <c r="A273" s="47" t="inlineStr">
        <is>
          <t>MYPK3</t>
        </is>
      </c>
      <c r="B273" s="47" t="inlineStr">
        <is>
          <t>Iochp-Maxion</t>
        </is>
      </c>
      <c r="C273" s="48" t="inlineStr">
        <is>
          <t>ON</t>
        </is>
      </c>
      <c r="D273" s="47" t="inlineStr">
        <is>
          <t>Consumo cíclico</t>
        </is>
      </c>
      <c r="E273" s="47" t="inlineStr">
        <is>
          <t>Automóveis e motocicletas</t>
        </is>
      </c>
      <c r="F273" s="47" t="inlineStr">
        <is>
          <t>Automóveis e motocicletas</t>
        </is>
      </c>
      <c r="G273" s="50" t="inlineStr">
        <is>
          <t>SIM</t>
        </is>
      </c>
      <c r="H273" s="51" t="inlineStr">
        <is>
          <t>TAXA DE JUROS/CRESCIMENTO ECONOMICO</t>
        </is>
      </c>
    </row>
    <row r="274">
      <c r="A274" s="47" t="inlineStr">
        <is>
          <t>RANI3</t>
        </is>
      </c>
      <c r="B274" s="47" t="inlineStr">
        <is>
          <t>Irani</t>
        </is>
      </c>
      <c r="C274" s="48" t="inlineStr">
        <is>
          <t>ON</t>
        </is>
      </c>
      <c r="D274" s="47" t="inlineStr">
        <is>
          <t>Materiais básicos</t>
        </is>
      </c>
      <c r="E274" s="47" t="inlineStr">
        <is>
          <t>Embalagens</t>
        </is>
      </c>
      <c r="F274" s="47" t="inlineStr">
        <is>
          <t>Embalagens</t>
        </is>
      </c>
      <c r="G274" s="50" t="inlineStr">
        <is>
          <t>SIM</t>
        </is>
      </c>
      <c r="H274" s="51" t="inlineStr">
        <is>
          <t>CELULOSE/DOLAR</t>
        </is>
      </c>
    </row>
    <row r="275">
      <c r="A275" s="47" t="inlineStr">
        <is>
          <t>IRBR3</t>
        </is>
      </c>
      <c r="B275" s="47" t="inlineStr">
        <is>
          <t>Irbbrasil Re</t>
        </is>
      </c>
      <c r="C275" s="48" t="inlineStr">
        <is>
          <t>ON</t>
        </is>
      </c>
      <c r="D275" s="47" t="inlineStr">
        <is>
          <t>Financeiro</t>
        </is>
      </c>
      <c r="E275" s="47" t="inlineStr">
        <is>
          <t>Previdência e seguros</t>
        </is>
      </c>
      <c r="F275" s="47" t="inlineStr">
        <is>
          <t>Resseguradoras</t>
        </is>
      </c>
      <c r="G275" s="50" t="inlineStr">
        <is>
          <t>NÃO</t>
        </is>
      </c>
    </row>
    <row r="276">
      <c r="A276" s="47" t="inlineStr">
        <is>
          <t>ITSA3</t>
        </is>
      </c>
      <c r="B276" s="47" t="inlineStr">
        <is>
          <t>Itausa</t>
        </is>
      </c>
      <c r="C276" s="48" t="inlineStr">
        <is>
          <t>ON</t>
        </is>
      </c>
      <c r="D276" s="47" t="inlineStr">
        <is>
          <t>Financeiro</t>
        </is>
      </c>
      <c r="E276" s="47" t="inlineStr">
        <is>
          <t>Intermediários financeiros</t>
        </is>
      </c>
      <c r="F276" s="47" t="inlineStr">
        <is>
          <t>Bancos</t>
        </is>
      </c>
      <c r="G276" s="50" t="inlineStr">
        <is>
          <t>NÃO</t>
        </is>
      </c>
    </row>
    <row r="277">
      <c r="A277" s="47" t="inlineStr">
        <is>
          <t>ITSA4</t>
        </is>
      </c>
      <c r="B277" s="47" t="inlineStr">
        <is>
          <t>Itausa</t>
        </is>
      </c>
      <c r="C277" s="48" t="inlineStr">
        <is>
          <t>PN</t>
        </is>
      </c>
      <c r="D277" s="47" t="inlineStr">
        <is>
          <t>Financeiro</t>
        </is>
      </c>
      <c r="E277" s="47" t="inlineStr">
        <is>
          <t>Intermediários financeiros</t>
        </is>
      </c>
      <c r="F277" s="47" t="inlineStr">
        <is>
          <t>Bancos</t>
        </is>
      </c>
      <c r="G277" s="50" t="inlineStr">
        <is>
          <t>NÃO</t>
        </is>
      </c>
    </row>
    <row r="278">
      <c r="A278" s="47" t="inlineStr">
        <is>
          <t>ITUB3</t>
        </is>
      </c>
      <c r="B278" s="47" t="inlineStr">
        <is>
          <t>ItauUnibanco</t>
        </is>
      </c>
      <c r="C278" s="48" t="inlineStr">
        <is>
          <t>ON</t>
        </is>
      </c>
      <c r="D278" s="47" t="inlineStr">
        <is>
          <t>Financeiro</t>
        </is>
      </c>
      <c r="E278" s="47" t="inlineStr">
        <is>
          <t>Intermediários financeiros</t>
        </is>
      </c>
      <c r="F278" s="47" t="inlineStr">
        <is>
          <t>Bancos</t>
        </is>
      </c>
      <c r="G278" s="50" t="inlineStr">
        <is>
          <t>NÃO</t>
        </is>
      </c>
    </row>
    <row r="279">
      <c r="A279" s="47" t="inlineStr">
        <is>
          <t>ITUB4</t>
        </is>
      </c>
      <c r="B279" s="47" t="inlineStr">
        <is>
          <t>ItauUnibanco</t>
        </is>
      </c>
      <c r="C279" s="48" t="inlineStr">
        <is>
          <t>PN</t>
        </is>
      </c>
      <c r="D279" s="47" t="inlineStr">
        <is>
          <t>Financeiro</t>
        </is>
      </c>
      <c r="E279" s="47" t="inlineStr">
        <is>
          <t>Intermediários financeiros</t>
        </is>
      </c>
      <c r="F279" s="47" t="inlineStr">
        <is>
          <t>Bancos</t>
        </is>
      </c>
      <c r="G279" s="50" t="inlineStr">
        <is>
          <t>NÃO</t>
        </is>
      </c>
    </row>
    <row r="280">
      <c r="A280" s="47" t="inlineStr">
        <is>
          <t>JALL3</t>
        </is>
      </c>
      <c r="B280" s="47" t="inlineStr">
        <is>
          <t>Jallesmachad</t>
        </is>
      </c>
      <c r="C280" s="48" t="inlineStr">
        <is>
          <t>ON</t>
        </is>
      </c>
      <c r="D280" s="47" t="inlineStr">
        <is>
          <t>Consumo não cíclico</t>
        </is>
      </c>
      <c r="E280" s="47" t="inlineStr">
        <is>
          <t>Alimentos processados</t>
        </is>
      </c>
      <c r="F280" s="47" t="inlineStr">
        <is>
          <t>Açúcar e álcool</t>
        </is>
      </c>
      <c r="G280" s="50" t="inlineStr">
        <is>
          <t>SIM</t>
        </is>
      </c>
      <c r="H280" s="51" t="inlineStr">
        <is>
          <t>COMMODITIES/DÓLAR</t>
        </is>
      </c>
    </row>
    <row r="281">
      <c r="A281" s="47" t="inlineStr">
        <is>
          <t>JBSS3</t>
        </is>
      </c>
      <c r="B281" s="47" t="inlineStr">
        <is>
          <t>JBS</t>
        </is>
      </c>
      <c r="C281" s="48" t="inlineStr">
        <is>
          <t>ON</t>
        </is>
      </c>
      <c r="D281" s="47" t="inlineStr">
        <is>
          <t>Consumo não cíclico</t>
        </is>
      </c>
      <c r="E281" s="47" t="inlineStr">
        <is>
          <t>Alimentos processados</t>
        </is>
      </c>
      <c r="F281" s="47" t="inlineStr">
        <is>
          <t>Carnes e derivados</t>
        </is>
      </c>
      <c r="G281" s="50" t="inlineStr">
        <is>
          <t>SIM</t>
        </is>
      </c>
      <c r="H281" s="51" t="inlineStr">
        <is>
          <t>COMMODITIES/DÓLAR</t>
        </is>
      </c>
    </row>
    <row r="282">
      <c r="A282" s="47" t="inlineStr">
        <is>
          <t>JHSF3</t>
        </is>
      </c>
      <c r="B282" s="47" t="inlineStr">
        <is>
          <t>JHSF Part</t>
        </is>
      </c>
      <c r="C282" s="48" t="inlineStr">
        <is>
          <t>ON</t>
        </is>
      </c>
      <c r="D282" s="47" t="inlineStr">
        <is>
          <t>Consumo cíclico</t>
        </is>
      </c>
      <c r="E282" s="47" t="inlineStr">
        <is>
          <t>Construção civil</t>
        </is>
      </c>
      <c r="F282" s="47" t="inlineStr">
        <is>
          <t>Incorporações</t>
        </is>
      </c>
      <c r="G282" s="50" t="inlineStr">
        <is>
          <t>SIM</t>
        </is>
      </c>
      <c r="H282" s="51" t="inlineStr">
        <is>
          <t>TAXA DE JUROS/CRESCIMENTO ECONOMICO</t>
        </is>
      </c>
    </row>
    <row r="283">
      <c r="A283" s="47" t="inlineStr">
        <is>
          <t>JFEN3</t>
        </is>
      </c>
      <c r="B283" s="47" t="inlineStr">
        <is>
          <t>Joao Fortes</t>
        </is>
      </c>
      <c r="C283" s="48" t="inlineStr">
        <is>
          <t>ON</t>
        </is>
      </c>
      <c r="D283" s="47" t="inlineStr">
        <is>
          <t>Consumo cíclico</t>
        </is>
      </c>
      <c r="E283" s="47" t="inlineStr">
        <is>
          <t>Construção civil</t>
        </is>
      </c>
      <c r="F283" s="47" t="inlineStr">
        <is>
          <t>Incorporações</t>
        </is>
      </c>
      <c r="G283" s="50" t="inlineStr">
        <is>
          <t>SIM</t>
        </is>
      </c>
      <c r="H283" s="51" t="inlineStr">
        <is>
          <t>TAXA DE JUROS/CRESCIMENTO ECONOMICO</t>
        </is>
      </c>
    </row>
    <row r="284">
      <c r="A284" s="47" t="inlineStr">
        <is>
          <t>JOPA3</t>
        </is>
      </c>
      <c r="B284" s="47" t="inlineStr">
        <is>
          <t>Josapar</t>
        </is>
      </c>
      <c r="C284" s="48" t="inlineStr">
        <is>
          <t>ON</t>
        </is>
      </c>
      <c r="D284" s="47" t="inlineStr">
        <is>
          <t>Consumo não cíclico</t>
        </is>
      </c>
      <c r="E284" s="47" t="inlineStr">
        <is>
          <t>Alimentos processados</t>
        </is>
      </c>
      <c r="F284" s="47" t="inlineStr">
        <is>
          <t>Alimentos diversos</t>
        </is>
      </c>
      <c r="G284" s="50" t="inlineStr">
        <is>
          <t>SIM</t>
        </is>
      </c>
      <c r="H284" s="51" t="inlineStr">
        <is>
          <t>COMMODITIES/DÓLAR</t>
        </is>
      </c>
    </row>
    <row r="285">
      <c r="A285" s="47" t="inlineStr">
        <is>
          <t>JOPA4</t>
        </is>
      </c>
      <c r="B285" s="47" t="inlineStr">
        <is>
          <t>Josapar</t>
        </is>
      </c>
      <c r="C285" s="48" t="inlineStr">
        <is>
          <t>PN</t>
        </is>
      </c>
      <c r="D285" s="47" t="inlineStr">
        <is>
          <t>Consumo não cíclico</t>
        </is>
      </c>
      <c r="E285" s="47" t="inlineStr">
        <is>
          <t>Alimentos processados</t>
        </is>
      </c>
      <c r="F285" s="47" t="inlineStr">
        <is>
          <t>Alimentos diversos</t>
        </is>
      </c>
      <c r="G285" s="50" t="inlineStr">
        <is>
          <t>SIM</t>
        </is>
      </c>
      <c r="H285" s="51" t="inlineStr">
        <is>
          <t>COMMODITIES/DÓLAR</t>
        </is>
      </c>
    </row>
    <row r="286">
      <c r="A286" s="47" t="inlineStr">
        <is>
          <t>JSLG3</t>
        </is>
      </c>
      <c r="B286" s="47" t="inlineStr">
        <is>
          <t>JSL</t>
        </is>
      </c>
      <c r="C286" s="48" t="inlineStr">
        <is>
          <t>ON</t>
        </is>
      </c>
      <c r="D286" s="47" t="inlineStr">
        <is>
          <t>Bens industriais</t>
        </is>
      </c>
      <c r="E286" s="47" t="inlineStr">
        <is>
          <t>Transporte</t>
        </is>
      </c>
      <c r="F286" s="47" t="inlineStr">
        <is>
          <t>Transporte rodoviário</t>
        </is>
      </c>
      <c r="G286" s="50" t="inlineStr">
        <is>
          <t>SIM</t>
        </is>
      </c>
      <c r="H286" s="51" t="inlineStr">
        <is>
          <t>TAXA DE JUROS/CRESCIMENTO ECONOMICO</t>
        </is>
      </c>
    </row>
    <row r="287">
      <c r="A287" s="47" t="inlineStr">
        <is>
          <t>KLAS3</t>
        </is>
      </c>
      <c r="B287" s="47" t="inlineStr">
        <is>
          <t>Kallas</t>
        </is>
      </c>
      <c r="C287" s="48" t="inlineStr">
        <is>
          <t>ON</t>
        </is>
      </c>
      <c r="D287" s="47" t="inlineStr">
        <is>
          <t>Consumo cíclico</t>
        </is>
      </c>
      <c r="E287" s="47" t="inlineStr">
        <is>
          <t>Construção civil</t>
        </is>
      </c>
      <c r="F287" s="47" t="inlineStr">
        <is>
          <t>Incorporações</t>
        </is>
      </c>
      <c r="G287" s="50" t="inlineStr">
        <is>
          <t>SIM</t>
        </is>
      </c>
      <c r="H287" s="51" t="inlineStr">
        <is>
          <t>TAXA DE JUROS/CRESCIMENTO ECONOMICO</t>
        </is>
      </c>
    </row>
    <row r="288">
      <c r="A288" s="47" t="inlineStr">
        <is>
          <t>CTKA3</t>
        </is>
      </c>
      <c r="B288" s="47" t="inlineStr">
        <is>
          <t>Karsten</t>
        </is>
      </c>
      <c r="C288" s="48" t="inlineStr">
        <is>
          <t>ON</t>
        </is>
      </c>
      <c r="D288" s="47" t="inlineStr">
        <is>
          <t>Consumo cíclico</t>
        </is>
      </c>
      <c r="E288" s="47" t="inlineStr">
        <is>
          <t>Tecidos vestuário e calçados</t>
        </is>
      </c>
      <c r="F288" s="47" t="inlineStr">
        <is>
          <t>Fios e tecidos</t>
        </is>
      </c>
      <c r="G288" s="50" t="inlineStr">
        <is>
          <t>SIM</t>
        </is>
      </c>
      <c r="H288" s="51" t="inlineStr">
        <is>
          <t>TAXA DE JUROS/CRESCIMENTO ECONOMICO</t>
        </is>
      </c>
    </row>
    <row r="289">
      <c r="A289" s="47" t="inlineStr">
        <is>
          <t>CTKA4</t>
        </is>
      </c>
      <c r="B289" s="47" t="inlineStr">
        <is>
          <t>Karsten</t>
        </is>
      </c>
      <c r="C289" s="48" t="inlineStr">
        <is>
          <t>PN</t>
        </is>
      </c>
      <c r="D289" s="47" t="inlineStr">
        <is>
          <t>Consumo cíclico</t>
        </is>
      </c>
      <c r="E289" s="47" t="inlineStr">
        <is>
          <t>Tecidos vestuário e calçados</t>
        </is>
      </c>
      <c r="F289" s="47" t="inlineStr">
        <is>
          <t>Fios e tecidos</t>
        </is>
      </c>
      <c r="G289" s="50" t="inlineStr">
        <is>
          <t>SIM</t>
        </is>
      </c>
      <c r="H289" s="51" t="inlineStr">
        <is>
          <t>TAXA DE JUROS/CRESCIMENTO ECONOMICO</t>
        </is>
      </c>
    </row>
    <row r="290">
      <c r="A290" s="47" t="inlineStr">
        <is>
          <t>KEPL3</t>
        </is>
      </c>
      <c r="B290" s="47" t="inlineStr">
        <is>
          <t>Kepler Weber</t>
        </is>
      </c>
      <c r="C290" s="48" t="inlineStr">
        <is>
          <t>ON</t>
        </is>
      </c>
      <c r="D290" s="47" t="inlineStr">
        <is>
          <t>Bens industriais</t>
        </is>
      </c>
      <c r="E290" s="47" t="inlineStr">
        <is>
          <t>Máquinas e equipamentos</t>
        </is>
      </c>
      <c r="F290" s="47" t="inlineStr">
        <is>
          <t>Máq. e equip. industriais</t>
        </is>
      </c>
      <c r="G290" s="50" t="inlineStr">
        <is>
          <t>SIM</t>
        </is>
      </c>
      <c r="H290" s="51" t="inlineStr">
        <is>
          <t>TAXA DE JUROS/CRESCIMENTO ECONOMICO</t>
        </is>
      </c>
    </row>
    <row r="291">
      <c r="A291" s="47" t="inlineStr">
        <is>
          <t>KLBN3</t>
        </is>
      </c>
      <c r="B291" s="47" t="inlineStr">
        <is>
          <t>Klabin S/A</t>
        </is>
      </c>
      <c r="C291" s="48" t="inlineStr">
        <is>
          <t>ON</t>
        </is>
      </c>
      <c r="D291" s="47" t="inlineStr">
        <is>
          <t>Materiais básicos</t>
        </is>
      </c>
      <c r="E291" s="47" t="inlineStr">
        <is>
          <t>Madeira e papel</t>
        </is>
      </c>
      <c r="F291" s="47" t="inlineStr">
        <is>
          <t>Papel e celulose</t>
        </is>
      </c>
      <c r="G291" s="50" t="inlineStr">
        <is>
          <t>SIM</t>
        </is>
      </c>
      <c r="H291" s="51" t="inlineStr">
        <is>
          <t>CELULOSE/DOLAR</t>
        </is>
      </c>
    </row>
    <row r="292">
      <c r="A292" s="47" t="inlineStr">
        <is>
          <t>KLBN4</t>
        </is>
      </c>
      <c r="B292" s="47" t="inlineStr">
        <is>
          <t>Klabin S/A</t>
        </is>
      </c>
      <c r="C292" s="48" t="inlineStr">
        <is>
          <t>PN</t>
        </is>
      </c>
      <c r="D292" s="47" t="inlineStr">
        <is>
          <t>Materiais básicos</t>
        </is>
      </c>
      <c r="E292" s="47" t="inlineStr">
        <is>
          <t>Madeira e papel</t>
        </is>
      </c>
      <c r="F292" s="47" t="inlineStr">
        <is>
          <t>Papel e celulose</t>
        </is>
      </c>
      <c r="G292" s="50" t="inlineStr">
        <is>
          <t>SIM</t>
        </is>
      </c>
      <c r="H292" s="51" t="inlineStr">
        <is>
          <t>CELULOSE/DOLAR</t>
        </is>
      </c>
    </row>
    <row r="293">
      <c r="A293" s="47" t="inlineStr">
        <is>
          <t>KLBN11</t>
        </is>
      </c>
      <c r="B293" s="47" t="inlineStr">
        <is>
          <t>Klabin S/A</t>
        </is>
      </c>
      <c r="C293" s="48" t="inlineStr">
        <is>
          <t>UNT N2</t>
        </is>
      </c>
      <c r="D293" s="47" t="inlineStr">
        <is>
          <t>Materiais básicos</t>
        </is>
      </c>
      <c r="E293" s="47" t="inlineStr">
        <is>
          <t>Madeira e papel</t>
        </is>
      </c>
      <c r="F293" s="47" t="inlineStr">
        <is>
          <t>Papel e celulose</t>
        </is>
      </c>
      <c r="G293" s="50" t="inlineStr">
        <is>
          <t>SIM</t>
        </is>
      </c>
      <c r="H293" s="51" t="inlineStr">
        <is>
          <t>CELULOSE/DOLAR</t>
        </is>
      </c>
    </row>
    <row r="294">
      <c r="A294" s="47" t="inlineStr">
        <is>
          <t>KRSA3</t>
        </is>
      </c>
      <c r="B294" s="47" t="inlineStr">
        <is>
          <t>Kora Saude</t>
        </is>
      </c>
      <c r="C294" s="48" t="inlineStr">
        <is>
          <t>ON</t>
        </is>
      </c>
      <c r="D294" s="47" t="inlineStr">
        <is>
          <t>Saúde</t>
        </is>
      </c>
      <c r="E294" s="47" t="inlineStr">
        <is>
          <t>Serviços médico-hospitalares análises e diagnósticos</t>
        </is>
      </c>
      <c r="F294" s="47" t="inlineStr">
        <is>
          <t>Serviços médico-hospitalares análises e diagnósticos</t>
        </is>
      </c>
      <c r="G294" s="50" t="inlineStr">
        <is>
          <t>NÃO</t>
        </is>
      </c>
    </row>
    <row r="295">
      <c r="A295" s="47" t="inlineStr">
        <is>
          <t>LAVV3</t>
        </is>
      </c>
      <c r="B295" s="47" t="inlineStr">
        <is>
          <t>Lavvi</t>
        </is>
      </c>
      <c r="C295" s="48" t="inlineStr">
        <is>
          <t>ON</t>
        </is>
      </c>
      <c r="D295" s="47" t="inlineStr">
        <is>
          <t>Consumo cíclico</t>
        </is>
      </c>
      <c r="E295" s="47" t="inlineStr">
        <is>
          <t>Construção civil</t>
        </is>
      </c>
      <c r="F295" s="47" t="inlineStr">
        <is>
          <t>Incorporações</t>
        </is>
      </c>
      <c r="G295" s="50" t="inlineStr">
        <is>
          <t>SIM</t>
        </is>
      </c>
      <c r="H295" s="51" t="inlineStr">
        <is>
          <t>TAXA DE JUROS/CRESCIMENTO ECONOMICO</t>
        </is>
      </c>
    </row>
    <row r="296">
      <c r="A296" s="47" t="inlineStr">
        <is>
          <t>LLBI3</t>
        </is>
      </c>
      <c r="B296" s="47" t="inlineStr">
        <is>
          <t>Le Biscuit</t>
        </is>
      </c>
      <c r="C296" s="48" t="inlineStr">
        <is>
          <t>ON</t>
        </is>
      </c>
      <c r="D296" s="47" t="inlineStr">
        <is>
          <t>Consumo cíclico</t>
        </is>
      </c>
      <c r="E296" s="47" t="inlineStr">
        <is>
          <t>Comércio</t>
        </is>
      </c>
      <c r="F296" s="47" t="inlineStr">
        <is>
          <t>Produtos diversos</t>
        </is>
      </c>
      <c r="G296" s="50" t="inlineStr">
        <is>
          <t>SIM</t>
        </is>
      </c>
      <c r="H296" s="51" t="inlineStr">
        <is>
          <t>TAXA DE JUROS/CRESCIMENTO ECONOMICO</t>
        </is>
      </c>
    </row>
    <row r="297">
      <c r="A297" s="47" t="inlineStr">
        <is>
          <t>LMED3</t>
        </is>
      </c>
      <c r="B297" s="47" t="inlineStr">
        <is>
          <t>Lifemed</t>
        </is>
      </c>
      <c r="C297" s="48" t="inlineStr">
        <is>
          <t>ON</t>
        </is>
      </c>
      <c r="D297" s="47" t="inlineStr">
        <is>
          <t>Saúde</t>
        </is>
      </c>
      <c r="E297" s="47" t="inlineStr">
        <is>
          <t>Equipamentos</t>
        </is>
      </c>
      <c r="F297" s="47" t="inlineStr">
        <is>
          <t>Equipamentos</t>
        </is>
      </c>
      <c r="G297" s="50" t="inlineStr">
        <is>
          <t>NÃO</t>
        </is>
      </c>
    </row>
    <row r="298">
      <c r="A298" s="47" t="inlineStr">
        <is>
          <t>LIGT3</t>
        </is>
      </c>
      <c r="B298" s="47" t="inlineStr">
        <is>
          <t>Light S/A</t>
        </is>
      </c>
      <c r="C298" s="48" t="inlineStr">
        <is>
          <t>ON</t>
        </is>
      </c>
      <c r="D298" s="47" t="inlineStr">
        <is>
          <t>Utilidade pública</t>
        </is>
      </c>
      <c r="E298" s="47" t="inlineStr">
        <is>
          <t>Energia elétrica</t>
        </is>
      </c>
      <c r="F298" s="47" t="inlineStr">
        <is>
          <t>Energia elétrica</t>
        </is>
      </c>
      <c r="G298" s="50" t="inlineStr">
        <is>
          <t>NÃO</t>
        </is>
      </c>
    </row>
    <row r="299">
      <c r="A299" s="47" t="inlineStr">
        <is>
          <t>LTEL3B</t>
        </is>
      </c>
      <c r="B299" s="47" t="inlineStr">
        <is>
          <t>Litel</t>
        </is>
      </c>
      <c r="C299" s="48" t="inlineStr">
        <is>
          <t>ON</t>
        </is>
      </c>
      <c r="D299" s="47" t="inlineStr">
        <is>
          <t>Materiais básicos</t>
        </is>
      </c>
      <c r="E299" s="47" t="inlineStr">
        <is>
          <t>Mineração</t>
        </is>
      </c>
      <c r="F299" s="47" t="inlineStr">
        <is>
          <t>Minerais metálicos</t>
        </is>
      </c>
      <c r="G299" s="50" t="inlineStr">
        <is>
          <t>SIM</t>
        </is>
      </c>
      <c r="H299" s="52" t="inlineStr">
        <is>
          <t>MINÉRIO/DÓLAR</t>
        </is>
      </c>
    </row>
    <row r="300">
      <c r="A300" s="47" t="inlineStr">
        <is>
          <t>LTLA3B</t>
        </is>
      </c>
      <c r="B300" s="47" t="inlineStr">
        <is>
          <t>Litela</t>
        </is>
      </c>
      <c r="C300" s="48" t="inlineStr">
        <is>
          <t>ON</t>
        </is>
      </c>
      <c r="D300" s="47" t="inlineStr">
        <is>
          <t>Materiais básicos</t>
        </is>
      </c>
      <c r="E300" s="47" t="inlineStr">
        <is>
          <t>Mineração</t>
        </is>
      </c>
      <c r="F300" s="47" t="inlineStr">
        <is>
          <t>Minerais metálicos</t>
        </is>
      </c>
      <c r="G300" s="50" t="inlineStr">
        <is>
          <t>SIM</t>
        </is>
      </c>
      <c r="H300" s="52" t="inlineStr">
        <is>
          <t>MINÉRIO/DÓLAR</t>
        </is>
      </c>
    </row>
    <row r="301">
      <c r="A301" s="47" t="inlineStr">
        <is>
          <t>RENT3</t>
        </is>
      </c>
      <c r="B301" s="47" t="inlineStr">
        <is>
          <t>Localiza</t>
        </is>
      </c>
      <c r="C301" s="48" t="inlineStr">
        <is>
          <t>ON</t>
        </is>
      </c>
      <c r="D301" s="47" t="inlineStr">
        <is>
          <t>Consumo cíclico</t>
        </is>
      </c>
      <c r="E301" s="47" t="inlineStr">
        <is>
          <t>Diversos</t>
        </is>
      </c>
      <c r="F301" s="47" t="inlineStr">
        <is>
          <t>Aluguel de carros</t>
        </is>
      </c>
      <c r="G301" s="50" t="inlineStr">
        <is>
          <t>SIM</t>
        </is>
      </c>
      <c r="H301" s="51" t="inlineStr">
        <is>
          <t>TAXA DE JUROS/CRESCIMENTO ECONOMICO</t>
        </is>
      </c>
    </row>
    <row r="302">
      <c r="A302" s="47" t="inlineStr">
        <is>
          <t>LOGG3</t>
        </is>
      </c>
      <c r="B302" s="47" t="inlineStr">
        <is>
          <t>Log Com Prop</t>
        </is>
      </c>
      <c r="C302" s="48" t="inlineStr">
        <is>
          <t>ON</t>
        </is>
      </c>
      <c r="D302" s="47" t="inlineStr">
        <is>
          <t>Financeiro</t>
        </is>
      </c>
      <c r="E302" s="47" t="inlineStr">
        <is>
          <t>Exploração de imóveis</t>
        </is>
      </c>
      <c r="F302" s="47" t="inlineStr">
        <is>
          <t>Exploração de imóveis</t>
        </is>
      </c>
      <c r="G302" s="50" t="inlineStr">
        <is>
          <t>SIM</t>
        </is>
      </c>
      <c r="H302" s="51" t="inlineStr">
        <is>
          <t>TAXA DE JUROS/CRESCIMENTO ECONOMICO</t>
        </is>
      </c>
    </row>
    <row r="303">
      <c r="A303" s="47" t="inlineStr">
        <is>
          <t>LOGN3</t>
        </is>
      </c>
      <c r="B303" s="47" t="inlineStr">
        <is>
          <t>Log-In</t>
        </is>
      </c>
      <c r="C303" s="48" t="inlineStr">
        <is>
          <t>ON</t>
        </is>
      </c>
      <c r="D303" s="47" t="inlineStr">
        <is>
          <t>Bens industriais</t>
        </is>
      </c>
      <c r="E303" s="47" t="inlineStr">
        <is>
          <t>Transporte</t>
        </is>
      </c>
      <c r="F303" s="47" t="inlineStr">
        <is>
          <t>Transporte hidroviário</t>
        </is>
      </c>
      <c r="G303" s="50" t="inlineStr">
        <is>
          <t>SIM</t>
        </is>
      </c>
      <c r="H303" s="51" t="inlineStr">
        <is>
          <t>TAXA DE JUROS/CRESCIMENTO ECONOMICO</t>
        </is>
      </c>
    </row>
    <row r="304">
      <c r="A304" s="47" t="inlineStr">
        <is>
          <t>AMAR3</t>
        </is>
      </c>
      <c r="B304" s="47" t="inlineStr">
        <is>
          <t>Lojas Marisa</t>
        </is>
      </c>
      <c r="C304" s="48" t="inlineStr">
        <is>
          <t>ON</t>
        </is>
      </c>
      <c r="D304" s="47" t="inlineStr">
        <is>
          <t>Consumo cíclico</t>
        </is>
      </c>
      <c r="E304" s="47" t="inlineStr">
        <is>
          <t>Comércio</t>
        </is>
      </c>
      <c r="F304" s="47" t="inlineStr">
        <is>
          <t>Tecidos vestuário e calçados</t>
        </is>
      </c>
      <c r="G304" s="50" t="inlineStr">
        <is>
          <t>SIM</t>
        </is>
      </c>
      <c r="H304" s="51" t="inlineStr">
        <is>
          <t>TAXA DE JUROS/CRESCIMENTO ECONOMICO</t>
        </is>
      </c>
    </row>
    <row r="305">
      <c r="A305" s="47" t="inlineStr">
        <is>
          <t>LREN3</t>
        </is>
      </c>
      <c r="B305" s="47" t="inlineStr">
        <is>
          <t>Lojas Renner</t>
        </is>
      </c>
      <c r="C305" s="48" t="inlineStr">
        <is>
          <t>ON</t>
        </is>
      </c>
      <c r="D305" s="47" t="inlineStr">
        <is>
          <t>Consumo cíclico</t>
        </is>
      </c>
      <c r="E305" s="47" t="inlineStr">
        <is>
          <t>Comércio</t>
        </is>
      </c>
      <c r="F305" s="47" t="inlineStr">
        <is>
          <t>Tecidos vestuário e calçados</t>
        </is>
      </c>
      <c r="G305" s="50" t="inlineStr">
        <is>
          <t>SIM</t>
        </is>
      </c>
      <c r="H305" s="51" t="inlineStr">
        <is>
          <t>TAXA DE JUROS/CRESCIMENTO ECONOMICO</t>
        </is>
      </c>
    </row>
    <row r="306">
      <c r="A306" s="47" t="inlineStr">
        <is>
          <t>LPSB3</t>
        </is>
      </c>
      <c r="B306" s="47" t="inlineStr">
        <is>
          <t>Lopes Brasil</t>
        </is>
      </c>
      <c r="C306" s="48" t="inlineStr">
        <is>
          <t>ON</t>
        </is>
      </c>
      <c r="D306" s="47" t="inlineStr">
        <is>
          <t>Financeiro</t>
        </is>
      </c>
      <c r="E306" s="47" t="inlineStr">
        <is>
          <t>Exploração de imóveis</t>
        </is>
      </c>
      <c r="F306" s="47" t="inlineStr">
        <is>
          <t>Intermediação imobiliária</t>
        </is>
      </c>
      <c r="G306" s="50" t="inlineStr">
        <is>
          <t>SIM</t>
        </is>
      </c>
      <c r="H306" s="51" t="inlineStr">
        <is>
          <t>TAXA DE JUROS/CRESCIMENTO ECONOMICO</t>
        </is>
      </c>
    </row>
    <row r="307">
      <c r="A307" s="47" t="inlineStr">
        <is>
          <t>LUPA3</t>
        </is>
      </c>
      <c r="B307" s="47" t="inlineStr">
        <is>
          <t>Lupatech</t>
        </is>
      </c>
      <c r="C307" s="48" t="inlineStr">
        <is>
          <t>ON</t>
        </is>
      </c>
      <c r="D307" s="47" t="inlineStr">
        <is>
          <t>Petróleo gás e biocombustíveis</t>
        </is>
      </c>
      <c r="E307" s="47" t="inlineStr">
        <is>
          <t>Petróleo gás e biocombustíveis</t>
        </is>
      </c>
      <c r="F307" s="47" t="inlineStr">
        <is>
          <t>Equipamentos e serviços</t>
        </is>
      </c>
      <c r="G307" s="50" t="inlineStr">
        <is>
          <t>SIM</t>
        </is>
      </c>
      <c r="H307" s="51" t="inlineStr">
        <is>
          <t>PETRÓLEO/DÓLAR</t>
        </is>
      </c>
    </row>
    <row r="308">
      <c r="A308" s="47" t="inlineStr">
        <is>
          <t>LWSA3</t>
        </is>
      </c>
      <c r="B308" s="47" t="inlineStr">
        <is>
          <t>Lwsa</t>
        </is>
      </c>
      <c r="C308" s="48" t="inlineStr">
        <is>
          <t>ON</t>
        </is>
      </c>
      <c r="D308" s="47" t="inlineStr">
        <is>
          <t>Tecnologia da informação</t>
        </is>
      </c>
      <c r="E308" s="47" t="inlineStr">
        <is>
          <t>Programas e serviços</t>
        </is>
      </c>
      <c r="F308" s="47" t="inlineStr">
        <is>
          <t>Programas e serviços</t>
        </is>
      </c>
      <c r="G308" s="50" t="inlineStr">
        <is>
          <t>SIM</t>
        </is>
      </c>
      <c r="H308" s="51" t="inlineStr">
        <is>
          <t>TAXA DE JUROS/CRESCIMENTO ECONOMICO</t>
        </is>
      </c>
    </row>
    <row r="309">
      <c r="A309" s="47" t="inlineStr">
        <is>
          <t>MDIA3</t>
        </is>
      </c>
      <c r="B309" s="47" t="inlineStr">
        <is>
          <t>M.Diasbranco</t>
        </is>
      </c>
      <c r="C309" s="48" t="inlineStr">
        <is>
          <t>ON</t>
        </is>
      </c>
      <c r="D309" s="47" t="inlineStr">
        <is>
          <t>Consumo não cíclico</t>
        </is>
      </c>
      <c r="E309" s="47" t="inlineStr">
        <is>
          <t>Alimentos processados</t>
        </is>
      </c>
      <c r="F309" s="47" t="inlineStr">
        <is>
          <t>Alimentos diversos</t>
        </is>
      </c>
      <c r="G309" s="50" t="inlineStr">
        <is>
          <t>SIM</t>
        </is>
      </c>
      <c r="H309" s="51" t="inlineStr">
        <is>
          <t>COMMODITIES/DÓLAR</t>
        </is>
      </c>
    </row>
    <row r="310">
      <c r="A310" s="47" t="inlineStr">
        <is>
          <t>MSRO3</t>
        </is>
      </c>
      <c r="B310" s="47" t="inlineStr">
        <is>
          <t>Maestroloc</t>
        </is>
      </c>
      <c r="C310" s="48" t="inlineStr">
        <is>
          <t>ON</t>
        </is>
      </c>
      <c r="D310" s="47" t="inlineStr">
        <is>
          <t>Consumo cíclico</t>
        </is>
      </c>
      <c r="E310" s="47" t="inlineStr">
        <is>
          <t>Diversos</t>
        </is>
      </c>
      <c r="F310" s="47" t="inlineStr">
        <is>
          <t>Aluguel de carros</t>
        </is>
      </c>
      <c r="G310" s="50" t="inlineStr">
        <is>
          <t>SIM</t>
        </is>
      </c>
      <c r="H310" s="51" t="inlineStr">
        <is>
          <t>TAXA DE JUROS/CRESCIMENTO ECONOMICO</t>
        </is>
      </c>
    </row>
    <row r="311">
      <c r="A311" s="47" t="inlineStr">
        <is>
          <t>MGLU3</t>
        </is>
      </c>
      <c r="B311" s="47" t="inlineStr">
        <is>
          <t>Magaz Luiza</t>
        </is>
      </c>
      <c r="C311" s="48" t="inlineStr">
        <is>
          <t>ON</t>
        </is>
      </c>
      <c r="D311" s="47" t="inlineStr">
        <is>
          <t>Consumo cíclico</t>
        </is>
      </c>
      <c r="E311" s="47" t="inlineStr">
        <is>
          <t>Comércio</t>
        </is>
      </c>
      <c r="F311" s="47" t="inlineStr">
        <is>
          <t>Eletrodomésticos</t>
        </is>
      </c>
      <c r="G311" s="50" t="inlineStr">
        <is>
          <t>SIM</t>
        </is>
      </c>
      <c r="H311" s="51" t="inlineStr">
        <is>
          <t>TAXA DE JUROS/CRESCIMENTO ECONOMICO</t>
        </is>
      </c>
    </row>
    <row r="312">
      <c r="A312" s="47" t="inlineStr">
        <is>
          <t>MGEL3</t>
        </is>
      </c>
      <c r="B312" s="47" t="inlineStr">
        <is>
          <t>Mangels Indl</t>
        </is>
      </c>
      <c r="C312" s="48" t="inlineStr">
        <is>
          <t>ON</t>
        </is>
      </c>
      <c r="D312" s="47" t="inlineStr">
        <is>
          <t>Materiais básicos</t>
        </is>
      </c>
      <c r="E312" s="47" t="inlineStr">
        <is>
          <t>Siderurgia e metalurgia</t>
        </is>
      </c>
      <c r="F312" s="47" t="inlineStr">
        <is>
          <t>Artefatos de ferro e aço</t>
        </is>
      </c>
      <c r="G312" s="50" t="inlineStr">
        <is>
          <t>SIM</t>
        </is>
      </c>
      <c r="H312" s="52" t="inlineStr">
        <is>
          <t>MINÉRIO/DÓLAR</t>
        </is>
      </c>
    </row>
    <row r="313">
      <c r="A313" s="47" t="inlineStr">
        <is>
          <t>MGEL4</t>
        </is>
      </c>
      <c r="B313" s="47" t="inlineStr">
        <is>
          <t>Mangels Indl</t>
        </is>
      </c>
      <c r="C313" s="48" t="inlineStr">
        <is>
          <t>PN</t>
        </is>
      </c>
      <c r="D313" s="47" t="inlineStr">
        <is>
          <t>Materiais básicos</t>
        </is>
      </c>
      <c r="E313" s="47" t="inlineStr">
        <is>
          <t>Siderurgia e metalurgia</t>
        </is>
      </c>
      <c r="F313" s="47" t="inlineStr">
        <is>
          <t>Artefatos de ferro e aço</t>
        </is>
      </c>
      <c r="G313" s="50" t="inlineStr">
        <is>
          <t>SIM</t>
        </is>
      </c>
      <c r="H313" s="52" t="inlineStr">
        <is>
          <t>MINÉRIO/DÓLAR</t>
        </is>
      </c>
    </row>
    <row r="314">
      <c r="A314" s="47" t="inlineStr">
        <is>
          <t>POMO3</t>
        </is>
      </c>
      <c r="B314" s="47" t="inlineStr">
        <is>
          <t>Marcopolo</t>
        </is>
      </c>
      <c r="C314" s="48" t="inlineStr">
        <is>
          <t>ON</t>
        </is>
      </c>
      <c r="D314" s="47" t="inlineStr">
        <is>
          <t>Bens industriais</t>
        </is>
      </c>
      <c r="E314" s="47" t="inlineStr">
        <is>
          <t>Material de transporte</t>
        </is>
      </c>
      <c r="F314" s="47" t="inlineStr">
        <is>
          <t>Material rodoviário</t>
        </is>
      </c>
      <c r="G314" s="50" t="inlineStr">
        <is>
          <t>SIM</t>
        </is>
      </c>
      <c r="H314" s="51" t="inlineStr">
        <is>
          <t>TAXA DE JUROS/CRESCIMENTO ECONOMICO</t>
        </is>
      </c>
    </row>
    <row r="315">
      <c r="A315" s="47" t="inlineStr">
        <is>
          <t>POMO4</t>
        </is>
      </c>
      <c r="B315" s="47" t="inlineStr">
        <is>
          <t>Marcopolo</t>
        </is>
      </c>
      <c r="C315" s="48" t="inlineStr">
        <is>
          <t>PN</t>
        </is>
      </c>
      <c r="D315" s="47" t="inlineStr">
        <is>
          <t>Bens industriais</t>
        </is>
      </c>
      <c r="E315" s="47" t="inlineStr">
        <is>
          <t>Material de transporte</t>
        </is>
      </c>
      <c r="F315" s="47" t="inlineStr">
        <is>
          <t>Material rodoviário</t>
        </is>
      </c>
      <c r="G315" s="50" t="inlineStr">
        <is>
          <t>SIM</t>
        </is>
      </c>
      <c r="H315" s="51" t="inlineStr">
        <is>
          <t>TAXA DE JUROS/CRESCIMENTO ECONOMICO</t>
        </is>
      </c>
    </row>
    <row r="316">
      <c r="A316" s="47" t="inlineStr">
        <is>
          <t>MRFG3</t>
        </is>
      </c>
      <c r="B316" s="47" t="inlineStr">
        <is>
          <t>Marfrig</t>
        </is>
      </c>
      <c r="C316" s="48" t="inlineStr">
        <is>
          <t>ON</t>
        </is>
      </c>
      <c r="D316" s="47" t="inlineStr">
        <is>
          <t>Consumo não cíclico</t>
        </is>
      </c>
      <c r="E316" s="47" t="inlineStr">
        <is>
          <t>Alimentos processados</t>
        </is>
      </c>
      <c r="F316" s="47" t="inlineStr">
        <is>
          <t>Carnes e derivados</t>
        </is>
      </c>
      <c r="G316" s="50" t="inlineStr">
        <is>
          <t>SIM</t>
        </is>
      </c>
      <c r="H316" s="51" t="inlineStr">
        <is>
          <t>COMMODITIES/DÓLAR</t>
        </is>
      </c>
    </row>
    <row r="317">
      <c r="A317" s="47" t="inlineStr">
        <is>
          <t>MATD3</t>
        </is>
      </c>
      <c r="B317" s="47" t="inlineStr">
        <is>
          <t>Mater Dei</t>
        </is>
      </c>
      <c r="C317" s="48" t="inlineStr">
        <is>
          <t>ON</t>
        </is>
      </c>
      <c r="D317" s="47" t="inlineStr">
        <is>
          <t>Saúde</t>
        </is>
      </c>
      <c r="E317" s="47" t="inlineStr">
        <is>
          <t>Serviços médico-hospitalares análises e diagnósticos</t>
        </is>
      </c>
      <c r="F317" s="47" t="inlineStr">
        <is>
          <t>Serviços médico-hospitalares análises e diagnósticos</t>
        </is>
      </c>
      <c r="G317" s="50" t="inlineStr">
        <is>
          <t>NÃO</t>
        </is>
      </c>
    </row>
    <row r="318">
      <c r="A318" s="47" t="inlineStr">
        <is>
          <t>MSPA3</t>
        </is>
      </c>
      <c r="B318" s="47" t="inlineStr">
        <is>
          <t>Melhor SP</t>
        </is>
      </c>
      <c r="C318" s="48" t="inlineStr">
        <is>
          <t>ON</t>
        </is>
      </c>
      <c r="D318" s="47" t="inlineStr">
        <is>
          <t>Materiais básicos</t>
        </is>
      </c>
      <c r="E318" s="47" t="inlineStr">
        <is>
          <t>Madeira e papel</t>
        </is>
      </c>
      <c r="F318" s="47" t="inlineStr">
        <is>
          <t>Papel e celulose</t>
        </is>
      </c>
      <c r="G318" s="50" t="inlineStr">
        <is>
          <t>SIM</t>
        </is>
      </c>
      <c r="H318" s="51" t="inlineStr">
        <is>
          <t>CELULOSE/DOLAR</t>
        </is>
      </c>
    </row>
    <row r="319">
      <c r="A319" s="47" t="inlineStr">
        <is>
          <t>MSPA4</t>
        </is>
      </c>
      <c r="B319" s="47" t="inlineStr">
        <is>
          <t>Melhor SP</t>
        </is>
      </c>
      <c r="C319" s="48" t="inlineStr">
        <is>
          <t>PN</t>
        </is>
      </c>
      <c r="D319" s="47" t="inlineStr">
        <is>
          <t>Materiais básicos</t>
        </is>
      </c>
      <c r="E319" s="47" t="inlineStr">
        <is>
          <t>Madeira e papel</t>
        </is>
      </c>
      <c r="F319" s="47" t="inlineStr">
        <is>
          <t>Papel e celulose</t>
        </is>
      </c>
      <c r="G319" s="50" t="inlineStr">
        <is>
          <t>SIM</t>
        </is>
      </c>
      <c r="H319" s="51" t="inlineStr">
        <is>
          <t>CELULOSE/DOLAR</t>
        </is>
      </c>
    </row>
    <row r="320">
      <c r="A320" s="47" t="inlineStr">
        <is>
          <t>CASH3</t>
        </is>
      </c>
      <c r="B320" s="47" t="inlineStr">
        <is>
          <t>Meliuz</t>
        </is>
      </c>
      <c r="C320" s="48" t="inlineStr">
        <is>
          <t>ON</t>
        </is>
      </c>
      <c r="D320" s="47" t="inlineStr">
        <is>
          <t>Tecnologia da informação</t>
        </is>
      </c>
      <c r="E320" s="47" t="inlineStr">
        <is>
          <t>Programas e serviços</t>
        </is>
      </c>
      <c r="F320" s="47" t="inlineStr">
        <is>
          <t>Programas e serviços</t>
        </is>
      </c>
      <c r="G320" s="50" t="inlineStr">
        <is>
          <t>SIM</t>
        </is>
      </c>
      <c r="H320" s="51" t="inlineStr">
        <is>
          <t>TAXA DE JUROS/CRESCIMENTO ECONOMICO</t>
        </is>
      </c>
    </row>
    <row r="321">
      <c r="A321" s="47" t="inlineStr">
        <is>
          <t>MELK3</t>
        </is>
      </c>
      <c r="B321" s="47" t="inlineStr">
        <is>
          <t>Melnick</t>
        </is>
      </c>
      <c r="C321" s="48" t="inlineStr">
        <is>
          <t>ON</t>
        </is>
      </c>
      <c r="D321" s="47" t="inlineStr">
        <is>
          <t>Consumo cíclico</t>
        </is>
      </c>
      <c r="E321" s="47" t="inlineStr">
        <is>
          <t>Construção civil</t>
        </is>
      </c>
      <c r="F321" s="47" t="inlineStr">
        <is>
          <t>Incorporações</t>
        </is>
      </c>
      <c r="G321" s="50" t="inlineStr">
        <is>
          <t>SIM</t>
        </is>
      </c>
      <c r="H321" s="51" t="inlineStr">
        <is>
          <t>TAXA DE JUROS/CRESCIMENTO ECONOMICO</t>
        </is>
      </c>
    </row>
    <row r="322">
      <c r="A322" s="47" t="inlineStr">
        <is>
          <t>MNZC3</t>
        </is>
      </c>
      <c r="B322" s="47" t="inlineStr">
        <is>
          <t>Menezes Cort</t>
        </is>
      </c>
      <c r="C322" s="48" t="inlineStr">
        <is>
          <t>ON</t>
        </is>
      </c>
      <c r="D322" s="47" t="inlineStr">
        <is>
          <t>Financeiro</t>
        </is>
      </c>
      <c r="E322" s="47" t="inlineStr">
        <is>
          <t>Exploração de imóveis</t>
        </is>
      </c>
      <c r="F322" s="47" t="inlineStr">
        <is>
          <t>Exploração de imóveis</t>
        </is>
      </c>
      <c r="G322" s="50" t="inlineStr">
        <is>
          <t>SIM</t>
        </is>
      </c>
      <c r="H322" s="51" t="inlineStr">
        <is>
          <t>TAXA DE JUROS/CRESCIMENTO ECONOMICO</t>
        </is>
      </c>
    </row>
    <row r="323">
      <c r="A323" s="47" t="inlineStr">
        <is>
          <t>MERC3</t>
        </is>
      </c>
      <c r="B323" s="47" t="inlineStr">
        <is>
          <t>Merc Financ</t>
        </is>
      </c>
      <c r="C323" s="48" t="inlineStr">
        <is>
          <t>ON</t>
        </is>
      </c>
      <c r="D323" s="47" t="inlineStr">
        <is>
          <t>Financeiro</t>
        </is>
      </c>
      <c r="E323" s="47" t="inlineStr">
        <is>
          <t>Intermediários financeiros</t>
        </is>
      </c>
      <c r="F323" s="47" t="inlineStr">
        <is>
          <t>Soc. crédito e financiamento</t>
        </is>
      </c>
      <c r="G323" s="50" t="inlineStr">
        <is>
          <t>NÃO</t>
        </is>
      </c>
    </row>
    <row r="324">
      <c r="A324" s="47" t="inlineStr">
        <is>
          <t>MERC4</t>
        </is>
      </c>
      <c r="B324" s="47" t="inlineStr">
        <is>
          <t>Merc Financ</t>
        </is>
      </c>
      <c r="C324" s="48" t="inlineStr">
        <is>
          <t>PN</t>
        </is>
      </c>
      <c r="D324" s="47" t="inlineStr">
        <is>
          <t>Financeiro</t>
        </is>
      </c>
      <c r="E324" s="47" t="inlineStr">
        <is>
          <t>Intermediários financeiros</t>
        </is>
      </c>
      <c r="F324" s="47" t="inlineStr">
        <is>
          <t>Soc. crédito e financiamento</t>
        </is>
      </c>
      <c r="G324" s="50" t="inlineStr">
        <is>
          <t>NÃO</t>
        </is>
      </c>
    </row>
    <row r="325">
      <c r="A325" s="47" t="inlineStr">
        <is>
          <t>BMIN3</t>
        </is>
      </c>
      <c r="B325" s="47" t="inlineStr">
        <is>
          <t>Merc Invest</t>
        </is>
      </c>
      <c r="C325" s="48" t="inlineStr">
        <is>
          <t>ON</t>
        </is>
      </c>
      <c r="D325" s="47" t="inlineStr">
        <is>
          <t>Financeiro</t>
        </is>
      </c>
      <c r="E325" s="47" t="inlineStr">
        <is>
          <t>Intermediários financeiros</t>
        </is>
      </c>
      <c r="F325" s="47" t="inlineStr">
        <is>
          <t>Bancos</t>
        </is>
      </c>
      <c r="G325" s="50" t="inlineStr">
        <is>
          <t>NÃO</t>
        </is>
      </c>
    </row>
    <row r="326">
      <c r="A326" s="47" t="inlineStr">
        <is>
          <t>BMIN4</t>
        </is>
      </c>
      <c r="B326" s="47" t="inlineStr">
        <is>
          <t>Merc Invest</t>
        </is>
      </c>
      <c r="C326" s="48" t="inlineStr">
        <is>
          <t>PN</t>
        </is>
      </c>
      <c r="D326" s="47" t="inlineStr">
        <is>
          <t>Financeiro</t>
        </is>
      </c>
      <c r="E326" s="47" t="inlineStr">
        <is>
          <t>Intermediários financeiros</t>
        </is>
      </c>
      <c r="F326" s="47" t="inlineStr">
        <is>
          <t>Bancos</t>
        </is>
      </c>
      <c r="G326" s="50" t="inlineStr">
        <is>
          <t>NÃO</t>
        </is>
      </c>
    </row>
    <row r="327">
      <c r="A327" s="47" t="inlineStr">
        <is>
          <t>BMEB3</t>
        </is>
      </c>
      <c r="B327" s="47" t="inlineStr">
        <is>
          <t>Mercantil</t>
        </is>
      </c>
      <c r="C327" s="48" t="inlineStr">
        <is>
          <t>ON</t>
        </is>
      </c>
      <c r="D327" s="47" t="inlineStr">
        <is>
          <t>Financeiro</t>
        </is>
      </c>
      <c r="E327" s="47" t="inlineStr">
        <is>
          <t>Intermediários financeiros</t>
        </is>
      </c>
      <c r="F327" s="47" t="inlineStr">
        <is>
          <t>Bancos</t>
        </is>
      </c>
      <c r="G327" s="50" t="inlineStr">
        <is>
          <t>NÃO</t>
        </is>
      </c>
    </row>
    <row r="328">
      <c r="A328" s="47" t="inlineStr">
        <is>
          <t>BMEB4</t>
        </is>
      </c>
      <c r="B328" s="47" t="inlineStr">
        <is>
          <t>Mercantil</t>
        </is>
      </c>
      <c r="C328" s="48" t="inlineStr">
        <is>
          <t>PN</t>
        </is>
      </c>
      <c r="D328" s="47" t="inlineStr">
        <is>
          <t>Financeiro</t>
        </is>
      </c>
      <c r="E328" s="47" t="inlineStr">
        <is>
          <t>Intermediários financeiros</t>
        </is>
      </c>
      <c r="F328" s="47" t="inlineStr">
        <is>
          <t>Bancos</t>
        </is>
      </c>
      <c r="G328" s="50" t="inlineStr">
        <is>
          <t>NÃO</t>
        </is>
      </c>
    </row>
    <row r="329">
      <c r="A329" s="47" t="inlineStr">
        <is>
          <t>LEVE3</t>
        </is>
      </c>
      <c r="B329" s="47" t="inlineStr">
        <is>
          <t>Metal Leve</t>
        </is>
      </c>
      <c r="C329" s="48" t="inlineStr">
        <is>
          <t>ON</t>
        </is>
      </c>
      <c r="D329" s="47" t="inlineStr">
        <is>
          <t>Consumo cíclico</t>
        </is>
      </c>
      <c r="E329" s="47" t="inlineStr">
        <is>
          <t>Automóveis e motocicletas</t>
        </is>
      </c>
      <c r="F329" s="47" t="inlineStr">
        <is>
          <t>Automóveis e motocicletas</t>
        </is>
      </c>
      <c r="G329" s="50" t="inlineStr">
        <is>
          <t>SIM</t>
        </is>
      </c>
      <c r="H329" s="51" t="inlineStr">
        <is>
          <t>TAXA DE JUROS/CRESCIMENTO ECONOMICO</t>
        </is>
      </c>
    </row>
    <row r="330">
      <c r="A330" s="47" t="inlineStr">
        <is>
          <t>FRIO3</t>
        </is>
      </c>
      <c r="B330" s="47" t="inlineStr">
        <is>
          <t>Metalfrio</t>
        </is>
      </c>
      <c r="C330" s="48" t="inlineStr">
        <is>
          <t>ON</t>
        </is>
      </c>
      <c r="D330" s="47" t="inlineStr">
        <is>
          <t>Bens industriais</t>
        </is>
      </c>
      <c r="E330" s="47" t="inlineStr">
        <is>
          <t>Máquinas e equipamentos</t>
        </is>
      </c>
      <c r="F330" s="47" t="inlineStr">
        <is>
          <t>Máq. e equip. industriais</t>
        </is>
      </c>
      <c r="G330" s="50" t="inlineStr">
        <is>
          <t>SIM</t>
        </is>
      </c>
      <c r="H330" s="51" t="inlineStr">
        <is>
          <t>TAXA DE JUROS/CRESCIMENTO ECONOMICO</t>
        </is>
      </c>
    </row>
    <row r="331">
      <c r="A331" s="47" t="inlineStr">
        <is>
          <t>MTSA3</t>
        </is>
      </c>
      <c r="B331" s="47" t="inlineStr">
        <is>
          <t>Metisa</t>
        </is>
      </c>
      <c r="C331" s="48" t="inlineStr">
        <is>
          <t>ON</t>
        </is>
      </c>
      <c r="D331" s="47" t="inlineStr">
        <is>
          <t>Bens industriais</t>
        </is>
      </c>
      <c r="E331" s="47" t="inlineStr">
        <is>
          <t>Máquinas e equipamentos</t>
        </is>
      </c>
      <c r="F331" s="47" t="inlineStr">
        <is>
          <t>Máq. e equip. construção e agrícolas</t>
        </is>
      </c>
      <c r="G331" s="50" t="inlineStr">
        <is>
          <t>SIM</t>
        </is>
      </c>
      <c r="H331" s="51" t="inlineStr">
        <is>
          <t>TAXA DE JUROS/CRESCIMENTO ECONOMICO</t>
        </is>
      </c>
    </row>
    <row r="332">
      <c r="A332" s="47" t="inlineStr">
        <is>
          <t>MTSA4</t>
        </is>
      </c>
      <c r="B332" s="47" t="inlineStr">
        <is>
          <t>Metisa</t>
        </is>
      </c>
      <c r="C332" s="48" t="inlineStr">
        <is>
          <t>PN</t>
        </is>
      </c>
      <c r="D332" s="47" t="inlineStr">
        <is>
          <t>Bens industriais</t>
        </is>
      </c>
      <c r="E332" s="47" t="inlineStr">
        <is>
          <t>Máquinas e equipamentos</t>
        </is>
      </c>
      <c r="F332" s="47" t="inlineStr">
        <is>
          <t>Máq. e equip. construção e agrícolas</t>
        </is>
      </c>
      <c r="G332" s="50" t="inlineStr">
        <is>
          <t>SIM</t>
        </is>
      </c>
      <c r="H332" s="51" t="inlineStr">
        <is>
          <t>TAXA DE JUROS/CRESCIMENTO ECONOMICO</t>
        </is>
      </c>
    </row>
    <row r="333">
      <c r="A333" s="47" t="inlineStr">
        <is>
          <t>MILS3</t>
        </is>
      </c>
      <c r="B333" s="47" t="inlineStr">
        <is>
          <t>Mills</t>
        </is>
      </c>
      <c r="C333" s="48" t="inlineStr">
        <is>
          <t>ON</t>
        </is>
      </c>
      <c r="D333" s="47" t="inlineStr">
        <is>
          <t>Bens industriais</t>
        </is>
      </c>
      <c r="E333" s="47" t="inlineStr">
        <is>
          <t>Máquinas e equipamentos</t>
        </is>
      </c>
      <c r="F333" s="47" t="inlineStr">
        <is>
          <t>Máq. e equip. industriais</t>
        </is>
      </c>
      <c r="G333" s="50" t="inlineStr">
        <is>
          <t>SIM</t>
        </is>
      </c>
      <c r="H333" s="51" t="inlineStr">
        <is>
          <t>TAXA DE JUROS/CRESCIMENTO ECONOMICO</t>
        </is>
      </c>
    </row>
    <row r="334">
      <c r="A334" s="47" t="inlineStr">
        <is>
          <t>MMAQ3</t>
        </is>
      </c>
      <c r="B334" s="47" t="inlineStr">
        <is>
          <t>Minasmaquina</t>
        </is>
      </c>
      <c r="C334" s="48" t="inlineStr">
        <is>
          <t>ON</t>
        </is>
      </c>
      <c r="D334" s="47" t="inlineStr">
        <is>
          <t>Bens industriais</t>
        </is>
      </c>
      <c r="E334" s="47" t="inlineStr">
        <is>
          <t>Comércio</t>
        </is>
      </c>
      <c r="F334" s="47" t="inlineStr">
        <is>
          <t>Material de transporte</t>
        </is>
      </c>
      <c r="G334" s="50" t="inlineStr">
        <is>
          <t>SIM</t>
        </is>
      </c>
      <c r="H334" s="51" t="inlineStr">
        <is>
          <t>TAXA DE JUROS/CRESCIMENTO ECONOMICO</t>
        </is>
      </c>
    </row>
    <row r="335">
      <c r="A335" s="47" t="inlineStr">
        <is>
          <t>MMAQ4</t>
        </is>
      </c>
      <c r="B335" s="47" t="inlineStr">
        <is>
          <t>Minasmaquina</t>
        </is>
      </c>
      <c r="C335" s="48" t="inlineStr">
        <is>
          <t>PN</t>
        </is>
      </c>
      <c r="D335" s="47" t="inlineStr">
        <is>
          <t>Bens industriais</t>
        </is>
      </c>
      <c r="E335" s="47" t="inlineStr">
        <is>
          <t>Comércio</t>
        </is>
      </c>
      <c r="F335" s="47" t="inlineStr">
        <is>
          <t>Material de transporte</t>
        </is>
      </c>
      <c r="G335" s="50" t="inlineStr">
        <is>
          <t>SIM</t>
        </is>
      </c>
      <c r="H335" s="51" t="inlineStr">
        <is>
          <t>TAXA DE JUROS/CRESCIMENTO ECONOMICO</t>
        </is>
      </c>
    </row>
    <row r="336">
      <c r="A336" s="100" t="inlineStr">
        <is>
          <t>BEEF11</t>
        </is>
      </c>
      <c r="B336" s="47" t="inlineStr">
        <is>
          <t>Minerva</t>
        </is>
      </c>
      <c r="C336" s="48" t="inlineStr">
        <is>
          <t>ON</t>
        </is>
      </c>
      <c r="D336" s="47" t="inlineStr">
        <is>
          <t>Consumo não cíclico</t>
        </is>
      </c>
      <c r="E336" s="47" t="inlineStr">
        <is>
          <t>Alimentos processados</t>
        </is>
      </c>
      <c r="F336" s="47" t="inlineStr">
        <is>
          <t>Carnes e derivados</t>
        </is>
      </c>
      <c r="G336" s="50" t="inlineStr">
        <is>
          <t>SIM</t>
        </is>
      </c>
      <c r="H336" s="51" t="inlineStr">
        <is>
          <t>COMMODITIES/DÓLAR</t>
        </is>
      </c>
    </row>
    <row r="337">
      <c r="A337" s="47" t="inlineStr">
        <is>
          <t>BEEF3</t>
        </is>
      </c>
      <c r="B337" s="47" t="inlineStr">
        <is>
          <t>Minerva</t>
        </is>
      </c>
      <c r="C337" s="48" t="inlineStr">
        <is>
          <t>ON</t>
        </is>
      </c>
      <c r="D337" s="47" t="inlineStr">
        <is>
          <t>Consumo não cíclico</t>
        </is>
      </c>
      <c r="E337" s="47" t="inlineStr">
        <is>
          <t>Alimentos processados</t>
        </is>
      </c>
      <c r="F337" s="47" t="inlineStr">
        <is>
          <t>Carnes e derivados</t>
        </is>
      </c>
      <c r="G337" s="50" t="inlineStr">
        <is>
          <t>SIM</t>
        </is>
      </c>
      <c r="H337" s="51" t="inlineStr">
        <is>
          <t>COMMODITIES/DÓLAR</t>
        </is>
      </c>
    </row>
    <row r="338">
      <c r="A338" s="47" t="inlineStr">
        <is>
          <t>MNPR3</t>
        </is>
      </c>
      <c r="B338" s="47" t="inlineStr">
        <is>
          <t>Minupar</t>
        </is>
      </c>
      <c r="C338" s="48" t="inlineStr">
        <is>
          <t>ON</t>
        </is>
      </c>
      <c r="D338" s="47" t="inlineStr">
        <is>
          <t>Consumo não cíclico</t>
        </is>
      </c>
      <c r="E338" s="47" t="inlineStr">
        <is>
          <t>Alimentos processados</t>
        </is>
      </c>
      <c r="F338" s="47" t="inlineStr">
        <is>
          <t>Carnes e derivados</t>
        </is>
      </c>
      <c r="G338" s="50" t="inlineStr">
        <is>
          <t>SIM</t>
        </is>
      </c>
      <c r="H338" s="51" t="inlineStr">
        <is>
          <t>COMMODITIES/DÓLAR</t>
        </is>
      </c>
    </row>
    <row r="339">
      <c r="A339" s="47" t="inlineStr">
        <is>
          <t>MTRE3</t>
        </is>
      </c>
      <c r="B339" s="47" t="inlineStr">
        <is>
          <t>Mitre Realty</t>
        </is>
      </c>
      <c r="C339" s="48" t="inlineStr">
        <is>
          <t>ON</t>
        </is>
      </c>
      <c r="D339" s="47" t="inlineStr">
        <is>
          <t>Consumo cíclico</t>
        </is>
      </c>
      <c r="E339" s="47" t="inlineStr">
        <is>
          <t>Construção civil</t>
        </is>
      </c>
      <c r="F339" s="47" t="inlineStr">
        <is>
          <t>Incorporações</t>
        </is>
      </c>
      <c r="G339" s="50" t="inlineStr">
        <is>
          <t>SIM</t>
        </is>
      </c>
      <c r="H339" s="51" t="inlineStr">
        <is>
          <t>TAXA DE JUROS/CRESCIMENTO ECONOMICO</t>
        </is>
      </c>
    </row>
    <row r="340">
      <c r="A340" s="47" t="inlineStr">
        <is>
          <t>MBLY3</t>
        </is>
      </c>
      <c r="B340" s="47" t="inlineStr">
        <is>
          <t>Mobly</t>
        </is>
      </c>
      <c r="C340" s="48" t="inlineStr">
        <is>
          <t>ON</t>
        </is>
      </c>
      <c r="D340" s="47" t="inlineStr">
        <is>
          <t>Tecnologia da informação</t>
        </is>
      </c>
      <c r="E340" s="47" t="inlineStr">
        <is>
          <t>Programas e serviços</t>
        </is>
      </c>
      <c r="F340" s="47" t="inlineStr">
        <is>
          <t>Programas e serviços</t>
        </is>
      </c>
      <c r="G340" s="50" t="inlineStr">
        <is>
          <t>SIM</t>
        </is>
      </c>
      <c r="H340" s="51" t="inlineStr">
        <is>
          <t>TAXA DE JUROS/CRESCIMENTO ECONOMICO</t>
        </is>
      </c>
    </row>
    <row r="341">
      <c r="A341" s="47" t="inlineStr">
        <is>
          <t>MOAR3</t>
        </is>
      </c>
      <c r="B341" s="47" t="inlineStr">
        <is>
          <t>Mont Aranha</t>
        </is>
      </c>
      <c r="C341" s="48" t="inlineStr">
        <is>
          <t>ON</t>
        </is>
      </c>
      <c r="D341" s="47" t="inlineStr">
        <is>
          <t>Financeiro</t>
        </is>
      </c>
      <c r="E341" s="47" t="inlineStr">
        <is>
          <t>Holdings diversificadas</t>
        </is>
      </c>
      <c r="F341" s="47" t="inlineStr">
        <is>
          <t>Holdings diversificadas</t>
        </is>
      </c>
      <c r="G341" s="50" t="inlineStr">
        <is>
          <t>SIM</t>
        </is>
      </c>
      <c r="H341" s="51" t="inlineStr">
        <is>
          <t>TAXA DE JUROS/CRESCIMENTO ECONOMICO</t>
        </is>
      </c>
    </row>
    <row r="342">
      <c r="A342" s="47" t="inlineStr">
        <is>
          <t>MDNE3</t>
        </is>
      </c>
      <c r="B342" s="47" t="inlineStr">
        <is>
          <t>Moura Dubeux</t>
        </is>
      </c>
      <c r="C342" s="48" t="inlineStr">
        <is>
          <t>ON</t>
        </is>
      </c>
      <c r="D342" s="47" t="inlineStr">
        <is>
          <t>Consumo cíclico</t>
        </is>
      </c>
      <c r="E342" s="47" t="inlineStr">
        <is>
          <t>Construção civil</t>
        </is>
      </c>
      <c r="F342" s="47" t="inlineStr">
        <is>
          <t>Incorporações</t>
        </is>
      </c>
      <c r="G342" s="50" t="inlineStr">
        <is>
          <t>SIM</t>
        </is>
      </c>
      <c r="H342" s="51" t="inlineStr">
        <is>
          <t>TAXA DE JUROS/CRESCIMENTO ECONOMICO</t>
        </is>
      </c>
    </row>
    <row r="343">
      <c r="A343" s="47" t="inlineStr">
        <is>
          <t>MOVI3</t>
        </is>
      </c>
      <c r="B343" s="47" t="inlineStr">
        <is>
          <t>Movida</t>
        </is>
      </c>
      <c r="C343" s="48" t="inlineStr">
        <is>
          <t>ON</t>
        </is>
      </c>
      <c r="D343" s="47" t="inlineStr">
        <is>
          <t>Consumo cíclico</t>
        </is>
      </c>
      <c r="E343" s="47" t="inlineStr">
        <is>
          <t>Diversos</t>
        </is>
      </c>
      <c r="F343" s="47" t="inlineStr">
        <is>
          <t>Aluguel de carros</t>
        </is>
      </c>
      <c r="G343" s="50" t="inlineStr">
        <is>
          <t>SIM</t>
        </is>
      </c>
      <c r="H343" s="51" t="inlineStr">
        <is>
          <t>TAXA DE JUROS/CRESCIMENTO ECONOMICO</t>
        </is>
      </c>
    </row>
    <row r="344">
      <c r="A344" s="47" t="inlineStr">
        <is>
          <t>MRSA3B</t>
        </is>
      </c>
      <c r="B344" s="47" t="inlineStr">
        <is>
          <t>Mrs Logist</t>
        </is>
      </c>
      <c r="C344" s="48" t="inlineStr">
        <is>
          <t>ON</t>
        </is>
      </c>
      <c r="D344" s="47" t="inlineStr">
        <is>
          <t>Bens industriais</t>
        </is>
      </c>
      <c r="E344" s="47" t="inlineStr">
        <is>
          <t>Transporte</t>
        </is>
      </c>
      <c r="F344" s="47" t="inlineStr">
        <is>
          <t>Transporte ferroviário</t>
        </is>
      </c>
      <c r="G344" s="50" t="inlineStr">
        <is>
          <t>SIM</t>
        </is>
      </c>
      <c r="H344" s="51" t="inlineStr">
        <is>
          <t>TAXA DE JUROS/CRESCIMENTO ECONOMICO</t>
        </is>
      </c>
    </row>
    <row r="345">
      <c r="A345" s="47" t="inlineStr">
        <is>
          <t>MRSA5B</t>
        </is>
      </c>
      <c r="B345" s="47" t="inlineStr">
        <is>
          <t>Mrs Logist</t>
        </is>
      </c>
      <c r="C345" s="48" t="inlineStr">
        <is>
          <t>PNA</t>
        </is>
      </c>
      <c r="D345" s="47" t="inlineStr">
        <is>
          <t>Bens industriais</t>
        </is>
      </c>
      <c r="E345" s="47" t="inlineStr">
        <is>
          <t>Transporte</t>
        </is>
      </c>
      <c r="F345" s="47" t="inlineStr">
        <is>
          <t>Transporte ferroviário</t>
        </is>
      </c>
      <c r="G345" s="50" t="inlineStr">
        <is>
          <t>SIM</t>
        </is>
      </c>
      <c r="H345" s="51" t="inlineStr">
        <is>
          <t>TAXA DE JUROS/CRESCIMENTO ECONOMICO</t>
        </is>
      </c>
    </row>
    <row r="346">
      <c r="A346" s="47" t="inlineStr">
        <is>
          <t>MRSA6B</t>
        </is>
      </c>
      <c r="B346" s="47" t="inlineStr">
        <is>
          <t>Mrs Logist</t>
        </is>
      </c>
      <c r="C346" s="48" t="inlineStr">
        <is>
          <t>PNB</t>
        </is>
      </c>
      <c r="D346" s="47" t="inlineStr">
        <is>
          <t>Bens industriais</t>
        </is>
      </c>
      <c r="E346" s="47" t="inlineStr">
        <is>
          <t>Transporte</t>
        </is>
      </c>
      <c r="F346" s="47" t="inlineStr">
        <is>
          <t>Transporte ferroviário</t>
        </is>
      </c>
      <c r="G346" s="50" t="inlineStr">
        <is>
          <t>SIM</t>
        </is>
      </c>
      <c r="H346" s="51" t="inlineStr">
        <is>
          <t>TAXA DE JUROS/CRESCIMENTO ECONOMICO</t>
        </is>
      </c>
    </row>
    <row r="347">
      <c r="A347" s="47" t="inlineStr">
        <is>
          <t>MRVE3</t>
        </is>
      </c>
      <c r="B347" s="47" t="inlineStr">
        <is>
          <t>MRV</t>
        </is>
      </c>
      <c r="C347" s="48" t="inlineStr">
        <is>
          <t>ON</t>
        </is>
      </c>
      <c r="D347" s="47" t="inlineStr">
        <is>
          <t>Consumo cíclico</t>
        </is>
      </c>
      <c r="E347" s="47" t="inlineStr">
        <is>
          <t>Construção civil</t>
        </is>
      </c>
      <c r="F347" s="47" t="inlineStr">
        <is>
          <t>Incorporações</t>
        </is>
      </c>
      <c r="G347" s="50" t="inlineStr">
        <is>
          <t>SIM</t>
        </is>
      </c>
      <c r="H347" s="51" t="inlineStr">
        <is>
          <t>TAXA DE JUROS/CRESCIMENTO ECONOMICO</t>
        </is>
      </c>
    </row>
    <row r="348">
      <c r="A348" s="47" t="inlineStr">
        <is>
          <t>MLAS3</t>
        </is>
      </c>
      <c r="B348" s="47" t="inlineStr">
        <is>
          <t>Multilaser</t>
        </is>
      </c>
      <c r="C348" s="48" t="inlineStr">
        <is>
          <t>ON</t>
        </is>
      </c>
      <c r="D348" s="47" t="inlineStr">
        <is>
          <t>Tecnologia da informação</t>
        </is>
      </c>
      <c r="E348" s="47" t="inlineStr">
        <is>
          <t>Computadores e equipamentos</t>
        </is>
      </c>
      <c r="F348" s="47" t="inlineStr">
        <is>
          <t>Computadores e equipamentos</t>
        </is>
      </c>
      <c r="G348" s="50" t="inlineStr">
        <is>
          <t>SIM</t>
        </is>
      </c>
      <c r="H348" s="51" t="inlineStr">
        <is>
          <t>TAXA DE JUROS/CRESCIMENTO ECONOMICO</t>
        </is>
      </c>
    </row>
    <row r="349">
      <c r="A349" s="47" t="inlineStr">
        <is>
          <t>MULT3</t>
        </is>
      </c>
      <c r="B349" s="47" t="inlineStr">
        <is>
          <t>Multiplan</t>
        </is>
      </c>
      <c r="C349" s="48" t="inlineStr">
        <is>
          <t>ON</t>
        </is>
      </c>
      <c r="D349" s="47" t="inlineStr">
        <is>
          <t>Financeiro</t>
        </is>
      </c>
      <c r="E349" s="47" t="inlineStr">
        <is>
          <t>Exploração de imóveis</t>
        </is>
      </c>
      <c r="F349" s="47" t="inlineStr">
        <is>
          <t>Exploração de imóveis</t>
        </is>
      </c>
      <c r="G349" s="50" t="inlineStr">
        <is>
          <t>SIM</t>
        </is>
      </c>
      <c r="H349" s="51" t="inlineStr">
        <is>
          <t>TAXA DE JUROS/CRESCIMENTO ECONOMICO</t>
        </is>
      </c>
    </row>
    <row r="350">
      <c r="A350" s="47" t="inlineStr">
        <is>
          <t>MNDL3</t>
        </is>
      </c>
      <c r="B350" s="47" t="inlineStr">
        <is>
          <t>Mundial</t>
        </is>
      </c>
      <c r="C350" s="48" t="inlineStr">
        <is>
          <t>ON</t>
        </is>
      </c>
      <c r="D350" s="47" t="inlineStr">
        <is>
          <t>Consumo cíclico</t>
        </is>
      </c>
      <c r="E350" s="47" t="inlineStr">
        <is>
          <t>Tecidos vestuário e calçados</t>
        </is>
      </c>
      <c r="F350" s="47" t="inlineStr">
        <is>
          <t>Acessórios</t>
        </is>
      </c>
      <c r="G350" s="50" t="inlineStr">
        <is>
          <t>SIM</t>
        </is>
      </c>
      <c r="H350" s="51" t="inlineStr">
        <is>
          <t>TAXA DE JUROS/CRESCIMENTO ECONOMICO</t>
        </is>
      </c>
    </row>
    <row r="351">
      <c r="A351" s="47" t="inlineStr">
        <is>
          <t>NEOE3</t>
        </is>
      </c>
      <c r="B351" s="47" t="inlineStr">
        <is>
          <t>Neoenergia</t>
        </is>
      </c>
      <c r="C351" s="48" t="inlineStr">
        <is>
          <t>ON</t>
        </is>
      </c>
      <c r="D351" s="47" t="inlineStr">
        <is>
          <t>Utilidade pública</t>
        </is>
      </c>
      <c r="E351" s="47" t="inlineStr">
        <is>
          <t>Energia elétrica</t>
        </is>
      </c>
      <c r="F351" s="47" t="inlineStr">
        <is>
          <t>Energia elétrica</t>
        </is>
      </c>
      <c r="G351" s="50" t="inlineStr">
        <is>
          <t>NÃO</t>
        </is>
      </c>
    </row>
    <row r="352">
      <c r="A352" s="47" t="inlineStr">
        <is>
          <t>NGRD3</t>
        </is>
      </c>
      <c r="B352" s="47" t="inlineStr">
        <is>
          <t>Neogrid</t>
        </is>
      </c>
      <c r="C352" s="48" t="inlineStr">
        <is>
          <t>ON</t>
        </is>
      </c>
      <c r="D352" s="47" t="inlineStr">
        <is>
          <t>Tecnologia da informação</t>
        </is>
      </c>
      <c r="E352" s="47" t="inlineStr">
        <is>
          <t>Programas e serviços</t>
        </is>
      </c>
      <c r="F352" s="47" t="inlineStr">
        <is>
          <t>Programas e serviços</t>
        </is>
      </c>
      <c r="G352" s="50" t="inlineStr">
        <is>
          <t>SIM</t>
        </is>
      </c>
      <c r="H352" s="51" t="inlineStr">
        <is>
          <t>TAXA DE JUROS/CRESCIMENTO ECONOMICO</t>
        </is>
      </c>
    </row>
    <row r="353">
      <c r="A353" s="47" t="inlineStr">
        <is>
          <t>NEXP3</t>
        </is>
      </c>
      <c r="B353" s="47" t="inlineStr">
        <is>
          <t>Nexpe</t>
        </is>
      </c>
      <c r="C353" s="48" t="inlineStr">
        <is>
          <t>ON</t>
        </is>
      </c>
      <c r="D353" s="47" t="inlineStr">
        <is>
          <t>Financeiro</t>
        </is>
      </c>
      <c r="E353" s="47" t="inlineStr">
        <is>
          <t>Exploração de imóveis</t>
        </is>
      </c>
      <c r="F353" s="47" t="inlineStr">
        <is>
          <t>Intermediação imobiliária</t>
        </is>
      </c>
      <c r="G353" s="50" t="inlineStr">
        <is>
          <t>SIM</t>
        </is>
      </c>
      <c r="H353" s="51" t="inlineStr">
        <is>
          <t>TAXA DE JUROS/CRESCIMENTO ECONOMICO</t>
        </is>
      </c>
    </row>
    <row r="354">
      <c r="A354" s="47" t="inlineStr">
        <is>
          <t>BNBR3</t>
        </is>
      </c>
      <c r="B354" s="47" t="inlineStr">
        <is>
          <t>Nord Brasil</t>
        </is>
      </c>
      <c r="C354" s="48" t="inlineStr">
        <is>
          <t>ON</t>
        </is>
      </c>
      <c r="D354" s="47" t="inlineStr">
        <is>
          <t>Financeiro</t>
        </is>
      </c>
      <c r="E354" s="47" t="inlineStr">
        <is>
          <t>Intermediários financeiros</t>
        </is>
      </c>
      <c r="F354" s="47" t="inlineStr">
        <is>
          <t>Bancos</t>
        </is>
      </c>
      <c r="G354" s="50" t="inlineStr">
        <is>
          <t>NÃO</t>
        </is>
      </c>
    </row>
    <row r="355">
      <c r="A355" s="47" t="inlineStr">
        <is>
          <t>NORD3</t>
        </is>
      </c>
      <c r="B355" s="47" t="inlineStr">
        <is>
          <t>Nordon Met</t>
        </is>
      </c>
      <c r="C355" s="48" t="inlineStr">
        <is>
          <t>ON</t>
        </is>
      </c>
      <c r="D355" s="47" t="inlineStr">
        <is>
          <t>Bens industriais</t>
        </is>
      </c>
      <c r="E355" s="47" t="inlineStr">
        <is>
          <t>Máquinas e equipamentos</t>
        </is>
      </c>
      <c r="F355" s="47" t="inlineStr">
        <is>
          <t>Máq. e equip. industriais</t>
        </is>
      </c>
      <c r="G355" s="50" t="inlineStr">
        <is>
          <t>SIM</t>
        </is>
      </c>
      <c r="H355" s="51" t="inlineStr">
        <is>
          <t>TAXA DE JUROS/CRESCIMENTO ECONOMICO</t>
        </is>
      </c>
    </row>
    <row r="356">
      <c r="A356" s="47" t="inlineStr">
        <is>
          <t>NRTQ3</t>
        </is>
      </c>
      <c r="B356" s="47" t="inlineStr">
        <is>
          <t>Nortcquimica</t>
        </is>
      </c>
      <c r="C356" s="48" t="inlineStr">
        <is>
          <t>ON</t>
        </is>
      </c>
      <c r="D356" s="47" t="inlineStr">
        <is>
          <t>Saúde</t>
        </is>
      </c>
      <c r="E356" s="47" t="inlineStr">
        <is>
          <t>Medicamentos e outros produtos</t>
        </is>
      </c>
      <c r="F356" s="47" t="inlineStr">
        <is>
          <t>Medicamentos e outros produtos</t>
        </is>
      </c>
      <c r="G356" s="50" t="inlineStr">
        <is>
          <t>NÃO</t>
        </is>
      </c>
    </row>
    <row r="357">
      <c r="A357" s="47" t="inlineStr">
        <is>
          <t>NUTR3</t>
        </is>
      </c>
      <c r="B357" s="47" t="inlineStr">
        <is>
          <t>Nutriplant</t>
        </is>
      </c>
      <c r="C357" s="48" t="inlineStr">
        <is>
          <t>ON</t>
        </is>
      </c>
      <c r="D357" s="47" t="inlineStr">
        <is>
          <t>Materiais básicos</t>
        </is>
      </c>
      <c r="E357" s="47" t="inlineStr">
        <is>
          <t>Químicos</t>
        </is>
      </c>
      <c r="F357" s="47" t="inlineStr">
        <is>
          <t>Fertilizantes e defensivos</t>
        </is>
      </c>
      <c r="G357" s="50" t="inlineStr">
        <is>
          <t>SIM</t>
        </is>
      </c>
      <c r="H357" s="51" t="inlineStr">
        <is>
          <t>DÓLAR</t>
        </is>
      </c>
    </row>
    <row r="358">
      <c r="A358" s="47" t="inlineStr">
        <is>
          <t>OPCT3</t>
        </is>
      </c>
      <c r="B358" s="47" t="inlineStr">
        <is>
          <t>Oceanpact</t>
        </is>
      </c>
      <c r="C358" s="48" t="inlineStr">
        <is>
          <t>ON</t>
        </is>
      </c>
      <c r="D358" s="47" t="inlineStr">
        <is>
          <t>Petróleo gás e biocombustíveis</t>
        </is>
      </c>
      <c r="E358" s="47" t="inlineStr">
        <is>
          <t>Petróleo gás e biocombustíveis</t>
        </is>
      </c>
      <c r="F358" s="47" t="inlineStr">
        <is>
          <t>Equipamentos e serviços</t>
        </is>
      </c>
      <c r="G358" s="50" t="inlineStr">
        <is>
          <t>SIM</t>
        </is>
      </c>
      <c r="H358" s="51" t="inlineStr">
        <is>
          <t>PETRÓLEO/DÓLAR</t>
        </is>
      </c>
    </row>
    <row r="359">
      <c r="A359" s="47" t="inlineStr">
        <is>
          <t>ODER3</t>
        </is>
      </c>
      <c r="B359" s="47" t="inlineStr">
        <is>
          <t>Oderich</t>
        </is>
      </c>
      <c r="C359" s="48" t="inlineStr">
        <is>
          <t>ON</t>
        </is>
      </c>
      <c r="D359" s="47" t="inlineStr">
        <is>
          <t>Consumo não cíclico</t>
        </is>
      </c>
      <c r="E359" s="47" t="inlineStr">
        <is>
          <t>Alimentos processados</t>
        </is>
      </c>
      <c r="F359" s="47" t="inlineStr">
        <is>
          <t>Alimentos diversos</t>
        </is>
      </c>
      <c r="G359" s="50" t="inlineStr">
        <is>
          <t>SIM</t>
        </is>
      </c>
      <c r="H359" s="51" t="inlineStr">
        <is>
          <t>COMMODITIES/DÓLAR</t>
        </is>
      </c>
    </row>
    <row r="360">
      <c r="A360" s="47" t="inlineStr">
        <is>
          <t>ODER4</t>
        </is>
      </c>
      <c r="B360" s="47" t="inlineStr">
        <is>
          <t>Oderich</t>
        </is>
      </c>
      <c r="C360" s="48" t="inlineStr">
        <is>
          <t>PN</t>
        </is>
      </c>
      <c r="D360" s="47" t="inlineStr">
        <is>
          <t>Consumo não cíclico</t>
        </is>
      </c>
      <c r="E360" s="47" t="inlineStr">
        <is>
          <t>Alimentos processados</t>
        </is>
      </c>
      <c r="F360" s="47" t="inlineStr">
        <is>
          <t>Alimentos diversos</t>
        </is>
      </c>
      <c r="G360" s="50" t="inlineStr">
        <is>
          <t>SIM</t>
        </is>
      </c>
      <c r="H360" s="51" t="inlineStr">
        <is>
          <t>COMMODITIES/DÓLAR</t>
        </is>
      </c>
    </row>
    <row r="361">
      <c r="A361" s="47" t="inlineStr">
        <is>
          <t>ODPV3</t>
        </is>
      </c>
      <c r="B361" s="47" t="inlineStr">
        <is>
          <t>Odontoprev</t>
        </is>
      </c>
      <c r="C361" s="48" t="inlineStr">
        <is>
          <t>ON</t>
        </is>
      </c>
      <c r="D361" s="47" t="inlineStr">
        <is>
          <t>Saúde</t>
        </is>
      </c>
      <c r="E361" s="47" t="inlineStr">
        <is>
          <t>Serviços médico-hospitalares análises e diagnósticos</t>
        </is>
      </c>
      <c r="F361" s="47" t="inlineStr">
        <is>
          <t>Serviços médico-hospitalares análises e diagnósticos</t>
        </is>
      </c>
      <c r="G361" s="50" t="inlineStr">
        <is>
          <t>NÃO</t>
        </is>
      </c>
    </row>
    <row r="362">
      <c r="A362" s="47" t="inlineStr">
        <is>
          <t>OIBR3</t>
        </is>
      </c>
      <c r="B362" s="47" t="inlineStr">
        <is>
          <t>Oi</t>
        </is>
      </c>
      <c r="C362" s="48" t="inlineStr">
        <is>
          <t>ON</t>
        </is>
      </c>
      <c r="D362" s="47" t="inlineStr">
        <is>
          <t>Comunicações</t>
        </is>
      </c>
      <c r="E362" s="47" t="inlineStr">
        <is>
          <t>Telecomunicações</t>
        </is>
      </c>
      <c r="F362" s="47" t="inlineStr">
        <is>
          <t>Telecomunicações</t>
        </is>
      </c>
      <c r="G362" s="50" t="inlineStr">
        <is>
          <t>SIM</t>
        </is>
      </c>
      <c r="H362" s="51" t="inlineStr">
        <is>
          <t>TAXA DE JUROS/CRESCIMENTO ECONOMICO</t>
        </is>
      </c>
    </row>
    <row r="363">
      <c r="A363" s="47" t="inlineStr">
        <is>
          <t>OIBR4</t>
        </is>
      </c>
      <c r="B363" s="47" t="inlineStr">
        <is>
          <t>Oi</t>
        </is>
      </c>
      <c r="C363" s="48" t="inlineStr">
        <is>
          <t>PN</t>
        </is>
      </c>
      <c r="D363" s="47" t="inlineStr">
        <is>
          <t>Comunicações</t>
        </is>
      </c>
      <c r="E363" s="47" t="inlineStr">
        <is>
          <t>Telecomunicações</t>
        </is>
      </c>
      <c r="F363" s="47" t="inlineStr">
        <is>
          <t>Telecomunicações</t>
        </is>
      </c>
      <c r="G363" s="50" t="inlineStr">
        <is>
          <t>SIM</t>
        </is>
      </c>
      <c r="H363" s="51" t="inlineStr">
        <is>
          <t>TAXA DE JUROS/CRESCIMENTO ECONOMICO</t>
        </is>
      </c>
    </row>
    <row r="364">
      <c r="A364" s="47" t="inlineStr">
        <is>
          <t>ONCO3</t>
        </is>
      </c>
      <c r="B364" s="47" t="inlineStr">
        <is>
          <t>Oncoclinicas</t>
        </is>
      </c>
      <c r="C364" s="48" t="inlineStr">
        <is>
          <t>ON</t>
        </is>
      </c>
      <c r="D364" s="47" t="inlineStr">
        <is>
          <t>Saúde</t>
        </is>
      </c>
      <c r="E364" s="47" t="inlineStr">
        <is>
          <t>Serviços médico-hospitalares análises e diagnósticos</t>
        </is>
      </c>
      <c r="F364" s="47" t="inlineStr">
        <is>
          <t>Serviços médico-hospitalares análises e diagnósticos</t>
        </is>
      </c>
      <c r="G364" s="50" t="inlineStr">
        <is>
          <t>NÃO</t>
        </is>
      </c>
    </row>
    <row r="365">
      <c r="A365" s="47" t="inlineStr">
        <is>
          <t>ORVR3</t>
        </is>
      </c>
      <c r="B365" s="47" t="inlineStr">
        <is>
          <t>Orizon</t>
        </is>
      </c>
      <c r="C365" s="48" t="inlineStr">
        <is>
          <t>ON</t>
        </is>
      </c>
      <c r="D365" s="47" t="inlineStr">
        <is>
          <t>Utilidade pública</t>
        </is>
      </c>
      <c r="E365" s="47" t="inlineStr">
        <is>
          <t>Água e saneamento</t>
        </is>
      </c>
      <c r="F365" s="47" t="inlineStr">
        <is>
          <t>Água e saneamento</t>
        </is>
      </c>
      <c r="G365" s="50" t="inlineStr">
        <is>
          <t>NÃO</t>
        </is>
      </c>
    </row>
    <row r="366">
      <c r="A366" s="47" t="inlineStr">
        <is>
          <t>OSXB3</t>
        </is>
      </c>
      <c r="B366" s="47" t="inlineStr">
        <is>
          <t>OSX Brasil</t>
        </is>
      </c>
      <c r="C366" s="48" t="inlineStr">
        <is>
          <t>ON</t>
        </is>
      </c>
      <c r="D366" s="47" t="inlineStr">
        <is>
          <t>Petróleo gás e biocombustíveis</t>
        </is>
      </c>
      <c r="E366" s="47" t="inlineStr">
        <is>
          <t>Petróleo gás e biocombustíveis</t>
        </is>
      </c>
      <c r="F366" s="47" t="inlineStr">
        <is>
          <t>Equipamentos e serviços</t>
        </is>
      </c>
      <c r="G366" s="50" t="inlineStr">
        <is>
          <t>SIM</t>
        </is>
      </c>
      <c r="H366" s="51" t="inlineStr">
        <is>
          <t>PETRÓLEO/DÓLAR</t>
        </is>
      </c>
    </row>
    <row r="367">
      <c r="A367" s="47" t="inlineStr">
        <is>
          <t>OFSA3</t>
        </is>
      </c>
      <c r="B367" s="47" t="inlineStr">
        <is>
          <t>Ourofino S/A</t>
        </is>
      </c>
      <c r="C367" s="48" t="inlineStr">
        <is>
          <t>ON</t>
        </is>
      </c>
      <c r="D367" s="47" t="inlineStr">
        <is>
          <t>Saúde</t>
        </is>
      </c>
      <c r="E367" s="47" t="inlineStr">
        <is>
          <t>Medicamentos e outros produtos</t>
        </is>
      </c>
      <c r="F367" s="47" t="inlineStr">
        <is>
          <t>Medicamentos e outros produtos</t>
        </is>
      </c>
      <c r="G367" s="50" t="inlineStr">
        <is>
          <t>NÃO</t>
        </is>
      </c>
    </row>
    <row r="368">
      <c r="A368" s="47" t="inlineStr">
        <is>
          <t>PCAR3</t>
        </is>
      </c>
      <c r="B368" s="47" t="inlineStr">
        <is>
          <t>P.Acucar-Cbd</t>
        </is>
      </c>
      <c r="C368" s="48" t="inlineStr">
        <is>
          <t>ON</t>
        </is>
      </c>
      <c r="D368" s="47" t="inlineStr">
        <is>
          <t>Consumo não cíclico</t>
        </is>
      </c>
      <c r="E368" s="47" t="inlineStr">
        <is>
          <t>Comércio e distribuição</t>
        </is>
      </c>
      <c r="F368" s="47" t="inlineStr">
        <is>
          <t>Alimentos</t>
        </is>
      </c>
      <c r="G368" s="50" t="inlineStr">
        <is>
          <t>SIM</t>
        </is>
      </c>
      <c r="H368" s="51" t="inlineStr">
        <is>
          <t>TAXA DE JUROS/CRESCIMENTO ECONOMICO</t>
        </is>
      </c>
    </row>
    <row r="369">
      <c r="A369" s="47" t="inlineStr">
        <is>
          <t>PDTC3</t>
        </is>
      </c>
      <c r="B369" s="47" t="inlineStr">
        <is>
          <t>Padtec</t>
        </is>
      </c>
      <c r="C369" s="48" t="inlineStr">
        <is>
          <t>ON</t>
        </is>
      </c>
      <c r="D369" s="47" t="inlineStr">
        <is>
          <t>Tecnologia da informação</t>
        </is>
      </c>
      <c r="E369" s="47" t="inlineStr">
        <is>
          <t>Programas e serviços</t>
        </is>
      </c>
      <c r="F369" s="47" t="inlineStr">
        <is>
          <t>Programas e serviços</t>
        </is>
      </c>
      <c r="G369" s="50" t="inlineStr">
        <is>
          <t>SIM</t>
        </is>
      </c>
      <c r="H369" s="51" t="inlineStr">
        <is>
          <t>TAXA DE JUROS/CRESCIMENTO ECONOMICO</t>
        </is>
      </c>
    </row>
    <row r="370">
      <c r="A370" s="47" t="inlineStr">
        <is>
          <t>PGMN3</t>
        </is>
      </c>
      <c r="B370" s="47" t="inlineStr">
        <is>
          <t>Pague Menos</t>
        </is>
      </c>
      <c r="C370" s="48" t="inlineStr">
        <is>
          <t>ON</t>
        </is>
      </c>
      <c r="D370" s="47" t="inlineStr">
        <is>
          <t>Saúde</t>
        </is>
      </c>
      <c r="E370" s="47" t="inlineStr">
        <is>
          <t>Comércio e distribuição</t>
        </is>
      </c>
      <c r="F370" s="47" t="inlineStr">
        <is>
          <t>Medicamentos e outros produtos</t>
        </is>
      </c>
      <c r="G370" s="50" t="inlineStr">
        <is>
          <t>NÃO</t>
        </is>
      </c>
    </row>
    <row r="371">
      <c r="A371" s="47" t="inlineStr">
        <is>
          <t>PATI3</t>
        </is>
      </c>
      <c r="B371" s="47" t="inlineStr">
        <is>
          <t>Panatlantica</t>
        </is>
      </c>
      <c r="C371" s="48" t="inlineStr">
        <is>
          <t>ON</t>
        </is>
      </c>
      <c r="D371" s="47" t="inlineStr">
        <is>
          <t>Materiais básicos</t>
        </is>
      </c>
      <c r="E371" s="47" t="inlineStr">
        <is>
          <t>Siderurgia e metalurgia</t>
        </is>
      </c>
      <c r="F371" s="47" t="inlineStr">
        <is>
          <t>Artefatos de ferro e aço</t>
        </is>
      </c>
      <c r="G371" s="50" t="inlineStr">
        <is>
          <t>SIM</t>
        </is>
      </c>
      <c r="H371" s="52" t="inlineStr">
        <is>
          <t>MINÉRIO/DÓLAR</t>
        </is>
      </c>
    </row>
    <row r="372">
      <c r="A372" s="47" t="inlineStr">
        <is>
          <t>PATI4</t>
        </is>
      </c>
      <c r="B372" s="47" t="inlineStr">
        <is>
          <t>Panatlantica</t>
        </is>
      </c>
      <c r="C372" s="48" t="inlineStr">
        <is>
          <t>PN</t>
        </is>
      </c>
      <c r="D372" s="47" t="inlineStr">
        <is>
          <t>Materiais básicos</t>
        </is>
      </c>
      <c r="E372" s="47" t="inlineStr">
        <is>
          <t>Siderurgia e metalurgia</t>
        </is>
      </c>
      <c r="F372" s="47" t="inlineStr">
        <is>
          <t>Artefatos de ferro e aço</t>
        </is>
      </c>
      <c r="G372" s="50" t="inlineStr">
        <is>
          <t>SIM</t>
        </is>
      </c>
      <c r="H372" s="52" t="inlineStr">
        <is>
          <t>MINÉRIO/DÓLAR</t>
        </is>
      </c>
    </row>
    <row r="373">
      <c r="A373" s="47" t="inlineStr">
        <is>
          <t>PEAB3</t>
        </is>
      </c>
      <c r="B373" s="47" t="inlineStr">
        <is>
          <t>Par Al Bahia</t>
        </is>
      </c>
      <c r="C373" s="48" t="inlineStr">
        <is>
          <t>ON</t>
        </is>
      </c>
      <c r="D373" s="47" t="inlineStr">
        <is>
          <t>Financeiro</t>
        </is>
      </c>
      <c r="E373" s="47" t="inlineStr">
        <is>
          <t>Holdings diversificadas</t>
        </is>
      </c>
      <c r="F373" s="47" t="inlineStr">
        <is>
          <t>Holdings diversificadas</t>
        </is>
      </c>
      <c r="G373" s="50" t="inlineStr">
        <is>
          <t>SIM</t>
        </is>
      </c>
      <c r="H373" s="51" t="inlineStr">
        <is>
          <t>TAXA DE JUROS/CRESCIMENTO ECONOMICO</t>
        </is>
      </c>
    </row>
    <row r="374">
      <c r="A374" s="47" t="inlineStr">
        <is>
          <t>PEAB4</t>
        </is>
      </c>
      <c r="B374" s="47" t="inlineStr">
        <is>
          <t>Par Al Bahia</t>
        </is>
      </c>
      <c r="C374" s="48" t="inlineStr">
        <is>
          <t>PN</t>
        </is>
      </c>
      <c r="D374" s="47" t="inlineStr">
        <is>
          <t>Financeiro</t>
        </is>
      </c>
      <c r="E374" s="47" t="inlineStr">
        <is>
          <t>Holdings diversificadas</t>
        </is>
      </c>
      <c r="F374" s="47" t="inlineStr">
        <is>
          <t>Holdings diversificadas</t>
        </is>
      </c>
      <c r="G374" s="50" t="inlineStr">
        <is>
          <t>SIM</t>
        </is>
      </c>
      <c r="H374" s="51" t="inlineStr">
        <is>
          <t>TAXA DE JUROS/CRESCIMENTO ECONOMICO</t>
        </is>
      </c>
    </row>
    <row r="375">
      <c r="A375" s="47" t="inlineStr">
        <is>
          <t>PMAM3</t>
        </is>
      </c>
      <c r="B375" s="47" t="inlineStr">
        <is>
          <t>Paranapanema</t>
        </is>
      </c>
      <c r="C375" s="48" t="inlineStr">
        <is>
          <t>ON</t>
        </is>
      </c>
      <c r="D375" s="47" t="inlineStr">
        <is>
          <t>Materiais básicos</t>
        </is>
      </c>
      <c r="E375" s="47" t="inlineStr">
        <is>
          <t>Siderurgia e metalurgia</t>
        </is>
      </c>
      <c r="F375" s="47" t="inlineStr">
        <is>
          <t>Artefatos de cobre</t>
        </is>
      </c>
      <c r="G375" s="50" t="inlineStr">
        <is>
          <t>SIM</t>
        </is>
      </c>
      <c r="H375" s="52" t="inlineStr">
        <is>
          <t>MINÉRIO/DÓLAR</t>
        </is>
      </c>
    </row>
    <row r="376">
      <c r="A376" s="47" t="inlineStr">
        <is>
          <t>PDGR3</t>
        </is>
      </c>
      <c r="B376" s="47" t="inlineStr">
        <is>
          <t>PDG Realt</t>
        </is>
      </c>
      <c r="C376" s="48" t="inlineStr">
        <is>
          <t>ON</t>
        </is>
      </c>
      <c r="D376" s="47" t="inlineStr">
        <is>
          <t>Consumo cíclico</t>
        </is>
      </c>
      <c r="E376" s="47" t="inlineStr">
        <is>
          <t>Construção civil</t>
        </is>
      </c>
      <c r="F376" s="47" t="inlineStr">
        <is>
          <t>Incorporações</t>
        </is>
      </c>
      <c r="G376" s="50" t="inlineStr">
        <is>
          <t>SIM</t>
        </is>
      </c>
      <c r="H376" s="51" t="inlineStr">
        <is>
          <t>TAXA DE JUROS/CRESCIMENTO ECONOMICO</t>
        </is>
      </c>
    </row>
    <row r="377">
      <c r="A377" s="47" t="inlineStr">
        <is>
          <t>RPMG3</t>
        </is>
      </c>
      <c r="B377" s="47" t="inlineStr">
        <is>
          <t>Pet Manguinh</t>
        </is>
      </c>
      <c r="C377" s="48" t="inlineStr">
        <is>
          <t>ON</t>
        </is>
      </c>
      <c r="D377" s="47" t="inlineStr">
        <is>
          <t>Petróleo gás e biocombustíveis</t>
        </is>
      </c>
      <c r="E377" s="47" t="inlineStr">
        <is>
          <t>Petróleo gás e biocombustíveis</t>
        </is>
      </c>
      <c r="F377" s="47" t="inlineStr">
        <is>
          <t>Exploração refino e distribuição</t>
        </is>
      </c>
      <c r="G377" s="50" t="inlineStr">
        <is>
          <t>SIM</t>
        </is>
      </c>
      <c r="H377" s="51" t="inlineStr">
        <is>
          <t>PETRÓLEO/DÓLAR</t>
        </is>
      </c>
    </row>
    <row r="378">
      <c r="A378" s="47" t="inlineStr">
        <is>
          <t>PETR3</t>
        </is>
      </c>
      <c r="B378" s="47" t="inlineStr">
        <is>
          <t>Petrobras</t>
        </is>
      </c>
      <c r="C378" s="48" t="inlineStr">
        <is>
          <t>ON</t>
        </is>
      </c>
      <c r="D378" s="47" t="inlineStr">
        <is>
          <t>Petróleo gás e biocombustíveis</t>
        </is>
      </c>
      <c r="E378" s="47" t="inlineStr">
        <is>
          <t>Petróleo gás e biocombustíveis</t>
        </is>
      </c>
      <c r="F378" s="47" t="inlineStr">
        <is>
          <t>Exploração refino e distribuição</t>
        </is>
      </c>
      <c r="G378" s="50" t="inlineStr">
        <is>
          <t>SIM</t>
        </is>
      </c>
      <c r="H378" s="51" t="inlineStr">
        <is>
          <t>PETRÓLEO/DÓLAR</t>
        </is>
      </c>
    </row>
    <row r="379">
      <c r="A379" s="47" t="inlineStr">
        <is>
          <t>PETR4</t>
        </is>
      </c>
      <c r="B379" s="47" t="inlineStr">
        <is>
          <t>Petrobras</t>
        </is>
      </c>
      <c r="C379" s="48" t="inlineStr">
        <is>
          <t>PN</t>
        </is>
      </c>
      <c r="D379" s="47" t="inlineStr">
        <is>
          <t>Petróleo gás e biocombustíveis</t>
        </is>
      </c>
      <c r="E379" s="47" t="inlineStr">
        <is>
          <t>Petróleo gás e biocombustíveis</t>
        </is>
      </c>
      <c r="F379" s="47" t="inlineStr">
        <is>
          <t>Exploração refino e distribuição</t>
        </is>
      </c>
      <c r="G379" s="50" t="inlineStr">
        <is>
          <t>SIM</t>
        </is>
      </c>
      <c r="H379" s="51" t="inlineStr">
        <is>
          <t>PETRÓLEO/DÓLAR</t>
        </is>
      </c>
    </row>
    <row r="380">
      <c r="A380" s="47" t="inlineStr">
        <is>
          <t>RECV3</t>
        </is>
      </c>
      <c r="B380" s="47" t="inlineStr">
        <is>
          <t>Petrorecsa</t>
        </is>
      </c>
      <c r="C380" s="48" t="inlineStr">
        <is>
          <t>ON</t>
        </is>
      </c>
      <c r="D380" s="47" t="inlineStr">
        <is>
          <t>Petróleo gás e biocombustíveis</t>
        </is>
      </c>
      <c r="E380" s="47" t="inlineStr">
        <is>
          <t>Petróleo gás e biocombustíveis</t>
        </is>
      </c>
      <c r="F380" s="47" t="inlineStr">
        <is>
          <t>Exploração refino e distribuição</t>
        </is>
      </c>
      <c r="G380" s="50" t="inlineStr">
        <is>
          <t>SIM</t>
        </is>
      </c>
      <c r="H380" s="51" t="inlineStr">
        <is>
          <t>PETRÓLEO/DÓLAR</t>
        </is>
      </c>
    </row>
    <row r="381">
      <c r="A381" s="47" t="inlineStr">
        <is>
          <t>PRIO3</t>
        </is>
      </c>
      <c r="B381" s="47" t="inlineStr">
        <is>
          <t>Petrorio</t>
        </is>
      </c>
      <c r="C381" s="48" t="inlineStr">
        <is>
          <t>ON</t>
        </is>
      </c>
      <c r="D381" s="47" t="inlineStr">
        <is>
          <t>Petróleo gás e biocombustíveis</t>
        </is>
      </c>
      <c r="E381" s="47" t="inlineStr">
        <is>
          <t>Petróleo gás e biocombustíveis</t>
        </is>
      </c>
      <c r="F381" s="47" t="inlineStr">
        <is>
          <t>Exploração refino e distribuição</t>
        </is>
      </c>
      <c r="G381" s="50" t="inlineStr">
        <is>
          <t>SIM</t>
        </is>
      </c>
      <c r="H381" s="51" t="inlineStr">
        <is>
          <t>PETRÓLEO/DÓLAR</t>
        </is>
      </c>
    </row>
    <row r="382">
      <c r="A382" s="47" t="inlineStr">
        <is>
          <t>PTNT3</t>
        </is>
      </c>
      <c r="B382" s="47" t="inlineStr">
        <is>
          <t>Pettenati</t>
        </is>
      </c>
      <c r="C382" s="48" t="inlineStr">
        <is>
          <t>ON</t>
        </is>
      </c>
      <c r="D382" s="47" t="inlineStr">
        <is>
          <t>Consumo cíclico</t>
        </is>
      </c>
      <c r="E382" s="47" t="inlineStr">
        <is>
          <t>Tecidos vestuário e calçados</t>
        </is>
      </c>
      <c r="F382" s="47" t="inlineStr">
        <is>
          <t>Fios e tecidos</t>
        </is>
      </c>
      <c r="G382" s="50" t="inlineStr">
        <is>
          <t>SIM</t>
        </is>
      </c>
      <c r="H382" s="51" t="inlineStr">
        <is>
          <t>TAXA DE JUROS/CRESCIMENTO ECONOMICO</t>
        </is>
      </c>
    </row>
    <row r="383">
      <c r="A383" s="47" t="inlineStr">
        <is>
          <t>PTNT4</t>
        </is>
      </c>
      <c r="B383" s="47" t="inlineStr">
        <is>
          <t>Pettenati</t>
        </is>
      </c>
      <c r="C383" s="48" t="inlineStr">
        <is>
          <t>PN</t>
        </is>
      </c>
      <c r="D383" s="47" t="inlineStr">
        <is>
          <t>Consumo cíclico</t>
        </is>
      </c>
      <c r="E383" s="47" t="inlineStr">
        <is>
          <t>Tecidos vestuário e calçados</t>
        </is>
      </c>
      <c r="F383" s="47" t="inlineStr">
        <is>
          <t>Fios e tecidos</t>
        </is>
      </c>
      <c r="G383" s="50" t="inlineStr">
        <is>
          <t>SIM</t>
        </is>
      </c>
      <c r="H383" s="51" t="inlineStr">
        <is>
          <t>TAXA DE JUROS/CRESCIMENTO ECONOMICO</t>
        </is>
      </c>
    </row>
    <row r="384">
      <c r="A384" s="47" t="inlineStr">
        <is>
          <t>PETZ3</t>
        </is>
      </c>
      <c r="B384" s="47" t="inlineStr">
        <is>
          <t>Petz</t>
        </is>
      </c>
      <c r="C384" s="48" t="inlineStr">
        <is>
          <t>ON</t>
        </is>
      </c>
      <c r="D384" s="47" t="inlineStr">
        <is>
          <t>Consumo cíclico</t>
        </is>
      </c>
      <c r="E384" s="47" t="inlineStr">
        <is>
          <t>Comércio</t>
        </is>
      </c>
      <c r="F384" s="47" t="inlineStr">
        <is>
          <t>Produtos diversos</t>
        </is>
      </c>
      <c r="G384" s="50" t="inlineStr">
        <is>
          <t>SIM</t>
        </is>
      </c>
      <c r="H384" s="51" t="inlineStr">
        <is>
          <t>TAXA DE JUROS/CRESCIMENTO ECONOMICO</t>
        </is>
      </c>
    </row>
    <row r="385">
      <c r="A385" s="47" t="inlineStr">
        <is>
          <t>PINE3</t>
        </is>
      </c>
      <c r="B385" s="47" t="inlineStr">
        <is>
          <t>Pine</t>
        </is>
      </c>
      <c r="C385" s="48" t="inlineStr">
        <is>
          <t>ON</t>
        </is>
      </c>
      <c r="D385" s="47" t="inlineStr">
        <is>
          <t>Financeiro</t>
        </is>
      </c>
      <c r="E385" s="47" t="inlineStr">
        <is>
          <t>Intermediários financeiros</t>
        </is>
      </c>
      <c r="F385" s="47" t="inlineStr">
        <is>
          <t>Bancos</t>
        </is>
      </c>
      <c r="G385" s="50" t="inlineStr">
        <is>
          <t>NÃO</t>
        </is>
      </c>
    </row>
    <row r="386">
      <c r="A386" s="47" t="inlineStr">
        <is>
          <t>PINE4</t>
        </is>
      </c>
      <c r="B386" s="47" t="inlineStr">
        <is>
          <t>Pine</t>
        </is>
      </c>
      <c r="C386" s="48" t="inlineStr">
        <is>
          <t>PN</t>
        </is>
      </c>
      <c r="D386" s="47" t="inlineStr">
        <is>
          <t>Financeiro</t>
        </is>
      </c>
      <c r="E386" s="47" t="inlineStr">
        <is>
          <t>Intermediários financeiros</t>
        </is>
      </c>
      <c r="F386" s="47" t="inlineStr">
        <is>
          <t>Bancos</t>
        </is>
      </c>
      <c r="G386" s="50" t="inlineStr">
        <is>
          <t>NÃO</t>
        </is>
      </c>
    </row>
    <row r="387">
      <c r="A387" s="47" t="inlineStr">
        <is>
          <t>PLPL3</t>
        </is>
      </c>
      <c r="B387" s="47" t="inlineStr">
        <is>
          <t>Planoeplano</t>
        </is>
      </c>
      <c r="C387" s="48" t="inlineStr">
        <is>
          <t>ON</t>
        </is>
      </c>
      <c r="D387" s="47" t="inlineStr">
        <is>
          <t>Consumo cíclico</t>
        </is>
      </c>
      <c r="E387" s="47" t="inlineStr">
        <is>
          <t>Construção civil</t>
        </is>
      </c>
      <c r="F387" s="47" t="inlineStr">
        <is>
          <t>Incorporações</t>
        </is>
      </c>
      <c r="G387" s="50" t="inlineStr">
        <is>
          <t>SIM</t>
        </is>
      </c>
      <c r="H387" s="51" t="inlineStr">
        <is>
          <t>TAXA DE JUROS/CRESCIMENTO ECONOMICO</t>
        </is>
      </c>
    </row>
    <row r="388">
      <c r="A388" s="47" t="inlineStr">
        <is>
          <t>PLAS3</t>
        </is>
      </c>
      <c r="B388" s="47" t="inlineStr">
        <is>
          <t>Plascar Part</t>
        </is>
      </c>
      <c r="C388" s="48" t="inlineStr">
        <is>
          <t>ON</t>
        </is>
      </c>
      <c r="D388" s="47" t="inlineStr">
        <is>
          <t>Consumo cíclico</t>
        </is>
      </c>
      <c r="E388" s="47" t="inlineStr">
        <is>
          <t>Automóveis e motocicletas</t>
        </is>
      </c>
      <c r="F388" s="47" t="inlineStr">
        <is>
          <t>Automóveis e motocicletas</t>
        </is>
      </c>
      <c r="G388" s="50" t="inlineStr">
        <is>
          <t>SIM</t>
        </is>
      </c>
      <c r="H388" s="51" t="inlineStr">
        <is>
          <t>TAXA DE JUROS/CRESCIMENTO ECONOMICO</t>
        </is>
      </c>
    </row>
    <row r="389">
      <c r="A389" s="47" t="inlineStr">
        <is>
          <t>PPAR3</t>
        </is>
      </c>
      <c r="B389" s="47" t="inlineStr">
        <is>
          <t>Polpar</t>
        </is>
      </c>
      <c r="C389" s="48" t="inlineStr">
        <is>
          <t>ON</t>
        </is>
      </c>
      <c r="D389" s="47" t="inlineStr">
        <is>
          <t>Outros</t>
        </is>
      </c>
      <c r="E389" s="47" t="inlineStr">
        <is>
          <t>Outros</t>
        </is>
      </c>
      <c r="F389" s="47" t="inlineStr">
        <is>
          <t>Outros</t>
        </is>
      </c>
    </row>
    <row r="390">
      <c r="A390" s="47" t="inlineStr">
        <is>
          <t>PSSA3</t>
        </is>
      </c>
      <c r="B390" s="47" t="inlineStr">
        <is>
          <t>Porto Seguro</t>
        </is>
      </c>
      <c r="C390" s="48" t="inlineStr">
        <is>
          <t>ON</t>
        </is>
      </c>
      <c r="D390" s="47" t="inlineStr">
        <is>
          <t>Financeiro</t>
        </is>
      </c>
      <c r="E390" s="47" t="inlineStr">
        <is>
          <t>Previdência e seguros</t>
        </is>
      </c>
      <c r="F390" s="47" t="inlineStr">
        <is>
          <t>Seguradoras</t>
        </is>
      </c>
      <c r="G390" s="50" t="inlineStr">
        <is>
          <t>NÃO</t>
        </is>
      </c>
    </row>
    <row r="391">
      <c r="A391" s="47" t="inlineStr">
        <is>
          <t>PTBL3</t>
        </is>
      </c>
      <c r="B391" s="47" t="inlineStr">
        <is>
          <t>Portobello</t>
        </is>
      </c>
      <c r="C391" s="48" t="inlineStr">
        <is>
          <t>ON</t>
        </is>
      </c>
      <c r="D391" s="47" t="inlineStr">
        <is>
          <t>Bens industriais</t>
        </is>
      </c>
      <c r="E391" s="47" t="inlineStr">
        <is>
          <t>Construção e engenharia</t>
        </is>
      </c>
      <c r="F391" s="47" t="inlineStr">
        <is>
          <t>Produtos para construção</t>
        </is>
      </c>
      <c r="G391" s="50" t="inlineStr">
        <is>
          <t>SIM</t>
        </is>
      </c>
      <c r="H391" s="51" t="inlineStr">
        <is>
          <t>TAXA DE JUROS/CRESCIMENTO ECONOMICO</t>
        </is>
      </c>
    </row>
    <row r="392">
      <c r="A392" s="47" t="inlineStr">
        <is>
          <t>POSI3</t>
        </is>
      </c>
      <c r="B392" s="47" t="inlineStr">
        <is>
          <t>Positivo Tec</t>
        </is>
      </c>
      <c r="C392" s="48" t="inlineStr">
        <is>
          <t>ON</t>
        </is>
      </c>
      <c r="D392" s="47" t="inlineStr">
        <is>
          <t>Tecnologia da informação</t>
        </is>
      </c>
      <c r="E392" s="47" t="inlineStr">
        <is>
          <t>Computadores e equipamentos</t>
        </is>
      </c>
      <c r="F392" s="47" t="inlineStr">
        <is>
          <t>Computadores e equipamentos</t>
        </is>
      </c>
      <c r="G392" s="50" t="inlineStr">
        <is>
          <t>SIM</t>
        </is>
      </c>
      <c r="H392" s="51" t="inlineStr">
        <is>
          <t>TAXA DE JUROS/CRESCIMENTO ECONOMICO</t>
        </is>
      </c>
    </row>
    <row r="393">
      <c r="A393" s="47" t="inlineStr">
        <is>
          <t>PPLA11</t>
        </is>
      </c>
      <c r="B393" s="47" t="inlineStr">
        <is>
          <t>Ppla</t>
        </is>
      </c>
      <c r="C393" s="48" t="inlineStr">
        <is>
          <t>UNT</t>
        </is>
      </c>
      <c r="D393" s="47" t="inlineStr">
        <is>
          <t>Financeiro</t>
        </is>
      </c>
      <c r="E393" s="47" t="inlineStr">
        <is>
          <t>Serviços financeiros diversos</t>
        </is>
      </c>
      <c r="F393" s="47" t="inlineStr">
        <is>
          <t>Gestão de recursos e investimentos</t>
        </is>
      </c>
      <c r="G393" s="50" t="inlineStr">
        <is>
          <t>SIM</t>
        </is>
      </c>
      <c r="H393" s="51" t="inlineStr">
        <is>
          <t>TAXA DE JUROS/CRESCIMENTO ECONOMICO</t>
        </is>
      </c>
    </row>
    <row r="394">
      <c r="A394" s="47" t="inlineStr">
        <is>
          <t>PTCA3</t>
        </is>
      </c>
      <c r="B394" s="47" t="inlineStr">
        <is>
          <t>Pratica</t>
        </is>
      </c>
      <c r="C394" s="48" t="inlineStr">
        <is>
          <t>ON</t>
        </is>
      </c>
      <c r="D394" s="47" t="inlineStr">
        <is>
          <t>Bens industriais</t>
        </is>
      </c>
      <c r="E394" s="47" t="inlineStr">
        <is>
          <t>Máquinas e equipamentos</t>
        </is>
      </c>
      <c r="F394" s="47" t="inlineStr">
        <is>
          <t>Máq. e equip. industriais</t>
        </is>
      </c>
      <c r="G394" s="50" t="inlineStr">
        <is>
          <t>SIM</t>
        </is>
      </c>
      <c r="H394" s="51" t="inlineStr">
        <is>
          <t>TAXA DE JUROS/CRESCIMENTO ECONOMICO</t>
        </is>
      </c>
    </row>
    <row r="395">
      <c r="A395" s="47" t="inlineStr">
        <is>
          <t>PRNR3</t>
        </is>
      </c>
      <c r="B395" s="47" t="inlineStr">
        <is>
          <t>Priner</t>
        </is>
      </c>
      <c r="C395" s="48" t="inlineStr">
        <is>
          <t>ON</t>
        </is>
      </c>
      <c r="D395" s="47" t="inlineStr">
        <is>
          <t>Bens industriais</t>
        </is>
      </c>
      <c r="E395" s="47" t="inlineStr">
        <is>
          <t>Serviços diversos</t>
        </is>
      </c>
      <c r="F395" s="47" t="inlineStr">
        <is>
          <t>Serviços diversos</t>
        </is>
      </c>
      <c r="G395" s="50" t="inlineStr">
        <is>
          <t>SIM</t>
        </is>
      </c>
      <c r="H395" s="51" t="inlineStr">
        <is>
          <t>TAXA DE JUROS/CRESCIMENTO ECONOMICO</t>
        </is>
      </c>
    </row>
    <row r="396">
      <c r="A396" s="47" t="inlineStr">
        <is>
          <t>PFRM3</t>
        </is>
      </c>
      <c r="B396" s="47" t="inlineStr">
        <is>
          <t>Profarma</t>
        </is>
      </c>
      <c r="C396" s="48" t="inlineStr">
        <is>
          <t>ON</t>
        </is>
      </c>
      <c r="D396" s="47" t="inlineStr">
        <is>
          <t>Saúde</t>
        </is>
      </c>
      <c r="E396" s="47" t="inlineStr">
        <is>
          <t>Comércio e distribuição</t>
        </is>
      </c>
      <c r="F396" s="47" t="inlineStr">
        <is>
          <t>Medicamentos e outros produtos</t>
        </is>
      </c>
      <c r="G396" s="50" t="inlineStr">
        <is>
          <t>NÃO</t>
        </is>
      </c>
    </row>
    <row r="397">
      <c r="A397" s="47" t="inlineStr">
        <is>
          <t>PRPT3</t>
        </is>
      </c>
      <c r="B397" s="47" t="inlineStr">
        <is>
          <t>Prompt Part</t>
        </is>
      </c>
      <c r="C397" s="48" t="inlineStr">
        <is>
          <t>ON</t>
        </is>
      </c>
      <c r="D397" s="47" t="inlineStr">
        <is>
          <t>Outros</t>
        </is>
      </c>
      <c r="E397" s="47" t="inlineStr">
        <is>
          <t>Outros</t>
        </is>
      </c>
      <c r="F397" s="47" t="inlineStr">
        <is>
          <t>Outros</t>
        </is>
      </c>
    </row>
    <row r="398">
      <c r="A398" s="47" t="inlineStr">
        <is>
          <t>QUAL3</t>
        </is>
      </c>
      <c r="B398" s="47" t="inlineStr">
        <is>
          <t>Qualicorp</t>
        </is>
      </c>
      <c r="C398" s="48" t="inlineStr">
        <is>
          <t>ON</t>
        </is>
      </c>
      <c r="D398" s="47" t="inlineStr">
        <is>
          <t>Saúde</t>
        </is>
      </c>
      <c r="E398" s="47" t="inlineStr">
        <is>
          <t>Serviços médico-hospitalares análises e diagnósticos</t>
        </is>
      </c>
      <c r="F398" s="47" t="inlineStr">
        <is>
          <t>Serviços médico-hospitalares análises e diagnósticos</t>
        </is>
      </c>
      <c r="G398" s="50" t="inlineStr">
        <is>
          <t>NÃO</t>
        </is>
      </c>
    </row>
    <row r="399">
      <c r="A399" s="47" t="inlineStr">
        <is>
          <t>QUSW3</t>
        </is>
      </c>
      <c r="B399" s="47" t="inlineStr">
        <is>
          <t>Quality Soft</t>
        </is>
      </c>
      <c r="C399" s="48" t="inlineStr">
        <is>
          <t>ON</t>
        </is>
      </c>
      <c r="D399" s="47" t="inlineStr">
        <is>
          <t>Tecnologia da informação</t>
        </is>
      </c>
      <c r="E399" s="47" t="inlineStr">
        <is>
          <t>Programas e serviços</t>
        </is>
      </c>
      <c r="F399" s="47" t="inlineStr">
        <is>
          <t>Programas e serviços</t>
        </is>
      </c>
      <c r="G399" s="50" t="inlineStr">
        <is>
          <t>SIM</t>
        </is>
      </c>
      <c r="H399" s="51" t="inlineStr">
        <is>
          <t>TAXA DE JUROS/CRESCIMENTO ECONOMICO</t>
        </is>
      </c>
    </row>
    <row r="400">
      <c r="A400" s="47" t="inlineStr">
        <is>
          <t>LJQQ3</t>
        </is>
      </c>
      <c r="B400" s="47" t="inlineStr">
        <is>
          <t>Quero-Quero</t>
        </is>
      </c>
      <c r="C400" s="48" t="inlineStr">
        <is>
          <t>ON</t>
        </is>
      </c>
      <c r="D400" s="47" t="inlineStr">
        <is>
          <t>Consumo cíclico</t>
        </is>
      </c>
      <c r="E400" s="47" t="inlineStr">
        <is>
          <t>Comércio</t>
        </is>
      </c>
      <c r="F400" s="47" t="inlineStr">
        <is>
          <t>Produtos diversos</t>
        </is>
      </c>
      <c r="G400" s="50" t="inlineStr">
        <is>
          <t>SIM</t>
        </is>
      </c>
      <c r="H400" s="51" t="inlineStr">
        <is>
          <t>TAXA DE JUROS/CRESCIMENTO ECONOMICO</t>
        </is>
      </c>
    </row>
    <row r="401">
      <c r="A401" s="47" t="inlineStr">
        <is>
          <t>RADL3</t>
        </is>
      </c>
      <c r="B401" s="47" t="inlineStr">
        <is>
          <t>RaiaDrogasil</t>
        </is>
      </c>
      <c r="C401" s="48" t="inlineStr">
        <is>
          <t>ON</t>
        </is>
      </c>
      <c r="D401" s="47" t="inlineStr">
        <is>
          <t>Saúde</t>
        </is>
      </c>
      <c r="E401" s="47" t="inlineStr">
        <is>
          <t>Comércio e distribuição</t>
        </is>
      </c>
      <c r="F401" s="47" t="inlineStr">
        <is>
          <t>Medicamentos e outros produtos</t>
        </is>
      </c>
      <c r="G401" s="50" t="inlineStr">
        <is>
          <t>NÃO</t>
        </is>
      </c>
    </row>
    <row r="402">
      <c r="A402" s="47" t="inlineStr">
        <is>
          <t>RAIZ4</t>
        </is>
      </c>
      <c r="B402" s="47" t="inlineStr">
        <is>
          <t>Raizen</t>
        </is>
      </c>
      <c r="C402" s="48" t="inlineStr">
        <is>
          <t>PN</t>
        </is>
      </c>
      <c r="D402" s="47" t="inlineStr">
        <is>
          <t>Consumo não cíclico</t>
        </is>
      </c>
      <c r="E402" s="47" t="inlineStr">
        <is>
          <t>Agropecuária</t>
        </is>
      </c>
      <c r="F402" s="47" t="inlineStr">
        <is>
          <t>Agricultura</t>
        </is>
      </c>
      <c r="G402" s="50" t="inlineStr">
        <is>
          <t>SIM</t>
        </is>
      </c>
      <c r="H402" s="51" t="inlineStr">
        <is>
          <t>COMMODITIES/DÓLAR</t>
        </is>
      </c>
    </row>
    <row r="403">
      <c r="A403" s="47" t="inlineStr">
        <is>
          <t>RAPT3</t>
        </is>
      </c>
      <c r="B403" s="47" t="inlineStr">
        <is>
          <t>Randon Part</t>
        </is>
      </c>
      <c r="C403" s="48" t="inlineStr">
        <is>
          <t>ON</t>
        </is>
      </c>
      <c r="D403" s="47" t="inlineStr">
        <is>
          <t>Bens industriais</t>
        </is>
      </c>
      <c r="E403" s="47" t="inlineStr">
        <is>
          <t>Material de transporte</t>
        </is>
      </c>
      <c r="F403" s="47" t="inlineStr">
        <is>
          <t>Material rodoviário</t>
        </is>
      </c>
      <c r="G403" s="50" t="inlineStr">
        <is>
          <t>SIM</t>
        </is>
      </c>
      <c r="H403" s="51" t="inlineStr">
        <is>
          <t>TAXA DE JUROS/CRESCIMENTO ECONOMICO</t>
        </is>
      </c>
    </row>
    <row r="404">
      <c r="A404" s="47" t="inlineStr">
        <is>
          <t>RAPT4</t>
        </is>
      </c>
      <c r="B404" s="47" t="inlineStr">
        <is>
          <t>Randon Part</t>
        </is>
      </c>
      <c r="C404" s="48" t="inlineStr">
        <is>
          <t>PN</t>
        </is>
      </c>
      <c r="D404" s="47" t="inlineStr">
        <is>
          <t>Bens industriais</t>
        </is>
      </c>
      <c r="E404" s="47" t="inlineStr">
        <is>
          <t>Material de transporte</t>
        </is>
      </c>
      <c r="F404" s="47" t="inlineStr">
        <is>
          <t>Material rodoviário</t>
        </is>
      </c>
      <c r="G404" s="50" t="inlineStr">
        <is>
          <t>SIM</t>
        </is>
      </c>
      <c r="H404" s="51" t="inlineStr">
        <is>
          <t>TAXA DE JUROS/CRESCIMENTO ECONOMICO</t>
        </is>
      </c>
    </row>
    <row r="405">
      <c r="A405" s="47" t="inlineStr">
        <is>
          <t>RCSL3</t>
        </is>
      </c>
      <c r="B405" s="47" t="inlineStr">
        <is>
          <t>Recrusul</t>
        </is>
      </c>
      <c r="C405" s="48" t="inlineStr">
        <is>
          <t>ON</t>
        </is>
      </c>
      <c r="D405" s="47" t="inlineStr">
        <is>
          <t>Bens industriais</t>
        </is>
      </c>
      <c r="E405" s="47" t="inlineStr">
        <is>
          <t>Material de transporte</t>
        </is>
      </c>
      <c r="F405" s="47" t="inlineStr">
        <is>
          <t>Material rodoviário</t>
        </is>
      </c>
      <c r="G405" s="50" t="inlineStr">
        <is>
          <t>SIM</t>
        </is>
      </c>
      <c r="H405" s="51" t="inlineStr">
        <is>
          <t>TAXA DE JUROS/CRESCIMENTO ECONOMICO</t>
        </is>
      </c>
    </row>
    <row r="406">
      <c r="A406" s="47" t="inlineStr">
        <is>
          <t>RCSL4</t>
        </is>
      </c>
      <c r="B406" s="47" t="inlineStr">
        <is>
          <t>Recrusul</t>
        </is>
      </c>
      <c r="C406" s="48" t="inlineStr">
        <is>
          <t>PN</t>
        </is>
      </c>
      <c r="D406" s="47" t="inlineStr">
        <is>
          <t>Bens industriais</t>
        </is>
      </c>
      <c r="E406" s="47" t="inlineStr">
        <is>
          <t>Material de transporte</t>
        </is>
      </c>
      <c r="F406" s="47" t="inlineStr">
        <is>
          <t>Material rodoviário</t>
        </is>
      </c>
      <c r="G406" s="50" t="inlineStr">
        <is>
          <t>SIM</t>
        </is>
      </c>
      <c r="H406" s="51" t="inlineStr">
        <is>
          <t>TAXA DE JUROS/CRESCIMENTO ECONOMICO</t>
        </is>
      </c>
    </row>
    <row r="407">
      <c r="A407" s="47" t="inlineStr">
        <is>
          <t>RDOR3</t>
        </is>
      </c>
      <c r="B407" s="47" t="inlineStr">
        <is>
          <t>Rede D Or</t>
        </is>
      </c>
      <c r="C407" s="48" t="inlineStr">
        <is>
          <t>ON</t>
        </is>
      </c>
      <c r="D407" s="47" t="inlineStr">
        <is>
          <t>Saúde</t>
        </is>
      </c>
      <c r="E407" s="47" t="inlineStr">
        <is>
          <t>Serviços médico-hospitalares análises e diagnósticos</t>
        </is>
      </c>
      <c r="F407" s="47" t="inlineStr">
        <is>
          <t>Serviços médico-hospitalares análises e diagnósticos</t>
        </is>
      </c>
      <c r="G407" s="50" t="inlineStr">
        <is>
          <t>NÃO</t>
        </is>
      </c>
    </row>
    <row r="408">
      <c r="A408" s="47" t="inlineStr">
        <is>
          <t>REDE3</t>
        </is>
      </c>
      <c r="B408" s="47" t="inlineStr">
        <is>
          <t>Rede Energia</t>
        </is>
      </c>
      <c r="C408" s="48" t="inlineStr">
        <is>
          <t>ON</t>
        </is>
      </c>
      <c r="D408" s="47" t="inlineStr">
        <is>
          <t>Utilidade pública</t>
        </is>
      </c>
      <c r="E408" s="47" t="inlineStr">
        <is>
          <t>Energia elétrica</t>
        </is>
      </c>
      <c r="F408" s="47" t="inlineStr">
        <is>
          <t>Energia elétrica</t>
        </is>
      </c>
      <c r="G408" s="50" t="inlineStr">
        <is>
          <t>NÃO</t>
        </is>
      </c>
    </row>
    <row r="409">
      <c r="A409" s="47" t="inlineStr">
        <is>
          <t>RNEW3</t>
        </is>
      </c>
      <c r="B409" s="47" t="inlineStr">
        <is>
          <t>Renova</t>
        </is>
      </c>
      <c r="C409" s="48" t="inlineStr">
        <is>
          <t>ON</t>
        </is>
      </c>
      <c r="D409" s="47" t="inlineStr">
        <is>
          <t>Utilidade pública</t>
        </is>
      </c>
      <c r="E409" s="47" t="inlineStr">
        <is>
          <t>Energia elétrica</t>
        </is>
      </c>
      <c r="F409" s="47" t="inlineStr">
        <is>
          <t>Energia elétrica</t>
        </is>
      </c>
      <c r="G409" s="50" t="inlineStr">
        <is>
          <t>NÃO</t>
        </is>
      </c>
    </row>
    <row r="410">
      <c r="A410" s="47" t="inlineStr">
        <is>
          <t>RNEW4</t>
        </is>
      </c>
      <c r="B410" s="47" t="inlineStr">
        <is>
          <t>Renova</t>
        </is>
      </c>
      <c r="C410" s="48" t="inlineStr">
        <is>
          <t>PN</t>
        </is>
      </c>
      <c r="D410" s="47" t="inlineStr">
        <is>
          <t>Utilidade pública</t>
        </is>
      </c>
      <c r="E410" s="47" t="inlineStr">
        <is>
          <t>Energia elétrica</t>
        </is>
      </c>
      <c r="F410" s="47" t="inlineStr">
        <is>
          <t>Energia elétrica</t>
        </is>
      </c>
      <c r="G410" s="50" t="inlineStr">
        <is>
          <t>NÃO</t>
        </is>
      </c>
    </row>
    <row r="411">
      <c r="A411" s="47" t="inlineStr">
        <is>
          <t>RNEW11</t>
        </is>
      </c>
      <c r="B411" s="47" t="inlineStr">
        <is>
          <t>Renova</t>
        </is>
      </c>
      <c r="C411" s="48" t="inlineStr">
        <is>
          <t>UNT N2</t>
        </is>
      </c>
      <c r="D411" s="47" t="inlineStr">
        <is>
          <t>Utilidade pública</t>
        </is>
      </c>
      <c r="E411" s="47" t="inlineStr">
        <is>
          <t>Energia elétrica</t>
        </is>
      </c>
      <c r="F411" s="47" t="inlineStr">
        <is>
          <t>Energia elétrica</t>
        </is>
      </c>
      <c r="G411" s="50" t="inlineStr">
        <is>
          <t>NÃO</t>
        </is>
      </c>
    </row>
    <row r="412">
      <c r="A412" s="47" t="inlineStr">
        <is>
          <t>RSUL3</t>
        </is>
      </c>
      <c r="B412" s="47" t="inlineStr">
        <is>
          <t>Riosulense</t>
        </is>
      </c>
      <c r="C412" s="48" t="inlineStr">
        <is>
          <t>ON</t>
        </is>
      </c>
      <c r="D412" s="47" t="inlineStr">
        <is>
          <t>Bens industriais</t>
        </is>
      </c>
      <c r="E412" s="47" t="inlineStr">
        <is>
          <t>Material de transporte</t>
        </is>
      </c>
      <c r="F412" s="47" t="inlineStr">
        <is>
          <t>Material rodoviário</t>
        </is>
      </c>
      <c r="G412" s="50" t="inlineStr">
        <is>
          <t>SIM</t>
        </is>
      </c>
      <c r="H412" s="51" t="inlineStr">
        <is>
          <t>TAXA DE JUROS/CRESCIMENTO ECONOMICO</t>
        </is>
      </c>
    </row>
    <row r="413">
      <c r="A413" s="47" t="inlineStr">
        <is>
          <t>RSUL4</t>
        </is>
      </c>
      <c r="B413" s="47" t="inlineStr">
        <is>
          <t>Riosulense</t>
        </is>
      </c>
      <c r="C413" s="48" t="inlineStr">
        <is>
          <t>PN</t>
        </is>
      </c>
      <c r="D413" s="47" t="inlineStr">
        <is>
          <t>Bens industriais</t>
        </is>
      </c>
      <c r="E413" s="47" t="inlineStr">
        <is>
          <t>Material de transporte</t>
        </is>
      </c>
      <c r="F413" s="47" t="inlineStr">
        <is>
          <t>Material rodoviário</t>
        </is>
      </c>
      <c r="G413" s="50" t="inlineStr">
        <is>
          <t>SIM</t>
        </is>
      </c>
      <c r="H413" s="51" t="inlineStr">
        <is>
          <t>TAXA DE JUROS/CRESCIMENTO ECONOMICO</t>
        </is>
      </c>
    </row>
    <row r="414">
      <c r="A414" s="47" t="inlineStr">
        <is>
          <t>RDNI3</t>
        </is>
      </c>
      <c r="B414" s="47" t="inlineStr">
        <is>
          <t>Rni</t>
        </is>
      </c>
      <c r="C414" s="48" t="inlineStr">
        <is>
          <t>ON</t>
        </is>
      </c>
      <c r="D414" s="47" t="inlineStr">
        <is>
          <t>Consumo cíclico</t>
        </is>
      </c>
      <c r="E414" s="47" t="inlineStr">
        <is>
          <t>Construção civil</t>
        </is>
      </c>
      <c r="F414" s="47" t="inlineStr">
        <is>
          <t>Incorporações</t>
        </is>
      </c>
      <c r="G414" s="50" t="inlineStr">
        <is>
          <t>SIM</t>
        </is>
      </c>
      <c r="H414" s="51" t="inlineStr">
        <is>
          <t>TAXA DE JUROS/CRESCIMENTO ECONOMICO</t>
        </is>
      </c>
    </row>
    <row r="415">
      <c r="A415" s="47" t="inlineStr">
        <is>
          <t>RBNS11</t>
        </is>
      </c>
      <c r="B415" s="47" t="inlineStr">
        <is>
          <t>Rodobens</t>
        </is>
      </c>
      <c r="C415" s="48" t="inlineStr">
        <is>
          <t>UNT</t>
        </is>
      </c>
      <c r="D415" s="47" t="inlineStr">
        <is>
          <t>Bens industriais</t>
        </is>
      </c>
      <c r="E415" s="47" t="inlineStr">
        <is>
          <t>Comércio</t>
        </is>
      </c>
      <c r="F415" s="47" t="inlineStr">
        <is>
          <t>Material de transporte</t>
        </is>
      </c>
      <c r="G415" s="50" t="inlineStr">
        <is>
          <t>SIM</t>
        </is>
      </c>
      <c r="H415" s="51" t="inlineStr">
        <is>
          <t>TAXA DE JUROS/CRESCIMENTO ECONOMICO</t>
        </is>
      </c>
    </row>
    <row r="416">
      <c r="A416" s="47" t="inlineStr">
        <is>
          <t>ROMI3</t>
        </is>
      </c>
      <c r="B416" s="47" t="inlineStr">
        <is>
          <t>Romi</t>
        </is>
      </c>
      <c r="C416" s="48" t="inlineStr">
        <is>
          <t>ON</t>
        </is>
      </c>
      <c r="D416" s="47" t="inlineStr">
        <is>
          <t>Bens industriais</t>
        </is>
      </c>
      <c r="E416" s="47" t="inlineStr">
        <is>
          <t>Máquinas e equipamentos</t>
        </is>
      </c>
      <c r="F416" s="47" t="inlineStr">
        <is>
          <t>Máq. e equip. industriais</t>
        </is>
      </c>
      <c r="G416" s="50" t="inlineStr">
        <is>
          <t>SIM</t>
        </is>
      </c>
      <c r="H416" s="51" t="inlineStr">
        <is>
          <t>TAXA DE JUROS/CRESCIMENTO ECONOMICO</t>
        </is>
      </c>
    </row>
    <row r="417">
      <c r="A417" s="47" t="inlineStr">
        <is>
          <t>RSID3</t>
        </is>
      </c>
      <c r="B417" s="47" t="inlineStr">
        <is>
          <t>Rossi Resid</t>
        </is>
      </c>
      <c r="C417" s="48" t="inlineStr">
        <is>
          <t>ON</t>
        </is>
      </c>
      <c r="D417" s="47" t="inlineStr">
        <is>
          <t>Consumo cíclico</t>
        </is>
      </c>
      <c r="E417" s="47" t="inlineStr">
        <is>
          <t>Construção civil</t>
        </is>
      </c>
      <c r="F417" s="47" t="inlineStr">
        <is>
          <t>Incorporações</t>
        </is>
      </c>
      <c r="G417" s="50" t="inlineStr">
        <is>
          <t>SIM</t>
        </is>
      </c>
      <c r="H417" s="51" t="inlineStr">
        <is>
          <t>TAXA DE JUROS/CRESCIMENTO ECONOMICO</t>
        </is>
      </c>
    </row>
    <row r="418">
      <c r="A418" s="47" t="inlineStr">
        <is>
          <t>RAIL3</t>
        </is>
      </c>
      <c r="B418" s="47" t="inlineStr">
        <is>
          <t>Rumo S.A.</t>
        </is>
      </c>
      <c r="C418" s="48" t="inlineStr">
        <is>
          <t>ON</t>
        </is>
      </c>
      <c r="D418" s="47" t="inlineStr">
        <is>
          <t>Bens industriais</t>
        </is>
      </c>
      <c r="E418" s="47" t="inlineStr">
        <is>
          <t>Transporte</t>
        </is>
      </c>
      <c r="F418" s="47" t="inlineStr">
        <is>
          <t>Transporte ferroviário</t>
        </is>
      </c>
      <c r="G418" s="50" t="inlineStr">
        <is>
          <t>SIM</t>
        </is>
      </c>
      <c r="H418" s="51" t="inlineStr">
        <is>
          <t>TAXA DE JUROS/CRESCIMENTO ECONOMICO</t>
        </is>
      </c>
    </row>
    <row r="419">
      <c r="A419" s="47" t="inlineStr">
        <is>
          <t>SBSP3</t>
        </is>
      </c>
      <c r="B419" s="47" t="inlineStr">
        <is>
          <t>Sabesp</t>
        </is>
      </c>
      <c r="C419" s="48" t="inlineStr">
        <is>
          <t>ON</t>
        </is>
      </c>
      <c r="D419" s="47" t="inlineStr">
        <is>
          <t>Utilidade pública</t>
        </is>
      </c>
      <c r="E419" s="47" t="inlineStr">
        <is>
          <t>Água e saneamento</t>
        </is>
      </c>
      <c r="F419" s="47" t="inlineStr">
        <is>
          <t>Água e saneamento</t>
        </is>
      </c>
      <c r="G419" s="50" t="inlineStr">
        <is>
          <t>NÃO</t>
        </is>
      </c>
    </row>
    <row r="420">
      <c r="A420" s="47" t="inlineStr">
        <is>
          <t>SAEN3</t>
        </is>
      </c>
      <c r="B420" s="47" t="inlineStr">
        <is>
          <t>Safira Energ</t>
        </is>
      </c>
      <c r="C420" s="48" t="inlineStr">
        <is>
          <t>ON</t>
        </is>
      </c>
      <c r="D420" s="47" t="inlineStr">
        <is>
          <t>Utilidade pública</t>
        </is>
      </c>
      <c r="E420" s="47" t="inlineStr">
        <is>
          <t>Energia elétrica</t>
        </is>
      </c>
      <c r="F420" s="47" t="inlineStr">
        <is>
          <t>Energia elétrica</t>
        </is>
      </c>
      <c r="G420" s="50" t="inlineStr">
        <is>
          <t>NÃO</t>
        </is>
      </c>
    </row>
    <row r="421">
      <c r="A421" s="47" t="inlineStr">
        <is>
          <t>SAPR3</t>
        </is>
      </c>
      <c r="B421" s="47" t="inlineStr">
        <is>
          <t>Sanepar</t>
        </is>
      </c>
      <c r="C421" s="48" t="inlineStr">
        <is>
          <t>ON</t>
        </is>
      </c>
      <c r="D421" s="47" t="inlineStr">
        <is>
          <t>Utilidade pública</t>
        </is>
      </c>
      <c r="E421" s="47" t="inlineStr">
        <is>
          <t>Água e saneamento</t>
        </is>
      </c>
      <c r="F421" s="47" t="inlineStr">
        <is>
          <t>Água e saneamento</t>
        </is>
      </c>
      <c r="G421" s="50" t="inlineStr">
        <is>
          <t>NÃO</t>
        </is>
      </c>
    </row>
    <row r="422">
      <c r="A422" s="47" t="inlineStr">
        <is>
          <t>SAPR4</t>
        </is>
      </c>
      <c r="B422" s="47" t="inlineStr">
        <is>
          <t>Sanepar</t>
        </is>
      </c>
      <c r="C422" s="48" t="inlineStr">
        <is>
          <t>PN</t>
        </is>
      </c>
      <c r="D422" s="47" t="inlineStr">
        <is>
          <t>Utilidade pública</t>
        </is>
      </c>
      <c r="E422" s="47" t="inlineStr">
        <is>
          <t>Água e saneamento</t>
        </is>
      </c>
      <c r="F422" s="47" t="inlineStr">
        <is>
          <t>Água e saneamento</t>
        </is>
      </c>
      <c r="G422" s="50" t="inlineStr">
        <is>
          <t>NÃO</t>
        </is>
      </c>
    </row>
    <row r="423">
      <c r="A423" s="47" t="inlineStr">
        <is>
          <t>SAPR11</t>
        </is>
      </c>
      <c r="B423" s="47" t="inlineStr">
        <is>
          <t>Sanepar</t>
        </is>
      </c>
      <c r="C423" s="48" t="inlineStr">
        <is>
          <t>UNT N2</t>
        </is>
      </c>
      <c r="D423" s="47" t="inlineStr">
        <is>
          <t>Utilidade pública</t>
        </is>
      </c>
      <c r="E423" s="47" t="inlineStr">
        <is>
          <t>Água e saneamento</t>
        </is>
      </c>
      <c r="F423" s="47" t="inlineStr">
        <is>
          <t>Água e saneamento</t>
        </is>
      </c>
      <c r="G423" s="50" t="inlineStr">
        <is>
          <t>NÃO</t>
        </is>
      </c>
    </row>
    <row r="424">
      <c r="A424" s="47" t="inlineStr">
        <is>
          <t>SNSY3</t>
        </is>
      </c>
      <c r="B424" s="47" t="inlineStr">
        <is>
          <t>Sansuy</t>
        </is>
      </c>
      <c r="C424" s="48" t="inlineStr">
        <is>
          <t>ON</t>
        </is>
      </c>
      <c r="D424" s="47" t="inlineStr">
        <is>
          <t>Materiais básicos</t>
        </is>
      </c>
      <c r="E424" s="47" t="inlineStr">
        <is>
          <t>Materiais diversos</t>
        </is>
      </c>
      <c r="F424" s="47" t="inlineStr">
        <is>
          <t>Materiais diversos</t>
        </is>
      </c>
      <c r="G424" s="50" t="inlineStr">
        <is>
          <t>SIM</t>
        </is>
      </c>
      <c r="H424" s="51" t="inlineStr">
        <is>
          <t>TAXA DE JUROS/CRESCIMENTO ECONOMICO</t>
        </is>
      </c>
    </row>
    <row r="425">
      <c r="A425" s="47" t="inlineStr">
        <is>
          <t>SNSY5</t>
        </is>
      </c>
      <c r="B425" s="47" t="inlineStr">
        <is>
          <t>Sansuy</t>
        </is>
      </c>
      <c r="C425" s="48" t="inlineStr">
        <is>
          <t>PNA</t>
        </is>
      </c>
      <c r="D425" s="47" t="inlineStr">
        <is>
          <t>Materiais básicos</t>
        </is>
      </c>
      <c r="E425" s="47" t="inlineStr">
        <is>
          <t>Materiais diversos</t>
        </is>
      </c>
      <c r="F425" s="47" t="inlineStr">
        <is>
          <t>Materiais diversos</t>
        </is>
      </c>
      <c r="G425" s="50" t="inlineStr">
        <is>
          <t>SIM</t>
        </is>
      </c>
      <c r="H425" s="51" t="inlineStr">
        <is>
          <t>TAXA DE JUROS/CRESCIMENTO ECONOMICO</t>
        </is>
      </c>
    </row>
    <row r="426">
      <c r="A426" s="47" t="inlineStr">
        <is>
          <t>SNSY6</t>
        </is>
      </c>
      <c r="B426" s="47" t="inlineStr">
        <is>
          <t>Sansuy</t>
        </is>
      </c>
      <c r="C426" s="48" t="inlineStr">
        <is>
          <t>PNB</t>
        </is>
      </c>
      <c r="D426" s="47" t="inlineStr">
        <is>
          <t>Materiais básicos</t>
        </is>
      </c>
      <c r="E426" s="47" t="inlineStr">
        <is>
          <t>Materiais diversos</t>
        </is>
      </c>
      <c r="F426" s="47" t="inlineStr">
        <is>
          <t>Materiais diversos</t>
        </is>
      </c>
      <c r="G426" s="50" t="inlineStr">
        <is>
          <t>SIM</t>
        </is>
      </c>
      <c r="H426" s="51" t="inlineStr">
        <is>
          <t>TAXA DE JUROS/CRESCIMENTO ECONOMICO</t>
        </is>
      </c>
    </row>
    <row r="427">
      <c r="A427" s="47" t="inlineStr">
        <is>
          <t>SANB3</t>
        </is>
      </c>
      <c r="B427" s="47" t="inlineStr">
        <is>
          <t>Santander BR</t>
        </is>
      </c>
      <c r="C427" s="48" t="inlineStr">
        <is>
          <t>ON</t>
        </is>
      </c>
      <c r="D427" s="47" t="inlineStr">
        <is>
          <t>Financeiro</t>
        </is>
      </c>
      <c r="E427" s="47" t="inlineStr">
        <is>
          <t>Intermediários financeiros</t>
        </is>
      </c>
      <c r="F427" s="47" t="inlineStr">
        <is>
          <t>Bancos</t>
        </is>
      </c>
      <c r="G427" s="50" t="inlineStr">
        <is>
          <t>NÃO</t>
        </is>
      </c>
    </row>
    <row r="428">
      <c r="A428" s="47" t="inlineStr">
        <is>
          <t>SANB4</t>
        </is>
      </c>
      <c r="B428" s="47" t="inlineStr">
        <is>
          <t>Santander BR</t>
        </is>
      </c>
      <c r="C428" s="48" t="inlineStr">
        <is>
          <t>PN</t>
        </is>
      </c>
      <c r="D428" s="47" t="inlineStr">
        <is>
          <t>Financeiro</t>
        </is>
      </c>
      <c r="E428" s="47" t="inlineStr">
        <is>
          <t>Intermediários financeiros</t>
        </is>
      </c>
      <c r="F428" s="47" t="inlineStr">
        <is>
          <t>Bancos</t>
        </is>
      </c>
      <c r="G428" s="50" t="inlineStr">
        <is>
          <t>NÃO</t>
        </is>
      </c>
    </row>
    <row r="429">
      <c r="A429" s="47" t="inlineStr">
        <is>
          <t>SANB11</t>
        </is>
      </c>
      <c r="B429" s="47" t="inlineStr">
        <is>
          <t>Santander BR</t>
        </is>
      </c>
      <c r="C429" s="48" t="inlineStr">
        <is>
          <t>UNT</t>
        </is>
      </c>
      <c r="D429" s="47" t="inlineStr">
        <is>
          <t>Financeiro</t>
        </is>
      </c>
      <c r="E429" s="47" t="inlineStr">
        <is>
          <t>Intermediários financeiros</t>
        </is>
      </c>
      <c r="F429" s="47" t="inlineStr">
        <is>
          <t>Bancos</t>
        </is>
      </c>
      <c r="G429" s="50" t="inlineStr">
        <is>
          <t>NÃO</t>
        </is>
      </c>
    </row>
    <row r="430">
      <c r="A430" s="47" t="inlineStr">
        <is>
          <t>CTSA3</t>
        </is>
      </c>
      <c r="B430" s="47" t="inlineStr">
        <is>
          <t>Santanense</t>
        </is>
      </c>
      <c r="C430" s="48" t="inlineStr">
        <is>
          <t>ON</t>
        </is>
      </c>
      <c r="D430" s="47" t="inlineStr">
        <is>
          <t>Consumo cíclico</t>
        </is>
      </c>
      <c r="E430" s="47" t="inlineStr">
        <is>
          <t>Tecidos vestuário e calçados</t>
        </is>
      </c>
      <c r="F430" s="47" t="inlineStr">
        <is>
          <t>Fios e tecidos</t>
        </is>
      </c>
      <c r="G430" s="50" t="inlineStr">
        <is>
          <t>SIM</t>
        </is>
      </c>
      <c r="H430" s="51" t="inlineStr">
        <is>
          <t>TAXA DE JUROS/CRESCIMENTO ECONOMICO</t>
        </is>
      </c>
    </row>
    <row r="431">
      <c r="A431" s="47" t="inlineStr">
        <is>
          <t>CTSA4</t>
        </is>
      </c>
      <c r="B431" s="47" t="inlineStr">
        <is>
          <t>Santanense</t>
        </is>
      </c>
      <c r="C431" s="48" t="inlineStr">
        <is>
          <t>PN</t>
        </is>
      </c>
      <c r="D431" s="47" t="inlineStr">
        <is>
          <t>Consumo cíclico</t>
        </is>
      </c>
      <c r="E431" s="47" t="inlineStr">
        <is>
          <t>Tecidos vestuário e calçados</t>
        </is>
      </c>
      <c r="F431" s="47" t="inlineStr">
        <is>
          <t>Fios e tecidos</t>
        </is>
      </c>
      <c r="G431" s="50" t="inlineStr">
        <is>
          <t>SIM</t>
        </is>
      </c>
      <c r="H431" s="51" t="inlineStr">
        <is>
          <t>TAXA DE JUROS/CRESCIMENTO ECONOMICO</t>
        </is>
      </c>
    </row>
    <row r="432">
      <c r="A432" s="47" t="inlineStr">
        <is>
          <t>STBP3</t>
        </is>
      </c>
      <c r="B432" s="47" t="inlineStr">
        <is>
          <t>Santos Brp</t>
        </is>
      </c>
      <c r="C432" s="48" t="inlineStr">
        <is>
          <t>ON</t>
        </is>
      </c>
      <c r="D432" s="47" t="inlineStr">
        <is>
          <t>Bens industriais</t>
        </is>
      </c>
      <c r="E432" s="47" t="inlineStr">
        <is>
          <t>Transporte</t>
        </is>
      </c>
      <c r="F432" s="47" t="inlineStr">
        <is>
          <t>Serviços de apoio e armazenagem</t>
        </is>
      </c>
      <c r="G432" s="50" t="inlineStr">
        <is>
          <t>SIM</t>
        </is>
      </c>
      <c r="H432" s="51" t="inlineStr">
        <is>
          <t>TAXA DE JUROS/CRESCIMENTO ECONOMICO</t>
        </is>
      </c>
    </row>
    <row r="433">
      <c r="A433" s="47" t="inlineStr">
        <is>
          <t>SCAR3</t>
        </is>
      </c>
      <c r="B433" s="47" t="inlineStr">
        <is>
          <t>Sao Carlos</t>
        </is>
      </c>
      <c r="C433" s="48" t="inlineStr">
        <is>
          <t>ON</t>
        </is>
      </c>
      <c r="D433" s="47" t="inlineStr">
        <is>
          <t>Financeiro</t>
        </is>
      </c>
      <c r="E433" s="47" t="inlineStr">
        <is>
          <t>Exploração de imóveis</t>
        </is>
      </c>
      <c r="F433" s="47" t="inlineStr">
        <is>
          <t>Exploração de imóveis</t>
        </is>
      </c>
      <c r="G433" s="50" t="inlineStr">
        <is>
          <t>SIM</t>
        </is>
      </c>
      <c r="H433" s="51" t="inlineStr">
        <is>
          <t>TAXA DE JUROS/CRESCIMENTO ECONOMICO</t>
        </is>
      </c>
    </row>
    <row r="434">
      <c r="A434" s="47" t="inlineStr">
        <is>
          <t>SMTO3</t>
        </is>
      </c>
      <c r="B434" s="47" t="inlineStr">
        <is>
          <t>Sao Martinho</t>
        </is>
      </c>
      <c r="C434" s="48" t="inlineStr">
        <is>
          <t>ON</t>
        </is>
      </c>
      <c r="D434" s="47" t="inlineStr">
        <is>
          <t>Consumo não cíclico</t>
        </is>
      </c>
      <c r="E434" s="47" t="inlineStr">
        <is>
          <t>Alimentos processados</t>
        </is>
      </c>
      <c r="F434" s="47" t="inlineStr">
        <is>
          <t>Açúcar e álcool</t>
        </is>
      </c>
      <c r="G434" s="50" t="inlineStr">
        <is>
          <t>SIM</t>
        </is>
      </c>
      <c r="H434" s="51" t="inlineStr">
        <is>
          <t>COMMODITIES/DÓLAR</t>
        </is>
      </c>
    </row>
    <row r="435">
      <c r="A435" s="47" t="inlineStr">
        <is>
          <t>SHUL3</t>
        </is>
      </c>
      <c r="B435" s="47" t="inlineStr">
        <is>
          <t>Schulz</t>
        </is>
      </c>
      <c r="C435" s="48" t="inlineStr">
        <is>
          <t>ON</t>
        </is>
      </c>
      <c r="D435" s="47" t="inlineStr">
        <is>
          <t>Bens industriais</t>
        </is>
      </c>
      <c r="E435" s="47" t="inlineStr">
        <is>
          <t>Máquinas e equipamentos</t>
        </is>
      </c>
      <c r="F435" s="47" t="inlineStr">
        <is>
          <t>Motores compressores e outros</t>
        </is>
      </c>
      <c r="G435" s="50" t="inlineStr">
        <is>
          <t>SIM</t>
        </is>
      </c>
      <c r="H435" s="51" t="inlineStr">
        <is>
          <t>DÓLAR/CRESCIMENTO ECONOMICO MUNDIAL</t>
        </is>
      </c>
    </row>
    <row r="436">
      <c r="A436" s="47" t="inlineStr">
        <is>
          <t>SHUL4</t>
        </is>
      </c>
      <c r="B436" s="47" t="inlineStr">
        <is>
          <t>Schulz</t>
        </is>
      </c>
      <c r="C436" s="48" t="inlineStr">
        <is>
          <t>PN</t>
        </is>
      </c>
      <c r="D436" s="47" t="inlineStr">
        <is>
          <t>Bens industriais</t>
        </is>
      </c>
      <c r="E436" s="47" t="inlineStr">
        <is>
          <t>Máquinas e equipamentos</t>
        </is>
      </c>
      <c r="F436" s="47" t="inlineStr">
        <is>
          <t>Motores compressores e outros</t>
        </is>
      </c>
      <c r="G436" s="50" t="inlineStr">
        <is>
          <t>SIM</t>
        </is>
      </c>
      <c r="H436" s="51" t="inlineStr">
        <is>
          <t>DÓLAR/CRESCIMENTO ECONOMICO MUNDIAL</t>
        </is>
      </c>
    </row>
    <row r="437">
      <c r="A437" s="47" t="inlineStr">
        <is>
          <t>SEQL3</t>
        </is>
      </c>
      <c r="B437" s="47" t="inlineStr">
        <is>
          <t>Sequoia Log</t>
        </is>
      </c>
      <c r="C437" s="48" t="inlineStr">
        <is>
          <t>ON</t>
        </is>
      </c>
      <c r="D437" s="47" t="inlineStr">
        <is>
          <t>Bens industriais</t>
        </is>
      </c>
      <c r="E437" s="47" t="inlineStr">
        <is>
          <t>Serviços diversos</t>
        </is>
      </c>
      <c r="F437" s="47" t="inlineStr">
        <is>
          <t>Serviços diversos</t>
        </is>
      </c>
      <c r="G437" s="50" t="inlineStr">
        <is>
          <t>SIM</t>
        </is>
      </c>
      <c r="H437" s="51" t="inlineStr">
        <is>
          <t>TAXA DE JUROS/CRESCIMENTO ECONOMICO</t>
        </is>
      </c>
    </row>
    <row r="438">
      <c r="A438" s="47" t="inlineStr">
        <is>
          <t>SEER3</t>
        </is>
      </c>
      <c r="B438" s="47" t="inlineStr">
        <is>
          <t>Ser Educa</t>
        </is>
      </c>
      <c r="C438" s="48" t="inlineStr">
        <is>
          <t>ON</t>
        </is>
      </c>
      <c r="D438" s="47" t="inlineStr">
        <is>
          <t>Consumo cíclico</t>
        </is>
      </c>
      <c r="E438" s="47" t="inlineStr">
        <is>
          <t>Diversos</t>
        </is>
      </c>
      <c r="F438" s="47" t="inlineStr">
        <is>
          <t>Serviços educacionais</t>
        </is>
      </c>
      <c r="G438" s="50" t="inlineStr">
        <is>
          <t>SIM</t>
        </is>
      </c>
      <c r="H438" s="51" t="inlineStr">
        <is>
          <t>TAXA DE JUROS/CRESCIMENTO ECONOMICO</t>
        </is>
      </c>
    </row>
    <row r="439">
      <c r="A439" s="47" t="inlineStr">
        <is>
          <t>SRNA3</t>
        </is>
      </c>
      <c r="B439" s="47" t="inlineStr">
        <is>
          <t>Serena</t>
        </is>
      </c>
      <c r="C439" s="48" t="inlineStr">
        <is>
          <t>ON</t>
        </is>
      </c>
      <c r="D439" s="47" t="inlineStr">
        <is>
          <t>Utilidade pública</t>
        </is>
      </c>
      <c r="E439" s="47" t="inlineStr">
        <is>
          <t>Energia elétrica</t>
        </is>
      </c>
      <c r="F439" s="47" t="inlineStr">
        <is>
          <t>Energia elétrica</t>
        </is>
      </c>
      <c r="G439" s="50" t="inlineStr">
        <is>
          <t>NÃO</t>
        </is>
      </c>
    </row>
    <row r="440">
      <c r="A440" s="47" t="inlineStr">
        <is>
          <t>CSNA3</t>
        </is>
      </c>
      <c r="B440" s="47" t="inlineStr">
        <is>
          <t>Sid Nacional</t>
        </is>
      </c>
      <c r="C440" s="48" t="inlineStr">
        <is>
          <t>ON</t>
        </is>
      </c>
      <c r="D440" s="47" t="inlineStr">
        <is>
          <t>Materiais básicos</t>
        </is>
      </c>
      <c r="E440" s="47" t="inlineStr">
        <is>
          <t>Siderurgia e metalurgia</t>
        </is>
      </c>
      <c r="F440" s="47" t="inlineStr">
        <is>
          <t>Siderurgia</t>
        </is>
      </c>
      <c r="G440" s="50" t="inlineStr">
        <is>
          <t>SIM</t>
        </is>
      </c>
      <c r="H440" s="52" t="inlineStr">
        <is>
          <t>MINÉRIO/DÓLAR</t>
        </is>
      </c>
    </row>
    <row r="441">
      <c r="A441" s="47" t="inlineStr">
        <is>
          <t>SIMH3</t>
        </is>
      </c>
      <c r="B441" s="47" t="inlineStr">
        <is>
          <t>Simpar</t>
        </is>
      </c>
      <c r="C441" s="48" t="inlineStr">
        <is>
          <t>ON</t>
        </is>
      </c>
      <c r="D441" s="47" t="inlineStr">
        <is>
          <t>Financeiro</t>
        </is>
      </c>
      <c r="E441" s="47" t="inlineStr">
        <is>
          <t>Holdings diversificadas</t>
        </is>
      </c>
      <c r="F441" s="47" t="inlineStr">
        <is>
          <t>Holdings diversificadas</t>
        </is>
      </c>
      <c r="G441" s="50" t="inlineStr">
        <is>
          <t>SIM</t>
        </is>
      </c>
      <c r="H441" s="51" t="inlineStr">
        <is>
          <t>TAXA DE JUROS/CRESCIMENTO ECONOMICO</t>
        </is>
      </c>
    </row>
    <row r="442">
      <c r="A442" s="47" t="inlineStr">
        <is>
          <t>SLCE3</t>
        </is>
      </c>
      <c r="B442" s="47" t="inlineStr">
        <is>
          <t>SLC Agricola</t>
        </is>
      </c>
      <c r="C442" s="48" t="inlineStr">
        <is>
          <t>ON</t>
        </is>
      </c>
      <c r="D442" s="47" t="inlineStr">
        <is>
          <t>Consumo não cíclico</t>
        </is>
      </c>
      <c r="E442" s="47" t="inlineStr">
        <is>
          <t>Agropecuária</t>
        </is>
      </c>
      <c r="F442" s="47" t="inlineStr">
        <is>
          <t>Agricultura</t>
        </is>
      </c>
      <c r="G442" s="50" t="inlineStr">
        <is>
          <t>SIM</t>
        </is>
      </c>
      <c r="H442" s="51" t="inlineStr">
        <is>
          <t>COMMODITIES/DÓLAR</t>
        </is>
      </c>
    </row>
    <row r="443">
      <c r="A443" s="47" t="inlineStr">
        <is>
          <t>SMFT3</t>
        </is>
      </c>
      <c r="B443" s="47" t="inlineStr">
        <is>
          <t>Smart Fit</t>
        </is>
      </c>
      <c r="C443" s="48" t="inlineStr">
        <is>
          <t>ON</t>
        </is>
      </c>
      <c r="D443" s="47" t="inlineStr">
        <is>
          <t>Consumo cíclico</t>
        </is>
      </c>
      <c r="E443" s="47" t="inlineStr">
        <is>
          <t>Viagens e lazer</t>
        </is>
      </c>
      <c r="F443" s="47" t="inlineStr">
        <is>
          <t>Atividades esportivas</t>
        </is>
      </c>
      <c r="G443" s="50" t="inlineStr">
        <is>
          <t>SIM</t>
        </is>
      </c>
      <c r="H443" s="51" t="inlineStr">
        <is>
          <t>TAXA DE JUROS/CRESCIMENTO ECONOMICO</t>
        </is>
      </c>
    </row>
    <row r="444">
      <c r="A444" s="47" t="inlineStr">
        <is>
          <t>SOND3</t>
        </is>
      </c>
      <c r="B444" s="47" t="inlineStr">
        <is>
          <t>Sondotecnica</t>
        </is>
      </c>
      <c r="C444" s="48" t="inlineStr">
        <is>
          <t>ON</t>
        </is>
      </c>
      <c r="D444" s="47" t="inlineStr">
        <is>
          <t>Bens industriais</t>
        </is>
      </c>
      <c r="E444" s="47" t="inlineStr">
        <is>
          <t>Construção e engenharia</t>
        </is>
      </c>
      <c r="F444" s="47" t="inlineStr">
        <is>
          <t>Engenharia consultiva</t>
        </is>
      </c>
      <c r="G444" s="50" t="inlineStr">
        <is>
          <t>SIM</t>
        </is>
      </c>
      <c r="H444" s="51" t="inlineStr">
        <is>
          <t>TAXA DE JUROS/CRESCIMENTO ECONOMICO</t>
        </is>
      </c>
    </row>
    <row r="445">
      <c r="A445" s="47" t="inlineStr">
        <is>
          <t>SOND5</t>
        </is>
      </c>
      <c r="B445" s="47" t="inlineStr">
        <is>
          <t>Sondotecnica</t>
        </is>
      </c>
      <c r="C445" s="48" t="inlineStr">
        <is>
          <t>PNA</t>
        </is>
      </c>
      <c r="D445" s="47" t="inlineStr">
        <is>
          <t>Bens industriais</t>
        </is>
      </c>
      <c r="E445" s="47" t="inlineStr">
        <is>
          <t>Construção e engenharia</t>
        </is>
      </c>
      <c r="F445" s="47" t="inlineStr">
        <is>
          <t>Engenharia consultiva</t>
        </is>
      </c>
      <c r="G445" s="50" t="inlineStr">
        <is>
          <t>SIM</t>
        </is>
      </c>
      <c r="H445" s="51" t="inlineStr">
        <is>
          <t>TAXA DE JUROS/CRESCIMENTO ECONOMICO</t>
        </is>
      </c>
    </row>
    <row r="446">
      <c r="A446" s="47" t="inlineStr">
        <is>
          <t>SOND6</t>
        </is>
      </c>
      <c r="B446" s="47" t="inlineStr">
        <is>
          <t>Sondotecnica</t>
        </is>
      </c>
      <c r="C446" s="48" t="inlineStr">
        <is>
          <t>PNB</t>
        </is>
      </c>
      <c r="D446" s="47" t="inlineStr">
        <is>
          <t>Bens industriais</t>
        </is>
      </c>
      <c r="E446" s="47" t="inlineStr">
        <is>
          <t>Construção e engenharia</t>
        </is>
      </c>
      <c r="F446" s="47" t="inlineStr">
        <is>
          <t>Engenharia consultiva</t>
        </is>
      </c>
      <c r="G446" s="50" t="inlineStr">
        <is>
          <t>SIM</t>
        </is>
      </c>
      <c r="H446" s="51" t="inlineStr">
        <is>
          <t>TAXA DE JUROS/CRESCIMENTO ECONOMICO</t>
        </is>
      </c>
    </row>
    <row r="447">
      <c r="A447" s="47" t="inlineStr">
        <is>
          <t>SGPS3</t>
        </is>
      </c>
      <c r="B447" s="47" t="inlineStr">
        <is>
          <t>Springs</t>
        </is>
      </c>
      <c r="C447" s="48" t="inlineStr">
        <is>
          <t>ON</t>
        </is>
      </c>
      <c r="D447" s="47" t="inlineStr">
        <is>
          <t>Consumo cíclico</t>
        </is>
      </c>
      <c r="E447" s="47" t="inlineStr">
        <is>
          <t>Tecidos vestuário e calçados</t>
        </is>
      </c>
      <c r="F447" s="47" t="inlineStr">
        <is>
          <t>Fios e tecidos</t>
        </is>
      </c>
      <c r="G447" s="50" t="inlineStr">
        <is>
          <t>SIM</t>
        </is>
      </c>
      <c r="H447" s="51" t="inlineStr">
        <is>
          <t>TAXA DE JUROS/CRESCIMENTO ECONOMICO</t>
        </is>
      </c>
    </row>
    <row r="448">
      <c r="A448" s="47" t="inlineStr">
        <is>
          <t>AHEB3</t>
        </is>
      </c>
      <c r="B448" s="47" t="inlineStr">
        <is>
          <t>SPturis</t>
        </is>
      </c>
      <c r="C448" s="48" t="inlineStr">
        <is>
          <t>ON</t>
        </is>
      </c>
      <c r="D448" s="47" t="inlineStr">
        <is>
          <t>Consumo cíclico</t>
        </is>
      </c>
      <c r="E448" s="47" t="inlineStr">
        <is>
          <t>Viagens e lazer</t>
        </is>
      </c>
      <c r="F448" s="47" t="inlineStr">
        <is>
          <t>Produção de eventos e shows</t>
        </is>
      </c>
      <c r="G448" s="50" t="inlineStr">
        <is>
          <t>SIM</t>
        </is>
      </c>
      <c r="H448" s="51" t="inlineStr">
        <is>
          <t>TAXA DE JUROS/CRESCIMENTO ECONOMICO</t>
        </is>
      </c>
    </row>
    <row r="449">
      <c r="A449" s="47" t="inlineStr">
        <is>
          <t>AHEB5</t>
        </is>
      </c>
      <c r="B449" s="47" t="inlineStr">
        <is>
          <t>SPturis</t>
        </is>
      </c>
      <c r="C449" s="48" t="inlineStr">
        <is>
          <t>PNA</t>
        </is>
      </c>
      <c r="D449" s="47" t="inlineStr">
        <is>
          <t>Consumo cíclico</t>
        </is>
      </c>
      <c r="E449" s="47" t="inlineStr">
        <is>
          <t>Viagens e lazer</t>
        </is>
      </c>
      <c r="F449" s="47" t="inlineStr">
        <is>
          <t>Produção de eventos e shows</t>
        </is>
      </c>
      <c r="G449" s="50" t="inlineStr">
        <is>
          <t>SIM</t>
        </is>
      </c>
      <c r="H449" s="51" t="inlineStr">
        <is>
          <t>TAXA DE JUROS/CRESCIMENTO ECONOMICO</t>
        </is>
      </c>
    </row>
    <row r="450">
      <c r="A450" s="47" t="inlineStr">
        <is>
          <t>AHEB6</t>
        </is>
      </c>
      <c r="B450" s="47" t="inlineStr">
        <is>
          <t>SPturis</t>
        </is>
      </c>
      <c r="C450" s="48" t="inlineStr">
        <is>
          <t>PNB</t>
        </is>
      </c>
      <c r="D450" s="47" t="inlineStr">
        <is>
          <t>Consumo cíclico</t>
        </is>
      </c>
      <c r="E450" s="47" t="inlineStr">
        <is>
          <t>Viagens e lazer</t>
        </is>
      </c>
      <c r="F450" s="47" t="inlineStr">
        <is>
          <t>Produção de eventos e shows</t>
        </is>
      </c>
      <c r="G450" s="50" t="inlineStr">
        <is>
          <t>SIM</t>
        </is>
      </c>
      <c r="H450" s="51" t="inlineStr">
        <is>
          <t>TAXA DE JUROS/CRESCIMENTO ECONOMICO</t>
        </is>
      </c>
    </row>
    <row r="451">
      <c r="A451" s="47" t="inlineStr">
        <is>
          <t>OPSE3</t>
        </is>
      </c>
      <c r="B451" s="47" t="inlineStr">
        <is>
          <t>Sudeste S/A</t>
        </is>
      </c>
      <c r="C451" s="48" t="inlineStr">
        <is>
          <t>ON</t>
        </is>
      </c>
      <c r="D451" s="47" t="inlineStr">
        <is>
          <t>Outros</t>
        </is>
      </c>
      <c r="E451" s="47" t="inlineStr">
        <is>
          <t>Outros</t>
        </is>
      </c>
      <c r="F451" s="47" t="inlineStr">
        <is>
          <t>Outros</t>
        </is>
      </c>
    </row>
    <row r="452">
      <c r="A452" s="47" t="inlineStr">
        <is>
          <t>OPTS3</t>
        </is>
      </c>
      <c r="B452" s="47" t="inlineStr">
        <is>
          <t>Sul 116 Part</t>
        </is>
      </c>
      <c r="C452" s="48" t="inlineStr">
        <is>
          <t>ON</t>
        </is>
      </c>
      <c r="D452" s="47" t="inlineStr">
        <is>
          <t>Outros</t>
        </is>
      </c>
      <c r="E452" s="47" t="inlineStr">
        <is>
          <t>Outros</t>
        </is>
      </c>
      <c r="F452" s="47" t="inlineStr">
        <is>
          <t>Outros</t>
        </is>
      </c>
    </row>
    <row r="453">
      <c r="A453" s="47" t="inlineStr">
        <is>
          <t>NEMO3</t>
        </is>
      </c>
      <c r="B453" s="47" t="inlineStr">
        <is>
          <t>Suzano Hold</t>
        </is>
      </c>
      <c r="C453" s="48" t="inlineStr">
        <is>
          <t>ON</t>
        </is>
      </c>
      <c r="D453" s="47" t="inlineStr">
        <is>
          <t>Materiais básicos</t>
        </is>
      </c>
      <c r="E453" s="47" t="inlineStr">
        <is>
          <t>Madeira e papel</t>
        </is>
      </c>
      <c r="F453" s="47" t="inlineStr">
        <is>
          <t>Papel e celulose</t>
        </is>
      </c>
      <c r="G453" s="50" t="inlineStr">
        <is>
          <t>SIM</t>
        </is>
      </c>
      <c r="H453" s="51" t="inlineStr">
        <is>
          <t>CELULOSE/DOLAR</t>
        </is>
      </c>
    </row>
    <row r="454">
      <c r="A454" s="47" t="inlineStr">
        <is>
          <t>NEMO5</t>
        </is>
      </c>
      <c r="B454" s="47" t="inlineStr">
        <is>
          <t>Suzano Hold</t>
        </is>
      </c>
      <c r="C454" s="48" t="inlineStr">
        <is>
          <t>PNA</t>
        </is>
      </c>
      <c r="D454" s="47" t="inlineStr">
        <is>
          <t>Materiais básicos</t>
        </is>
      </c>
      <c r="E454" s="47" t="inlineStr">
        <is>
          <t>Madeira e papel</t>
        </is>
      </c>
      <c r="F454" s="47" t="inlineStr">
        <is>
          <t>Papel e celulose</t>
        </is>
      </c>
      <c r="G454" s="50" t="inlineStr">
        <is>
          <t>SIM</t>
        </is>
      </c>
      <c r="H454" s="51" t="inlineStr">
        <is>
          <t>CELULOSE/DOLAR</t>
        </is>
      </c>
    </row>
    <row r="455">
      <c r="A455" s="47" t="inlineStr">
        <is>
          <t>NEMO6</t>
        </is>
      </c>
      <c r="B455" s="47" t="inlineStr">
        <is>
          <t>Suzano Hold</t>
        </is>
      </c>
      <c r="C455" s="48" t="inlineStr">
        <is>
          <t>PNB</t>
        </is>
      </c>
      <c r="D455" s="47" t="inlineStr">
        <is>
          <t>Materiais básicos</t>
        </is>
      </c>
      <c r="E455" s="47" t="inlineStr">
        <is>
          <t>Madeira e papel</t>
        </is>
      </c>
      <c r="F455" s="47" t="inlineStr">
        <is>
          <t>Papel e celulose</t>
        </is>
      </c>
      <c r="G455" s="50" t="inlineStr">
        <is>
          <t>SIM</t>
        </is>
      </c>
      <c r="H455" s="51" t="inlineStr">
        <is>
          <t>CELULOSE/DOLAR</t>
        </is>
      </c>
    </row>
    <row r="456">
      <c r="A456" s="47" t="inlineStr">
        <is>
          <t>SUZB3</t>
        </is>
      </c>
      <c r="B456" s="47" t="inlineStr">
        <is>
          <t>Suzano S.A.</t>
        </is>
      </c>
      <c r="C456" s="48" t="inlineStr">
        <is>
          <t>ON</t>
        </is>
      </c>
      <c r="D456" s="47" t="inlineStr">
        <is>
          <t>Materiais básicos</t>
        </is>
      </c>
      <c r="E456" s="47" t="inlineStr">
        <is>
          <t>Madeira e papel</t>
        </is>
      </c>
      <c r="F456" s="47" t="inlineStr">
        <is>
          <t>Papel e celulose</t>
        </is>
      </c>
      <c r="G456" s="50" t="inlineStr">
        <is>
          <t>SIM</t>
        </is>
      </c>
      <c r="H456" s="51" t="inlineStr">
        <is>
          <t>CELULOSE/DOLAR</t>
        </is>
      </c>
    </row>
    <row r="457">
      <c r="A457" s="47" t="inlineStr">
        <is>
          <t>SYNE3</t>
        </is>
      </c>
      <c r="B457" s="47" t="inlineStr">
        <is>
          <t>Syn Prop Tec</t>
        </is>
      </c>
      <c r="C457" s="48" t="inlineStr">
        <is>
          <t>ON</t>
        </is>
      </c>
      <c r="D457" s="47" t="inlineStr">
        <is>
          <t>Financeiro</t>
        </is>
      </c>
      <c r="E457" s="47" t="inlineStr">
        <is>
          <t>Exploração de imóveis</t>
        </is>
      </c>
      <c r="F457" s="47" t="inlineStr">
        <is>
          <t>Exploração de imóveis</t>
        </is>
      </c>
      <c r="G457" s="50" t="inlineStr">
        <is>
          <t>SIM</t>
        </is>
      </c>
      <c r="H457" s="51" t="inlineStr">
        <is>
          <t>TAXA DE JUROS/CRESCIMENTO ECONOMICO</t>
        </is>
      </c>
    </row>
    <row r="458">
      <c r="A458" s="47" t="inlineStr">
        <is>
          <t>TAEE3</t>
        </is>
      </c>
      <c r="B458" s="47" t="inlineStr">
        <is>
          <t>Taesa</t>
        </is>
      </c>
      <c r="C458" s="48" t="inlineStr">
        <is>
          <t>ON</t>
        </is>
      </c>
      <c r="D458" s="47" t="inlineStr">
        <is>
          <t>Utilidade pública</t>
        </is>
      </c>
      <c r="E458" s="47" t="inlineStr">
        <is>
          <t>Energia elétrica</t>
        </is>
      </c>
      <c r="F458" s="47" t="inlineStr">
        <is>
          <t>Energia elétrica</t>
        </is>
      </c>
      <c r="G458" s="50" t="inlineStr">
        <is>
          <t>NÃO</t>
        </is>
      </c>
    </row>
    <row r="459">
      <c r="A459" s="47" t="inlineStr">
        <is>
          <t>TAEE4</t>
        </is>
      </c>
      <c r="B459" s="47" t="inlineStr">
        <is>
          <t>Taesa</t>
        </is>
      </c>
      <c r="C459" s="48" t="inlineStr">
        <is>
          <t>PN</t>
        </is>
      </c>
      <c r="D459" s="47" t="inlineStr">
        <is>
          <t>Utilidade pública</t>
        </is>
      </c>
      <c r="E459" s="47" t="inlineStr">
        <is>
          <t>Energia elétrica</t>
        </is>
      </c>
      <c r="F459" s="47" t="inlineStr">
        <is>
          <t>Energia elétrica</t>
        </is>
      </c>
      <c r="G459" s="50" t="inlineStr">
        <is>
          <t>NÃO</t>
        </is>
      </c>
    </row>
    <row r="460">
      <c r="A460" s="47" t="inlineStr">
        <is>
          <t>TAEE11</t>
        </is>
      </c>
      <c r="B460" s="47" t="inlineStr">
        <is>
          <t>Taesa</t>
        </is>
      </c>
      <c r="C460" s="48" t="inlineStr">
        <is>
          <t>UNT N2</t>
        </is>
      </c>
      <c r="D460" s="47" t="inlineStr">
        <is>
          <t>Utilidade pública</t>
        </is>
      </c>
      <c r="E460" s="47" t="inlineStr">
        <is>
          <t>Energia elétrica</t>
        </is>
      </c>
      <c r="F460" s="47" t="inlineStr">
        <is>
          <t>Energia elétrica</t>
        </is>
      </c>
      <c r="G460" s="50" t="inlineStr">
        <is>
          <t>NÃO</t>
        </is>
      </c>
    </row>
    <row r="461">
      <c r="A461" s="47" t="inlineStr">
        <is>
          <t>TASA3</t>
        </is>
      </c>
      <c r="B461" s="47" t="inlineStr">
        <is>
          <t>Taurus Armas</t>
        </is>
      </c>
      <c r="C461" s="48" t="inlineStr">
        <is>
          <t>ON</t>
        </is>
      </c>
      <c r="D461" s="47" t="inlineStr">
        <is>
          <t>Bens industriais</t>
        </is>
      </c>
      <c r="E461" s="47" t="inlineStr">
        <is>
          <t>Máquinas e equipamentos</t>
        </is>
      </c>
      <c r="F461" s="47" t="inlineStr">
        <is>
          <t>Armas e munições</t>
        </is>
      </c>
      <c r="G461" s="50" t="inlineStr">
        <is>
          <t>SIM</t>
        </is>
      </c>
      <c r="H461" s="51" t="inlineStr">
        <is>
          <t>TAXA DE JUROS/CRESCIMENTO ECONOMICO</t>
        </is>
      </c>
    </row>
    <row r="462">
      <c r="A462" s="47" t="inlineStr">
        <is>
          <t>TASA4</t>
        </is>
      </c>
      <c r="B462" s="47" t="inlineStr">
        <is>
          <t>Taurus Armas</t>
        </is>
      </c>
      <c r="C462" s="48" t="inlineStr">
        <is>
          <t>PN</t>
        </is>
      </c>
      <c r="D462" s="47" t="inlineStr">
        <is>
          <t>Bens industriais</t>
        </is>
      </c>
      <c r="E462" s="47" t="inlineStr">
        <is>
          <t>Máquinas e equipamentos</t>
        </is>
      </c>
      <c r="F462" s="47" t="inlineStr">
        <is>
          <t>Armas e munições</t>
        </is>
      </c>
      <c r="G462" s="50" t="inlineStr">
        <is>
          <t>SIM</t>
        </is>
      </c>
      <c r="H462" s="51" t="inlineStr">
        <is>
          <t>TAXA DE JUROS/CRESCIMENTO ECONOMICO</t>
        </is>
      </c>
    </row>
    <row r="463">
      <c r="A463" s="47" t="inlineStr">
        <is>
          <t>TRAD3</t>
        </is>
      </c>
      <c r="B463" s="47" t="inlineStr">
        <is>
          <t>TC</t>
        </is>
      </c>
      <c r="C463" s="48" t="inlineStr">
        <is>
          <t>ON</t>
        </is>
      </c>
      <c r="D463" s="47" t="inlineStr">
        <is>
          <t>Tecnologia da informação</t>
        </is>
      </c>
      <c r="E463" s="47" t="inlineStr">
        <is>
          <t>Programas e serviços</t>
        </is>
      </c>
      <c r="F463" s="47" t="inlineStr">
        <is>
          <t>Programas e serviços</t>
        </is>
      </c>
      <c r="G463" s="50" t="inlineStr">
        <is>
          <t>SIM</t>
        </is>
      </c>
      <c r="H463" s="51" t="inlineStr">
        <is>
          <t>TAXA DE JUROS/CRESCIMENTO ECONOMICO</t>
        </is>
      </c>
    </row>
    <row r="464">
      <c r="A464" s="47" t="inlineStr">
        <is>
          <t>TECN3</t>
        </is>
      </c>
      <c r="B464" s="47" t="inlineStr">
        <is>
          <t>Technos</t>
        </is>
      </c>
      <c r="C464" s="48" t="inlineStr">
        <is>
          <t>ON</t>
        </is>
      </c>
      <c r="D464" s="47" t="inlineStr">
        <is>
          <t>Consumo cíclico</t>
        </is>
      </c>
      <c r="E464" s="47" t="inlineStr">
        <is>
          <t>Tecidos vestuário e calçados</t>
        </is>
      </c>
      <c r="F464" s="47" t="inlineStr">
        <is>
          <t>Acessórios</t>
        </is>
      </c>
      <c r="G464" s="50" t="inlineStr">
        <is>
          <t>SIM</t>
        </is>
      </c>
      <c r="H464" s="51" t="inlineStr">
        <is>
          <t>TAXA DE JUROS/CRESCIMENTO ECONOMICO</t>
        </is>
      </c>
    </row>
    <row r="465">
      <c r="A465" s="47" t="inlineStr">
        <is>
          <t>TCSA3</t>
        </is>
      </c>
      <c r="B465" s="47" t="inlineStr">
        <is>
          <t>Tecnisa</t>
        </is>
      </c>
      <c r="C465" s="48" t="inlineStr">
        <is>
          <t>ON</t>
        </is>
      </c>
      <c r="D465" s="47" t="inlineStr">
        <is>
          <t>Consumo cíclico</t>
        </is>
      </c>
      <c r="E465" s="47" t="inlineStr">
        <is>
          <t>Construção civil</t>
        </is>
      </c>
      <c r="F465" s="47" t="inlineStr">
        <is>
          <t>Incorporações</t>
        </is>
      </c>
      <c r="G465" s="50" t="inlineStr">
        <is>
          <t>SIM</t>
        </is>
      </c>
      <c r="H465" s="51" t="inlineStr">
        <is>
          <t>TAXA DE JUROS/CRESCIMENTO ECONOMICO</t>
        </is>
      </c>
    </row>
    <row r="466">
      <c r="A466" s="47" t="inlineStr">
        <is>
          <t>TGMA3</t>
        </is>
      </c>
      <c r="B466" s="47" t="inlineStr">
        <is>
          <t>Tegma</t>
        </is>
      </c>
      <c r="C466" s="48" t="inlineStr">
        <is>
          <t>ON</t>
        </is>
      </c>
      <c r="D466" s="47" t="inlineStr">
        <is>
          <t>Bens industriais</t>
        </is>
      </c>
      <c r="E466" s="47" t="inlineStr">
        <is>
          <t>Transporte</t>
        </is>
      </c>
      <c r="F466" s="47" t="inlineStr">
        <is>
          <t>Transporte rodoviário</t>
        </is>
      </c>
      <c r="G466" s="50" t="inlineStr">
        <is>
          <t>SIM</t>
        </is>
      </c>
      <c r="H466" s="51" t="inlineStr">
        <is>
          <t>TAXA DE JUROS/CRESCIMENTO ECONOMICO</t>
        </is>
      </c>
    </row>
    <row r="467">
      <c r="A467" s="47" t="inlineStr">
        <is>
          <t>TEGA3</t>
        </is>
      </c>
      <c r="B467" s="47" t="inlineStr">
        <is>
          <t>Tegra Incorp</t>
        </is>
      </c>
      <c r="C467" s="48" t="inlineStr">
        <is>
          <t>ON</t>
        </is>
      </c>
      <c r="D467" s="47" t="inlineStr">
        <is>
          <t>Consumo cíclico</t>
        </is>
      </c>
      <c r="E467" s="47" t="inlineStr">
        <is>
          <t>Construção civil</t>
        </is>
      </c>
      <c r="F467" s="47" t="inlineStr">
        <is>
          <t>Incorporações</t>
        </is>
      </c>
      <c r="G467" s="50" t="inlineStr">
        <is>
          <t>SIM</t>
        </is>
      </c>
      <c r="H467" s="51" t="inlineStr">
        <is>
          <t>TAXA DE JUROS/CRESCIMENTO ECONOMICO</t>
        </is>
      </c>
    </row>
    <row r="468">
      <c r="A468" s="47" t="inlineStr">
        <is>
          <t>TEKA3</t>
        </is>
      </c>
      <c r="B468" s="47" t="inlineStr">
        <is>
          <t>Teka</t>
        </is>
      </c>
      <c r="C468" s="48" t="inlineStr">
        <is>
          <t>ON</t>
        </is>
      </c>
      <c r="D468" s="47" t="inlineStr">
        <is>
          <t>Consumo cíclico</t>
        </is>
      </c>
      <c r="E468" s="47" t="inlineStr">
        <is>
          <t>Tecidos vestuário e calçados</t>
        </is>
      </c>
      <c r="F468" s="47" t="inlineStr">
        <is>
          <t>Fios e tecidos</t>
        </is>
      </c>
      <c r="G468" s="50" t="inlineStr">
        <is>
          <t>SIM</t>
        </is>
      </c>
      <c r="H468" s="51" t="inlineStr">
        <is>
          <t>TAXA DE JUROS/CRESCIMENTO ECONOMICO</t>
        </is>
      </c>
    </row>
    <row r="469">
      <c r="A469" s="47" t="inlineStr">
        <is>
          <t>TEKA4</t>
        </is>
      </c>
      <c r="B469" s="47" t="inlineStr">
        <is>
          <t>Teka</t>
        </is>
      </c>
      <c r="C469" s="48" t="inlineStr">
        <is>
          <t>PN</t>
        </is>
      </c>
      <c r="D469" s="47" t="inlineStr">
        <is>
          <t>Consumo cíclico</t>
        </is>
      </c>
      <c r="E469" s="47" t="inlineStr">
        <is>
          <t>Tecidos vestuário e calçados</t>
        </is>
      </c>
      <c r="F469" s="47" t="inlineStr">
        <is>
          <t>Fios e tecidos</t>
        </is>
      </c>
      <c r="G469" s="50" t="inlineStr">
        <is>
          <t>SIM</t>
        </is>
      </c>
      <c r="H469" s="51" t="inlineStr">
        <is>
          <t>TAXA DE JUROS/CRESCIMENTO ECONOMICO</t>
        </is>
      </c>
    </row>
    <row r="470">
      <c r="A470" s="47" t="inlineStr">
        <is>
          <t>TKNO3</t>
        </is>
      </c>
      <c r="B470" s="47" t="inlineStr">
        <is>
          <t>Tekno</t>
        </is>
      </c>
      <c r="C470" s="48" t="inlineStr">
        <is>
          <t>ON</t>
        </is>
      </c>
      <c r="D470" s="47" t="inlineStr">
        <is>
          <t>Materiais básicos</t>
        </is>
      </c>
      <c r="E470" s="47" t="inlineStr">
        <is>
          <t>Siderurgia e metalurgia</t>
        </is>
      </c>
      <c r="F470" s="47" t="inlineStr">
        <is>
          <t>Artefatos de ferro e aço</t>
        </is>
      </c>
      <c r="G470" s="50" t="inlineStr">
        <is>
          <t>SIM</t>
        </is>
      </c>
      <c r="H470" s="52" t="inlineStr">
        <is>
          <t>MINÉRIO/DÓLAR</t>
        </is>
      </c>
    </row>
    <row r="471">
      <c r="A471" s="47" t="inlineStr">
        <is>
          <t>TKNO4</t>
        </is>
      </c>
      <c r="B471" s="47" t="inlineStr">
        <is>
          <t>Tekno</t>
        </is>
      </c>
      <c r="C471" s="48" t="inlineStr">
        <is>
          <t>PN</t>
        </is>
      </c>
      <c r="D471" s="47" t="inlineStr">
        <is>
          <t>Materiais básicos</t>
        </is>
      </c>
      <c r="E471" s="47" t="inlineStr">
        <is>
          <t>Siderurgia e metalurgia</t>
        </is>
      </c>
      <c r="F471" s="47" t="inlineStr">
        <is>
          <t>Artefatos de ferro e aço</t>
        </is>
      </c>
      <c r="G471" s="50" t="inlineStr">
        <is>
          <t>SIM</t>
        </is>
      </c>
      <c r="H471" s="52" t="inlineStr">
        <is>
          <t>MINÉRIO/DÓLAR</t>
        </is>
      </c>
    </row>
    <row r="472">
      <c r="A472" s="47" t="inlineStr">
        <is>
          <t>TELB3</t>
        </is>
      </c>
      <c r="B472" s="47" t="inlineStr">
        <is>
          <t>Telebras</t>
        </is>
      </c>
      <c r="C472" s="48" t="inlineStr">
        <is>
          <t>ON</t>
        </is>
      </c>
      <c r="D472" s="47" t="inlineStr">
        <is>
          <t>Comunicações</t>
        </is>
      </c>
      <c r="E472" s="47" t="inlineStr">
        <is>
          <t>Telecomunicações</t>
        </is>
      </c>
      <c r="F472" s="47" t="inlineStr">
        <is>
          <t>Telecomunicações</t>
        </is>
      </c>
      <c r="G472" s="50" t="inlineStr">
        <is>
          <t>SIM</t>
        </is>
      </c>
      <c r="H472" s="51" t="inlineStr">
        <is>
          <t>TAXA DE JUROS/CRESCIMENTO ECONOMICO</t>
        </is>
      </c>
    </row>
    <row r="473">
      <c r="A473" s="47" t="inlineStr">
        <is>
          <t>TELB4</t>
        </is>
      </c>
      <c r="B473" s="47" t="inlineStr">
        <is>
          <t>Telebras</t>
        </is>
      </c>
      <c r="C473" s="48" t="inlineStr">
        <is>
          <t>PN</t>
        </is>
      </c>
      <c r="D473" s="47" t="inlineStr">
        <is>
          <t>Comunicações</t>
        </is>
      </c>
      <c r="E473" s="47" t="inlineStr">
        <is>
          <t>Telecomunicações</t>
        </is>
      </c>
      <c r="F473" s="47" t="inlineStr">
        <is>
          <t>Telecomunicações</t>
        </is>
      </c>
      <c r="G473" s="50" t="inlineStr">
        <is>
          <t>SIM</t>
        </is>
      </c>
      <c r="H473" s="51" t="inlineStr">
        <is>
          <t>TAXA DE JUROS/CRESCIMENTO ECONOMICO</t>
        </is>
      </c>
    </row>
    <row r="474">
      <c r="A474" s="47" t="inlineStr">
        <is>
          <t>VIVT3</t>
        </is>
      </c>
      <c r="B474" s="47" t="inlineStr">
        <is>
          <t>Telef Brasil</t>
        </is>
      </c>
      <c r="C474" s="48" t="inlineStr">
        <is>
          <t>ON</t>
        </is>
      </c>
      <c r="D474" s="47" t="inlineStr">
        <is>
          <t>Comunicações</t>
        </is>
      </c>
      <c r="E474" s="47" t="inlineStr">
        <is>
          <t>Telecomunicações</t>
        </is>
      </c>
      <c r="F474" s="47" t="inlineStr">
        <is>
          <t>Telecomunicações</t>
        </is>
      </c>
      <c r="G474" s="50" t="inlineStr">
        <is>
          <t>SIM</t>
        </is>
      </c>
      <c r="H474" s="51" t="inlineStr">
        <is>
          <t>TAXA DE JUROS/CRESCIMENTO ECONOMICO</t>
        </is>
      </c>
    </row>
    <row r="475">
      <c r="A475" s="47" t="inlineStr">
        <is>
          <t>TEND3</t>
        </is>
      </c>
      <c r="B475" s="47" t="inlineStr">
        <is>
          <t>Tenda</t>
        </is>
      </c>
      <c r="C475" s="48" t="inlineStr">
        <is>
          <t>ON</t>
        </is>
      </c>
      <c r="D475" s="47" t="inlineStr">
        <is>
          <t>Consumo cíclico</t>
        </is>
      </c>
      <c r="E475" s="47" t="inlineStr">
        <is>
          <t>Construção civil</t>
        </is>
      </c>
      <c r="F475" s="47" t="inlineStr">
        <is>
          <t>Incorporações</t>
        </is>
      </c>
      <c r="G475" s="50" t="inlineStr">
        <is>
          <t>SIM</t>
        </is>
      </c>
      <c r="H475" s="51" t="inlineStr">
        <is>
          <t>TAXA DE JUROS/CRESCIMENTO ECONOMICO</t>
        </is>
      </c>
    </row>
    <row r="476">
      <c r="A476" s="47" t="inlineStr">
        <is>
          <t>LAND3</t>
        </is>
      </c>
      <c r="B476" s="47" t="inlineStr">
        <is>
          <t>Terrasantapa</t>
        </is>
      </c>
      <c r="C476" s="48" t="inlineStr">
        <is>
          <t>ON</t>
        </is>
      </c>
      <c r="D476" s="47" t="inlineStr">
        <is>
          <t>Consumo não cíclico</t>
        </is>
      </c>
      <c r="E476" s="47" t="inlineStr">
        <is>
          <t>Agropecuária</t>
        </is>
      </c>
      <c r="F476" s="47" t="inlineStr">
        <is>
          <t>Agricultura</t>
        </is>
      </c>
      <c r="G476" s="50" t="inlineStr">
        <is>
          <t>SIM</t>
        </is>
      </c>
      <c r="H476" s="51" t="inlineStr">
        <is>
          <t>COMMODITIES/DÓLAR</t>
        </is>
      </c>
    </row>
    <row r="477">
      <c r="A477" s="47" t="inlineStr">
        <is>
          <t>TXRX3</t>
        </is>
      </c>
      <c r="B477" s="47" t="inlineStr">
        <is>
          <t>Tex Renaux</t>
        </is>
      </c>
      <c r="C477" s="48" t="inlineStr">
        <is>
          <t>ON</t>
        </is>
      </c>
      <c r="D477" s="47" t="inlineStr">
        <is>
          <t>Consumo cíclico</t>
        </is>
      </c>
      <c r="E477" s="47" t="inlineStr">
        <is>
          <t>Tecidos vestuário e calçados</t>
        </is>
      </c>
      <c r="F477" s="47" t="inlineStr">
        <is>
          <t>Fios e tecidos</t>
        </is>
      </c>
      <c r="G477" s="50" t="inlineStr">
        <is>
          <t>SIM</t>
        </is>
      </c>
      <c r="H477" s="51" t="inlineStr">
        <is>
          <t>TAXA DE JUROS/CRESCIMENTO ECONOMICO</t>
        </is>
      </c>
    </row>
    <row r="478">
      <c r="A478" s="47" t="inlineStr">
        <is>
          <t>TXRX4</t>
        </is>
      </c>
      <c r="B478" s="47" t="inlineStr">
        <is>
          <t>Tex Renaux</t>
        </is>
      </c>
      <c r="C478" s="48" t="inlineStr">
        <is>
          <t>PN</t>
        </is>
      </c>
      <c r="D478" s="47" t="inlineStr">
        <is>
          <t>Consumo cíclico</t>
        </is>
      </c>
      <c r="E478" s="47" t="inlineStr">
        <is>
          <t>Tecidos vestuário e calçados</t>
        </is>
      </c>
      <c r="F478" s="47" t="inlineStr">
        <is>
          <t>Fios e tecidos</t>
        </is>
      </c>
      <c r="G478" s="50" t="inlineStr">
        <is>
          <t>SIM</t>
        </is>
      </c>
      <c r="H478" s="51" t="inlineStr">
        <is>
          <t>TAXA DE JUROS/CRESCIMENTO ECONOMICO</t>
        </is>
      </c>
    </row>
    <row r="479">
      <c r="A479" s="47" t="inlineStr">
        <is>
          <t>TIMS3</t>
        </is>
      </c>
      <c r="B479" s="47" t="inlineStr">
        <is>
          <t>Tim</t>
        </is>
      </c>
      <c r="C479" s="48" t="inlineStr">
        <is>
          <t>ON</t>
        </is>
      </c>
      <c r="D479" s="47" t="inlineStr">
        <is>
          <t>Comunicações</t>
        </is>
      </c>
      <c r="E479" s="47" t="inlineStr">
        <is>
          <t>Telecomunicações</t>
        </is>
      </c>
      <c r="F479" s="47" t="inlineStr">
        <is>
          <t>Telecomunicações</t>
        </is>
      </c>
      <c r="G479" s="50" t="inlineStr">
        <is>
          <t>SIM</t>
        </is>
      </c>
      <c r="H479" s="51" t="inlineStr">
        <is>
          <t>TAXA DE JUROS/CRESCIMENTO ECONOMICO</t>
        </is>
      </c>
    </row>
    <row r="480">
      <c r="A480" s="47" t="inlineStr">
        <is>
          <t>SHOW3</t>
        </is>
      </c>
      <c r="B480" s="47" t="inlineStr">
        <is>
          <t>Time For Fun</t>
        </is>
      </c>
      <c r="C480" s="48" t="inlineStr">
        <is>
          <t>ON</t>
        </is>
      </c>
      <c r="D480" s="47" t="inlineStr">
        <is>
          <t>Consumo cíclico</t>
        </is>
      </c>
      <c r="E480" s="47" t="inlineStr">
        <is>
          <t>Viagens e lazer</t>
        </is>
      </c>
      <c r="F480" s="47" t="inlineStr">
        <is>
          <t>Produção de eventos e shows</t>
        </is>
      </c>
      <c r="G480" s="50" t="inlineStr">
        <is>
          <t>SIM</t>
        </is>
      </c>
      <c r="H480" s="51" t="inlineStr">
        <is>
          <t>TAXA DE JUROS/CRESCIMENTO ECONOMICO</t>
        </is>
      </c>
    </row>
    <row r="481">
      <c r="A481" s="47" t="inlineStr">
        <is>
          <t>TOTS3</t>
        </is>
      </c>
      <c r="B481" s="47" t="inlineStr">
        <is>
          <t>Totvs</t>
        </is>
      </c>
      <c r="C481" s="48" t="inlineStr">
        <is>
          <t>ON</t>
        </is>
      </c>
      <c r="D481" s="47" t="inlineStr">
        <is>
          <t>Tecnologia da informação</t>
        </is>
      </c>
      <c r="E481" s="47" t="inlineStr">
        <is>
          <t>Programas e serviços</t>
        </is>
      </c>
      <c r="F481" s="47" t="inlineStr">
        <is>
          <t>Programas e serviços</t>
        </is>
      </c>
      <c r="G481" s="50" t="inlineStr">
        <is>
          <t>SIM</t>
        </is>
      </c>
      <c r="H481" s="51" t="inlineStr">
        <is>
          <t>TAXA DE JUROS/CRESCIMENTO ECONOMICO</t>
        </is>
      </c>
    </row>
    <row r="482">
      <c r="A482" s="47" t="inlineStr">
        <is>
          <t>TFCO4</t>
        </is>
      </c>
      <c r="B482" s="47" t="inlineStr">
        <is>
          <t>Track Field</t>
        </is>
      </c>
      <c r="C482" s="48" t="inlineStr">
        <is>
          <t>PN</t>
        </is>
      </c>
      <c r="D482" s="47" t="inlineStr">
        <is>
          <t>Consumo cíclico</t>
        </is>
      </c>
      <c r="E482" s="47" t="inlineStr">
        <is>
          <t>Tecidos vestuário e calçados</t>
        </is>
      </c>
      <c r="F482" s="47" t="inlineStr">
        <is>
          <t>Vestuário</t>
        </is>
      </c>
      <c r="G482" s="50" t="inlineStr">
        <is>
          <t>SIM</t>
        </is>
      </c>
      <c r="H482" s="51" t="inlineStr">
        <is>
          <t>TAXA DE JUROS/CRESCIMENTO ECONOMICO</t>
        </is>
      </c>
    </row>
    <row r="483">
      <c r="A483" s="47" t="inlineStr">
        <is>
          <t>TRPL3</t>
        </is>
      </c>
      <c r="B483" s="47" t="inlineStr">
        <is>
          <t>Tran Paulist</t>
        </is>
      </c>
      <c r="C483" s="48" t="inlineStr">
        <is>
          <t>ON</t>
        </is>
      </c>
      <c r="D483" s="47" t="inlineStr">
        <is>
          <t>Utilidade pública</t>
        </is>
      </c>
      <c r="E483" s="47" t="inlineStr">
        <is>
          <t>Energia elétrica</t>
        </is>
      </c>
      <c r="F483" s="47" t="inlineStr">
        <is>
          <t>Energia elétrica</t>
        </is>
      </c>
      <c r="G483" s="50" t="inlineStr">
        <is>
          <t>NÃO</t>
        </is>
      </c>
    </row>
    <row r="484">
      <c r="A484" s="47" t="inlineStr">
        <is>
          <t>TRPL4</t>
        </is>
      </c>
      <c r="B484" s="47" t="inlineStr">
        <is>
          <t>Tran Paulist</t>
        </is>
      </c>
      <c r="C484" s="48" t="inlineStr">
        <is>
          <t>PN</t>
        </is>
      </c>
      <c r="D484" s="47" t="inlineStr">
        <is>
          <t>Utilidade pública</t>
        </is>
      </c>
      <c r="E484" s="47" t="inlineStr">
        <is>
          <t>Energia elétrica</t>
        </is>
      </c>
      <c r="F484" s="47" t="inlineStr">
        <is>
          <t>Energia elétrica</t>
        </is>
      </c>
      <c r="G484" s="50" t="inlineStr">
        <is>
          <t>NÃO</t>
        </is>
      </c>
    </row>
    <row r="485">
      <c r="A485" s="47" t="inlineStr">
        <is>
          <t>LUXM3</t>
        </is>
      </c>
      <c r="B485" s="47" t="inlineStr">
        <is>
          <t>Trevisa</t>
        </is>
      </c>
      <c r="C485" s="48" t="inlineStr">
        <is>
          <t>ON</t>
        </is>
      </c>
      <c r="D485" s="47" t="inlineStr">
        <is>
          <t>Bens industriais</t>
        </is>
      </c>
      <c r="E485" s="47" t="inlineStr">
        <is>
          <t>Transporte</t>
        </is>
      </c>
      <c r="F485" s="47" t="inlineStr">
        <is>
          <t>Transporte hidroviário</t>
        </is>
      </c>
      <c r="G485" s="50" t="inlineStr">
        <is>
          <t>SIM</t>
        </is>
      </c>
      <c r="H485" s="51" t="inlineStr">
        <is>
          <t>TAXA DE JUROS/CRESCIMENTO ECONOMICO</t>
        </is>
      </c>
    </row>
    <row r="486">
      <c r="A486" s="47" t="inlineStr">
        <is>
          <t>LUXM4</t>
        </is>
      </c>
      <c r="B486" s="47" t="inlineStr">
        <is>
          <t>Trevisa</t>
        </is>
      </c>
      <c r="C486" s="48" t="inlineStr">
        <is>
          <t>PN</t>
        </is>
      </c>
      <c r="D486" s="47" t="inlineStr">
        <is>
          <t>Bens industriais</t>
        </is>
      </c>
      <c r="E486" s="47" t="inlineStr">
        <is>
          <t>Transporte</t>
        </is>
      </c>
      <c r="F486" s="47" t="inlineStr">
        <is>
          <t>Transporte hidroviário</t>
        </is>
      </c>
      <c r="G486" s="50" t="inlineStr">
        <is>
          <t>SIM</t>
        </is>
      </c>
      <c r="H486" s="51" t="inlineStr">
        <is>
          <t>TAXA DE JUROS/CRESCIMENTO ECONOMICO</t>
        </is>
      </c>
    </row>
    <row r="487">
      <c r="A487" s="47" t="inlineStr">
        <is>
          <t>TRIS3</t>
        </is>
      </c>
      <c r="B487" s="47" t="inlineStr">
        <is>
          <t>Trisul</t>
        </is>
      </c>
      <c r="C487" s="48" t="inlineStr">
        <is>
          <t>ON</t>
        </is>
      </c>
      <c r="D487" s="47" t="inlineStr">
        <is>
          <t>Consumo cíclico</t>
        </is>
      </c>
      <c r="E487" s="47" t="inlineStr">
        <is>
          <t>Construção civil</t>
        </is>
      </c>
      <c r="F487" s="47" t="inlineStr">
        <is>
          <t>Incorporações</t>
        </is>
      </c>
      <c r="G487" s="50" t="inlineStr">
        <is>
          <t>SIM</t>
        </is>
      </c>
      <c r="H487" s="51" t="inlineStr">
        <is>
          <t>TAXA DE JUROS/CRESCIMENTO ECONOMICO</t>
        </is>
      </c>
    </row>
    <row r="488">
      <c r="A488" s="47" t="inlineStr">
        <is>
          <t>TPIS3</t>
        </is>
      </c>
      <c r="B488" s="47" t="inlineStr">
        <is>
          <t>Triunfo Part</t>
        </is>
      </c>
      <c r="C488" s="48" t="inlineStr">
        <is>
          <t>ON</t>
        </is>
      </c>
      <c r="D488" s="47" t="inlineStr">
        <is>
          <t>Bens industriais</t>
        </is>
      </c>
      <c r="E488" s="47" t="inlineStr">
        <is>
          <t>Transporte</t>
        </is>
      </c>
      <c r="F488" s="47" t="inlineStr">
        <is>
          <t>Exploração de rodovias</t>
        </is>
      </c>
      <c r="G488" s="50" t="inlineStr">
        <is>
          <t>SIM</t>
        </is>
      </c>
      <c r="H488" s="51" t="inlineStr">
        <is>
          <t>TAXA DE JUROS/CRESCIMENTO ECONOMICO</t>
        </is>
      </c>
    </row>
    <row r="489">
      <c r="A489" s="47" t="inlineStr">
        <is>
          <t>TUPY3</t>
        </is>
      </c>
      <c r="B489" s="47" t="inlineStr">
        <is>
          <t>Tupy</t>
        </is>
      </c>
      <c r="C489" s="48" t="inlineStr">
        <is>
          <t>ON</t>
        </is>
      </c>
      <c r="D489" s="47" t="inlineStr">
        <is>
          <t>Bens industriais</t>
        </is>
      </c>
      <c r="E489" s="47" t="inlineStr">
        <is>
          <t>Material de transporte</t>
        </is>
      </c>
      <c r="F489" s="47" t="inlineStr">
        <is>
          <t>Material rodoviário</t>
        </is>
      </c>
      <c r="G489" s="50" t="inlineStr">
        <is>
          <t>SIM</t>
        </is>
      </c>
      <c r="H489" s="51" t="inlineStr">
        <is>
          <t>COMMODITIES/DÓLAR</t>
        </is>
      </c>
    </row>
    <row r="490">
      <c r="A490" s="47" t="inlineStr">
        <is>
          <t>UGPA3</t>
        </is>
      </c>
      <c r="B490" s="47" t="inlineStr">
        <is>
          <t>Ultrapar</t>
        </is>
      </c>
      <c r="C490" s="48" t="inlineStr">
        <is>
          <t>ON</t>
        </is>
      </c>
      <c r="D490" s="47" t="inlineStr">
        <is>
          <t>Petróleo gás e biocombustíveis</t>
        </is>
      </c>
      <c r="E490" s="47" t="inlineStr">
        <is>
          <t>Petróleo gás e biocombustíveis</t>
        </is>
      </c>
      <c r="F490" s="47" t="inlineStr">
        <is>
          <t>Exploração refino e distribuição</t>
        </is>
      </c>
      <c r="G490" s="50" t="inlineStr">
        <is>
          <t>SIM</t>
        </is>
      </c>
      <c r="H490" s="51" t="inlineStr">
        <is>
          <t>PETRÓLEO/DÓLAR</t>
        </is>
      </c>
    </row>
    <row r="491">
      <c r="A491" s="47" t="inlineStr">
        <is>
          <t>UCAS3</t>
        </is>
      </c>
      <c r="B491" s="47" t="inlineStr">
        <is>
          <t>Unicasa</t>
        </is>
      </c>
      <c r="C491" s="48" t="inlineStr">
        <is>
          <t>ON</t>
        </is>
      </c>
      <c r="D491" s="47" t="inlineStr">
        <is>
          <t>Consumo cíclico</t>
        </is>
      </c>
      <c r="E491" s="47" t="inlineStr">
        <is>
          <t>Utilidades domésticas</t>
        </is>
      </c>
      <c r="F491" s="47" t="inlineStr">
        <is>
          <t>Móveis</t>
        </is>
      </c>
      <c r="G491" s="50" t="inlineStr">
        <is>
          <t>SIM</t>
        </is>
      </c>
      <c r="H491" s="51" t="inlineStr">
        <is>
          <t>TAXA DE JUROS/CRESCIMENTO ECONOMICO</t>
        </is>
      </c>
    </row>
    <row r="492">
      <c r="A492" s="47" t="inlineStr">
        <is>
          <t>FIQE3</t>
        </is>
      </c>
      <c r="B492" s="47" t="inlineStr">
        <is>
          <t>Unifique</t>
        </is>
      </c>
      <c r="C492" s="48" t="inlineStr">
        <is>
          <t>ON</t>
        </is>
      </c>
      <c r="D492" s="47" t="inlineStr">
        <is>
          <t>Comunicações</t>
        </is>
      </c>
      <c r="E492" s="47" t="inlineStr">
        <is>
          <t>Telecomunicações</t>
        </is>
      </c>
      <c r="F492" s="47" t="inlineStr">
        <is>
          <t>Telecomunicações</t>
        </is>
      </c>
      <c r="G492" s="50" t="inlineStr">
        <is>
          <t>SIM</t>
        </is>
      </c>
      <c r="H492" s="51" t="inlineStr">
        <is>
          <t>TAXA DE JUROS/CRESCIMENTO ECONOMICO</t>
        </is>
      </c>
    </row>
    <row r="493">
      <c r="A493" s="47" t="inlineStr">
        <is>
          <t>UNIP3</t>
        </is>
      </c>
      <c r="B493" s="47" t="inlineStr">
        <is>
          <t>Unipar</t>
        </is>
      </c>
      <c r="C493" s="48" t="inlineStr">
        <is>
          <t>ON</t>
        </is>
      </c>
      <c r="D493" s="47" t="inlineStr">
        <is>
          <t>Materiais básicos</t>
        </is>
      </c>
      <c r="E493" s="47" t="inlineStr">
        <is>
          <t>Químicos</t>
        </is>
      </c>
      <c r="F493" s="47" t="inlineStr">
        <is>
          <t>Químicos diversos</t>
        </is>
      </c>
      <c r="G493" s="50" t="inlineStr">
        <is>
          <t>SIM</t>
        </is>
      </c>
      <c r="H493" s="51" t="inlineStr">
        <is>
          <t>DÓLAR</t>
        </is>
      </c>
    </row>
    <row r="494">
      <c r="A494" s="47" t="inlineStr">
        <is>
          <t>UNIP5</t>
        </is>
      </c>
      <c r="B494" s="47" t="inlineStr">
        <is>
          <t>Unipar</t>
        </is>
      </c>
      <c r="C494" s="48" t="inlineStr">
        <is>
          <t>PNA</t>
        </is>
      </c>
      <c r="D494" s="47" t="inlineStr">
        <is>
          <t>Materiais básicos</t>
        </is>
      </c>
      <c r="E494" s="47" t="inlineStr">
        <is>
          <t>Químicos</t>
        </is>
      </c>
      <c r="F494" s="47" t="inlineStr">
        <is>
          <t>Químicos diversos</t>
        </is>
      </c>
      <c r="G494" s="50" t="inlineStr">
        <is>
          <t>SIM</t>
        </is>
      </c>
      <c r="H494" s="51" t="inlineStr">
        <is>
          <t>DÓLAR</t>
        </is>
      </c>
    </row>
    <row r="495">
      <c r="A495" s="47" t="inlineStr">
        <is>
          <t>UNIP6</t>
        </is>
      </c>
      <c r="B495" s="47" t="inlineStr">
        <is>
          <t>Unipar</t>
        </is>
      </c>
      <c r="C495" s="48" t="inlineStr">
        <is>
          <t>PNB</t>
        </is>
      </c>
      <c r="D495" s="47" t="inlineStr">
        <is>
          <t>Materiais básicos</t>
        </is>
      </c>
      <c r="E495" s="47" t="inlineStr">
        <is>
          <t>Químicos</t>
        </is>
      </c>
      <c r="F495" s="47" t="inlineStr">
        <is>
          <t>Químicos diversos</t>
        </is>
      </c>
      <c r="G495" s="50" t="inlineStr">
        <is>
          <t>SIM</t>
        </is>
      </c>
      <c r="H495" s="51" t="inlineStr">
        <is>
          <t>DÓLAR</t>
        </is>
      </c>
    </row>
    <row r="496">
      <c r="A496" s="47" t="inlineStr">
        <is>
          <t>UPKP3</t>
        </is>
      </c>
      <c r="B496" s="47" t="inlineStr">
        <is>
          <t>Uptick</t>
        </is>
      </c>
      <c r="C496" s="48" t="inlineStr">
        <is>
          <t>ON</t>
        </is>
      </c>
      <c r="D496" s="47" t="inlineStr">
        <is>
          <t>Utilidade pública</t>
        </is>
      </c>
      <c r="E496" s="47" t="inlineStr">
        <is>
          <t>Energia elétrica</t>
        </is>
      </c>
      <c r="F496" s="47" t="inlineStr">
        <is>
          <t>Energia elétrica</t>
        </is>
      </c>
      <c r="G496" s="50" t="inlineStr">
        <is>
          <t>NÃO</t>
        </is>
      </c>
    </row>
    <row r="497">
      <c r="A497" s="47" t="inlineStr">
        <is>
          <t>USIM3</t>
        </is>
      </c>
      <c r="B497" s="47" t="inlineStr">
        <is>
          <t>Usiminas</t>
        </is>
      </c>
      <c r="C497" s="48" t="inlineStr">
        <is>
          <t>ON</t>
        </is>
      </c>
      <c r="D497" s="47" t="inlineStr">
        <is>
          <t>Materiais básicos</t>
        </is>
      </c>
      <c r="E497" s="47" t="inlineStr">
        <is>
          <t>Siderurgia e metalurgia</t>
        </is>
      </c>
      <c r="F497" s="47" t="inlineStr">
        <is>
          <t>Siderurgia</t>
        </is>
      </c>
      <c r="G497" s="50" t="inlineStr">
        <is>
          <t>SIM</t>
        </is>
      </c>
      <c r="H497" s="52" t="inlineStr">
        <is>
          <t>MINÉRIO/DÓLAR</t>
        </is>
      </c>
    </row>
    <row r="498">
      <c r="A498" s="47" t="inlineStr">
        <is>
          <t>USIM5</t>
        </is>
      </c>
      <c r="B498" s="47" t="inlineStr">
        <is>
          <t>Usiminas</t>
        </is>
      </c>
      <c r="C498" s="48" t="inlineStr">
        <is>
          <t>PNA</t>
        </is>
      </c>
      <c r="D498" s="47" t="inlineStr">
        <is>
          <t>Materiais básicos</t>
        </is>
      </c>
      <c r="E498" s="47" t="inlineStr">
        <is>
          <t>Siderurgia e metalurgia</t>
        </is>
      </c>
      <c r="F498" s="47" t="inlineStr">
        <is>
          <t>Siderurgia</t>
        </is>
      </c>
      <c r="G498" s="50" t="inlineStr">
        <is>
          <t>SIM</t>
        </is>
      </c>
      <c r="H498" s="52" t="inlineStr">
        <is>
          <t>MINÉRIO/DÓLAR</t>
        </is>
      </c>
    </row>
    <row r="499">
      <c r="A499" s="47" t="inlineStr">
        <is>
          <t>USIM6</t>
        </is>
      </c>
      <c r="B499" s="47" t="inlineStr">
        <is>
          <t>Usiminas</t>
        </is>
      </c>
      <c r="C499" s="48" t="inlineStr">
        <is>
          <t>PNB</t>
        </is>
      </c>
      <c r="D499" s="47" t="inlineStr">
        <is>
          <t>Materiais básicos</t>
        </is>
      </c>
      <c r="E499" s="47" t="inlineStr">
        <is>
          <t>Siderurgia e metalurgia</t>
        </is>
      </c>
      <c r="F499" s="47" t="inlineStr">
        <is>
          <t>Siderurgia</t>
        </is>
      </c>
      <c r="G499" s="50" t="inlineStr">
        <is>
          <t>SIM</t>
        </is>
      </c>
      <c r="H499" s="52" t="inlineStr">
        <is>
          <t>MINÉRIO/DÓLAR</t>
        </is>
      </c>
    </row>
    <row r="500">
      <c r="A500" s="47" t="inlineStr">
        <is>
          <t>VALE3</t>
        </is>
      </c>
      <c r="B500" s="47" t="inlineStr">
        <is>
          <t>Vale</t>
        </is>
      </c>
      <c r="C500" s="48" t="inlineStr">
        <is>
          <t>ON</t>
        </is>
      </c>
      <c r="D500" s="47" t="inlineStr">
        <is>
          <t>Materiais básicos</t>
        </is>
      </c>
      <c r="E500" s="47" t="inlineStr">
        <is>
          <t>Mineração</t>
        </is>
      </c>
      <c r="F500" s="47" t="inlineStr">
        <is>
          <t>Minerais metálicos</t>
        </is>
      </c>
      <c r="G500" s="50" t="inlineStr">
        <is>
          <t>SIM</t>
        </is>
      </c>
      <c r="H500" s="52" t="inlineStr">
        <is>
          <t>MINÉRIO/DÓLAR</t>
        </is>
      </c>
    </row>
    <row r="501">
      <c r="A501" s="47" t="inlineStr">
        <is>
          <t>VLID3</t>
        </is>
      </c>
      <c r="B501" s="47" t="inlineStr">
        <is>
          <t>Valid</t>
        </is>
      </c>
      <c r="C501" s="48" t="inlineStr">
        <is>
          <t>ON</t>
        </is>
      </c>
      <c r="D501" s="47" t="inlineStr">
        <is>
          <t>Bens industriais</t>
        </is>
      </c>
      <c r="E501" s="47" t="inlineStr">
        <is>
          <t>Serviços diversos</t>
        </is>
      </c>
      <c r="F501" s="47" t="inlineStr">
        <is>
          <t>Serviços diversos</t>
        </is>
      </c>
      <c r="G501" s="50" t="inlineStr">
        <is>
          <t>SIM</t>
        </is>
      </c>
      <c r="H501" s="51" t="inlineStr">
        <is>
          <t>TAXA DE JUROS/CRESCIMENTO ECONOMICO</t>
        </is>
      </c>
    </row>
    <row r="502">
      <c r="A502" s="47" t="inlineStr">
        <is>
          <t>VAMO3</t>
        </is>
      </c>
      <c r="B502" s="47" t="inlineStr">
        <is>
          <t>Vamos</t>
        </is>
      </c>
      <c r="C502" s="48" t="inlineStr">
        <is>
          <t>ON</t>
        </is>
      </c>
      <c r="D502" s="47" t="inlineStr">
        <is>
          <t>Consumo cíclico</t>
        </is>
      </c>
      <c r="E502" s="47" t="inlineStr">
        <is>
          <t>Diversos</t>
        </is>
      </c>
      <c r="F502" s="47" t="inlineStr">
        <is>
          <t>Aluguel de carros</t>
        </is>
      </c>
      <c r="G502" s="50" t="inlineStr">
        <is>
          <t>SIM</t>
        </is>
      </c>
      <c r="H502" s="51" t="inlineStr">
        <is>
          <t>TAXA DE JUROS/CRESCIMENTO ECONOMICO</t>
        </is>
      </c>
    </row>
    <row r="503">
      <c r="A503" s="47" t="inlineStr">
        <is>
          <t>VSTE3</t>
        </is>
      </c>
      <c r="B503" s="47" t="inlineStr">
        <is>
          <t>Veste</t>
        </is>
      </c>
      <c r="C503" s="48" t="inlineStr">
        <is>
          <t>ON</t>
        </is>
      </c>
      <c r="D503" s="47" t="inlineStr">
        <is>
          <t>Consumo cíclico</t>
        </is>
      </c>
      <c r="E503" s="47" t="inlineStr">
        <is>
          <t>Comércio</t>
        </is>
      </c>
      <c r="F503" s="47" t="inlineStr">
        <is>
          <t>Tecidos vestuário e calçados</t>
        </is>
      </c>
      <c r="G503" s="50" t="inlineStr">
        <is>
          <t>SIM</t>
        </is>
      </c>
      <c r="H503" s="51" t="inlineStr">
        <is>
          <t>TAXA DE JUROS/CRESCIMENTO ECONOMICO</t>
        </is>
      </c>
    </row>
    <row r="504">
      <c r="A504" s="47" t="inlineStr">
        <is>
          <t>VBBR3</t>
        </is>
      </c>
      <c r="B504" s="47" t="inlineStr">
        <is>
          <t>Vibra</t>
        </is>
      </c>
      <c r="C504" s="48" t="inlineStr">
        <is>
          <t>ON</t>
        </is>
      </c>
      <c r="D504" s="47" t="inlineStr">
        <is>
          <t>Petróleo gás e biocombustíveis</t>
        </is>
      </c>
      <c r="E504" s="47" t="inlineStr">
        <is>
          <t>Petróleo gás e biocombustíveis</t>
        </is>
      </c>
      <c r="F504" s="47" t="inlineStr">
        <is>
          <t>Exploração refino e distribuição</t>
        </is>
      </c>
      <c r="G504" s="50" t="inlineStr">
        <is>
          <t>SIM</t>
        </is>
      </c>
      <c r="H504" s="51" t="inlineStr">
        <is>
          <t>PETRÓLEO/DÓLAR</t>
        </is>
      </c>
    </row>
    <row r="505">
      <c r="A505" s="47" t="inlineStr">
        <is>
          <t>VTRU3</t>
        </is>
      </c>
      <c r="B505" s="47" t="inlineStr">
        <is>
          <t>Vitrueduca</t>
        </is>
      </c>
      <c r="C505" s="48" t="inlineStr">
        <is>
          <t>ON</t>
        </is>
      </c>
      <c r="D505" s="47" t="inlineStr">
        <is>
          <t>-</t>
        </is>
      </c>
      <c r="E505" s="47" t="inlineStr">
        <is>
          <t>-</t>
        </is>
      </c>
      <c r="F505" s="47" t="inlineStr">
        <is>
          <t>-</t>
        </is>
      </c>
    </row>
    <row r="506">
      <c r="A506" s="47" t="inlineStr">
        <is>
          <t>VITT3</t>
        </is>
      </c>
      <c r="B506" s="47" t="inlineStr">
        <is>
          <t>Vittia</t>
        </is>
      </c>
      <c r="C506" s="48" t="inlineStr">
        <is>
          <t>ON</t>
        </is>
      </c>
      <c r="D506" s="47" t="inlineStr">
        <is>
          <t>Materiais básicos</t>
        </is>
      </c>
      <c r="E506" s="47" t="inlineStr">
        <is>
          <t>Químicos</t>
        </is>
      </c>
      <c r="F506" s="47" t="inlineStr">
        <is>
          <t>Fertilizantes e defensivos</t>
        </is>
      </c>
      <c r="G506" s="50" t="inlineStr">
        <is>
          <t>SIM</t>
        </is>
      </c>
      <c r="H506" s="51" t="inlineStr">
        <is>
          <t>DÓLAR</t>
        </is>
      </c>
    </row>
    <row r="507">
      <c r="A507" s="47" t="inlineStr">
        <is>
          <t>VIVA3</t>
        </is>
      </c>
      <c r="B507" s="47" t="inlineStr">
        <is>
          <t>Vivara S.A.</t>
        </is>
      </c>
      <c r="C507" s="48" t="inlineStr">
        <is>
          <t>ON</t>
        </is>
      </c>
      <c r="D507" s="47" t="inlineStr">
        <is>
          <t>Consumo cíclico</t>
        </is>
      </c>
      <c r="E507" s="47" t="inlineStr">
        <is>
          <t>Tecidos vestuário e calçados</t>
        </is>
      </c>
      <c r="F507" s="47" t="inlineStr">
        <is>
          <t>Acessórios</t>
        </is>
      </c>
      <c r="G507" s="50" t="inlineStr">
        <is>
          <t>SIM</t>
        </is>
      </c>
      <c r="H507" s="51" t="inlineStr">
        <is>
          <t>TAXA DE JUROS/CRESCIMENTO ECONOMICO</t>
        </is>
      </c>
    </row>
    <row r="508">
      <c r="A508" s="47" t="inlineStr">
        <is>
          <t>VVEO3</t>
        </is>
      </c>
      <c r="B508" s="47" t="inlineStr">
        <is>
          <t>Viveo</t>
        </is>
      </c>
      <c r="C508" s="48" t="inlineStr">
        <is>
          <t>ON</t>
        </is>
      </c>
      <c r="D508" s="47" t="inlineStr">
        <is>
          <t>Saúde</t>
        </is>
      </c>
      <c r="E508" s="47" t="inlineStr">
        <is>
          <t>Comércio e distribuição</t>
        </is>
      </c>
      <c r="F508" s="47" t="inlineStr">
        <is>
          <t>Medicamentos e outros produtos</t>
        </is>
      </c>
      <c r="G508" s="50" t="inlineStr">
        <is>
          <t>NÃO</t>
        </is>
      </c>
    </row>
    <row r="509">
      <c r="A509" s="47" t="inlineStr">
        <is>
          <t>VIVR3</t>
        </is>
      </c>
      <c r="B509" s="47" t="inlineStr">
        <is>
          <t>Viver</t>
        </is>
      </c>
      <c r="C509" s="48" t="inlineStr">
        <is>
          <t>ON</t>
        </is>
      </c>
      <c r="D509" s="47" t="inlineStr">
        <is>
          <t>Consumo cíclico</t>
        </is>
      </c>
      <c r="E509" s="47" t="inlineStr">
        <is>
          <t>Construção civil</t>
        </is>
      </c>
      <c r="F509" s="47" t="inlineStr">
        <is>
          <t>Incorporações</t>
        </is>
      </c>
      <c r="G509" s="50" t="inlineStr">
        <is>
          <t>SIM</t>
        </is>
      </c>
      <c r="H509" s="51" t="inlineStr">
        <is>
          <t>TAXA DE JUROS/CRESCIMENTO ECONOMICO</t>
        </is>
      </c>
    </row>
    <row r="510">
      <c r="A510" s="47" t="inlineStr">
        <is>
          <t>VULC3</t>
        </is>
      </c>
      <c r="B510" s="47" t="inlineStr">
        <is>
          <t>Vulcabras</t>
        </is>
      </c>
      <c r="C510" s="48" t="inlineStr">
        <is>
          <t>ON</t>
        </is>
      </c>
      <c r="D510" s="47" t="inlineStr">
        <is>
          <t>Consumo cíclico</t>
        </is>
      </c>
      <c r="E510" s="47" t="inlineStr">
        <is>
          <t>Tecidos vestuário e calçados</t>
        </is>
      </c>
      <c r="F510" s="47" t="inlineStr">
        <is>
          <t>Calçados</t>
        </is>
      </c>
      <c r="G510" s="50" t="inlineStr">
        <is>
          <t>SIM</t>
        </is>
      </c>
      <c r="H510" s="51" t="inlineStr">
        <is>
          <t>TAXA DE JUROS/CRESCIMENTO ECONOMICO</t>
        </is>
      </c>
    </row>
    <row r="511">
      <c r="A511" s="47" t="inlineStr">
        <is>
          <t>LVTC3</t>
        </is>
      </c>
      <c r="B511" s="47" t="inlineStr">
        <is>
          <t>Wdc Networks</t>
        </is>
      </c>
      <c r="C511" s="48" t="inlineStr">
        <is>
          <t>ON</t>
        </is>
      </c>
      <c r="D511" s="47" t="inlineStr">
        <is>
          <t>Tecnologia da informação</t>
        </is>
      </c>
      <c r="E511" s="47" t="inlineStr">
        <is>
          <t>Programas e serviços</t>
        </is>
      </c>
      <c r="F511" s="47" t="inlineStr">
        <is>
          <t>Programas e serviços</t>
        </is>
      </c>
      <c r="G511" s="50" t="inlineStr">
        <is>
          <t>SIM</t>
        </is>
      </c>
      <c r="H511" s="51" t="inlineStr">
        <is>
          <t>TAXA DE JUROS/CRESCIMENTO ECONOMICO</t>
        </is>
      </c>
    </row>
    <row r="512">
      <c r="A512" s="47" t="inlineStr">
        <is>
          <t>WEGE3</t>
        </is>
      </c>
      <c r="B512" s="47" t="inlineStr">
        <is>
          <t>Weg</t>
        </is>
      </c>
      <c r="C512" s="48" t="inlineStr">
        <is>
          <t>ON</t>
        </is>
      </c>
      <c r="D512" s="47" t="inlineStr">
        <is>
          <t>Bens industriais</t>
        </is>
      </c>
      <c r="E512" s="47" t="inlineStr">
        <is>
          <t>Máquinas e equipamentos</t>
        </is>
      </c>
      <c r="F512" s="47" t="inlineStr">
        <is>
          <t>Motores compressores e outros</t>
        </is>
      </c>
      <c r="G512" s="50" t="inlineStr">
        <is>
          <t>SIM</t>
        </is>
      </c>
      <c r="H512" s="51" t="inlineStr">
        <is>
          <t>DÓLAR/CRESCIMENTO ECONOMICO MUNDIAL</t>
        </is>
      </c>
    </row>
    <row r="513">
      <c r="A513" s="47" t="inlineStr">
        <is>
          <t>WEST3</t>
        </is>
      </c>
      <c r="B513" s="47" t="inlineStr">
        <is>
          <t>Westwing</t>
        </is>
      </c>
      <c r="C513" s="48" t="inlineStr">
        <is>
          <t>ON</t>
        </is>
      </c>
      <c r="D513" s="47" t="inlineStr">
        <is>
          <t>Tecnologia da informação</t>
        </is>
      </c>
      <c r="E513" s="47" t="inlineStr">
        <is>
          <t>Programas e serviços</t>
        </is>
      </c>
      <c r="F513" s="47" t="inlineStr">
        <is>
          <t>Programas e serviços</t>
        </is>
      </c>
      <c r="G513" s="50" t="inlineStr">
        <is>
          <t>SIM</t>
        </is>
      </c>
      <c r="H513" s="51" t="inlineStr">
        <is>
          <t>TAXA DE JUROS/CRESCIMENTO ECONOMICO</t>
        </is>
      </c>
    </row>
    <row r="514">
      <c r="A514" s="47" t="inlineStr">
        <is>
          <t>MWET3</t>
        </is>
      </c>
      <c r="B514" s="47" t="inlineStr">
        <is>
          <t>Wetzel S/A</t>
        </is>
      </c>
      <c r="C514" s="48" t="inlineStr">
        <is>
          <t>ON</t>
        </is>
      </c>
      <c r="D514" s="47" t="inlineStr">
        <is>
          <t>Bens industriais</t>
        </is>
      </c>
      <c r="E514" s="47" t="inlineStr">
        <is>
          <t>Material de transporte</t>
        </is>
      </c>
      <c r="F514" s="47" t="inlineStr">
        <is>
          <t>Material rodoviário</t>
        </is>
      </c>
      <c r="G514" s="50" t="inlineStr">
        <is>
          <t>SIM</t>
        </is>
      </c>
      <c r="H514" s="51" t="inlineStr">
        <is>
          <t>TAXA DE JUROS/CRESCIMENTO ECONOMICO</t>
        </is>
      </c>
    </row>
    <row r="515">
      <c r="A515" s="47" t="inlineStr">
        <is>
          <t>MWET4</t>
        </is>
      </c>
      <c r="B515" s="47" t="inlineStr">
        <is>
          <t>Wetzel S/A</t>
        </is>
      </c>
      <c r="C515" s="48" t="inlineStr">
        <is>
          <t>PN</t>
        </is>
      </c>
      <c r="D515" s="47" t="inlineStr">
        <is>
          <t>Bens industriais</t>
        </is>
      </c>
      <c r="E515" s="47" t="inlineStr">
        <is>
          <t>Material de transporte</t>
        </is>
      </c>
      <c r="F515" s="47" t="inlineStr">
        <is>
          <t>Material rodoviário</t>
        </is>
      </c>
      <c r="G515" s="50" t="inlineStr">
        <is>
          <t>SIM</t>
        </is>
      </c>
      <c r="H515" s="51" t="inlineStr">
        <is>
          <t>TAXA DE JUROS/CRESCIMENTO ECONOMICO</t>
        </is>
      </c>
    </row>
    <row r="516">
      <c r="A516" s="47" t="inlineStr">
        <is>
          <t>WHRL3</t>
        </is>
      </c>
      <c r="B516" s="47" t="inlineStr">
        <is>
          <t>Whirlpool</t>
        </is>
      </c>
      <c r="C516" s="48" t="inlineStr">
        <is>
          <t>ON</t>
        </is>
      </c>
      <c r="D516" s="47" t="inlineStr">
        <is>
          <t>Consumo cíclico</t>
        </is>
      </c>
      <c r="E516" s="47" t="inlineStr">
        <is>
          <t>Utilidades domésticas</t>
        </is>
      </c>
      <c r="F516" s="47" t="inlineStr">
        <is>
          <t>Eletrodomésticos</t>
        </is>
      </c>
      <c r="G516" s="50" t="inlineStr">
        <is>
          <t>SIM</t>
        </is>
      </c>
      <c r="H516" s="51" t="inlineStr">
        <is>
          <t>TAXA DE JUROS/CRESCIMENTO ECONOMICO</t>
        </is>
      </c>
    </row>
    <row r="517">
      <c r="A517" s="47" t="inlineStr">
        <is>
          <t>WHRL4</t>
        </is>
      </c>
      <c r="B517" s="47" t="inlineStr">
        <is>
          <t>Whirlpool</t>
        </is>
      </c>
      <c r="C517" s="48" t="inlineStr">
        <is>
          <t>PN</t>
        </is>
      </c>
      <c r="D517" s="47" t="inlineStr">
        <is>
          <t>Consumo cíclico</t>
        </is>
      </c>
      <c r="E517" s="47" t="inlineStr">
        <is>
          <t>Utilidades domésticas</t>
        </is>
      </c>
      <c r="F517" s="47" t="inlineStr">
        <is>
          <t>Eletrodomésticos</t>
        </is>
      </c>
      <c r="G517" s="50" t="inlineStr">
        <is>
          <t>SIM</t>
        </is>
      </c>
      <c r="H517" s="51" t="inlineStr">
        <is>
          <t>TAXA DE JUROS/CRESCIMENTO ECONOMICO</t>
        </is>
      </c>
    </row>
    <row r="518">
      <c r="A518" s="47" t="inlineStr">
        <is>
          <t>PORT3</t>
        </is>
      </c>
      <c r="B518" s="47" t="inlineStr">
        <is>
          <t>Wilson Sons</t>
        </is>
      </c>
      <c r="C518" s="48" t="inlineStr">
        <is>
          <t>ON</t>
        </is>
      </c>
      <c r="D518" s="47" t="inlineStr">
        <is>
          <t>Bens industriais</t>
        </is>
      </c>
      <c r="E518" s="47" t="inlineStr">
        <is>
          <t>Transporte</t>
        </is>
      </c>
      <c r="F518" s="47" t="inlineStr">
        <is>
          <t>Serviços de apoio e armazenagem</t>
        </is>
      </c>
      <c r="G518" s="50" t="inlineStr">
        <is>
          <t>SIM</t>
        </is>
      </c>
      <c r="H518" s="51" t="inlineStr">
        <is>
          <t>TAXA DE JUROS/CRESCIMENTO ECONOMICO</t>
        </is>
      </c>
    </row>
    <row r="519">
      <c r="A519" s="47" t="inlineStr">
        <is>
          <t>WIZC3</t>
        </is>
      </c>
      <c r="B519" s="47" t="inlineStr">
        <is>
          <t>Wiz Co</t>
        </is>
      </c>
      <c r="C519" s="48" t="inlineStr">
        <is>
          <t>ON</t>
        </is>
      </c>
      <c r="D519" s="47" t="inlineStr">
        <is>
          <t>Financeiro</t>
        </is>
      </c>
      <c r="E519" s="47" t="inlineStr">
        <is>
          <t>Previdência e seguros</t>
        </is>
      </c>
      <c r="F519" s="47" t="inlineStr">
        <is>
          <t>Corretoras de seguros e resseguros</t>
        </is>
      </c>
      <c r="G519" s="50" t="inlineStr">
        <is>
          <t>NÃO</t>
        </is>
      </c>
    </row>
    <row r="520">
      <c r="A520" s="47" t="inlineStr">
        <is>
          <t>WLMM3</t>
        </is>
      </c>
      <c r="B520" s="47" t="inlineStr">
        <is>
          <t>Wlm Ind Com</t>
        </is>
      </c>
      <c r="C520" s="48" t="inlineStr">
        <is>
          <t>ON</t>
        </is>
      </c>
      <c r="D520" s="47" t="inlineStr">
        <is>
          <t>Bens industriais</t>
        </is>
      </c>
      <c r="E520" s="47" t="inlineStr">
        <is>
          <t>Comércio</t>
        </is>
      </c>
      <c r="F520" s="47" t="inlineStr">
        <is>
          <t>Material de transporte</t>
        </is>
      </c>
      <c r="G520" s="50" t="inlineStr">
        <is>
          <t>SIM</t>
        </is>
      </c>
      <c r="H520" s="51" t="inlineStr">
        <is>
          <t>TAXA DE JUROS/CRESCIMENTO ECONOMICO</t>
        </is>
      </c>
    </row>
    <row r="521">
      <c r="A521" s="47" t="inlineStr">
        <is>
          <t>WLMM4</t>
        </is>
      </c>
      <c r="B521" s="47" t="inlineStr">
        <is>
          <t>Wlm Ind Com</t>
        </is>
      </c>
      <c r="C521" s="48" t="inlineStr">
        <is>
          <t>PN</t>
        </is>
      </c>
      <c r="D521" s="47" t="inlineStr">
        <is>
          <t>Bens industriais</t>
        </is>
      </c>
      <c r="E521" s="47" t="inlineStr">
        <is>
          <t>Comércio</t>
        </is>
      </c>
      <c r="F521" s="47" t="inlineStr">
        <is>
          <t>Material de transporte</t>
        </is>
      </c>
      <c r="G521" s="50" t="inlineStr">
        <is>
          <t>SIM</t>
        </is>
      </c>
      <c r="H521" s="51" t="inlineStr">
        <is>
          <t>TAXA DE JUROS/CRESCIMENTO ECONOMICO</t>
        </is>
      </c>
    </row>
    <row r="522">
      <c r="A522" s="47" t="inlineStr">
        <is>
          <t>YBRA3</t>
        </is>
      </c>
      <c r="B522" s="47" t="inlineStr">
        <is>
          <t>Ybyra S/A</t>
        </is>
      </c>
      <c r="C522" s="48" t="inlineStr">
        <is>
          <t>ON</t>
        </is>
      </c>
      <c r="D522" s="47" t="inlineStr">
        <is>
          <t>Outros</t>
        </is>
      </c>
      <c r="E522" s="47" t="inlineStr">
        <is>
          <t>Outros</t>
        </is>
      </c>
      <c r="F522" s="47" t="inlineStr">
        <is>
          <t>Outros</t>
        </is>
      </c>
    </row>
    <row r="523">
      <c r="A523" s="47" t="inlineStr">
        <is>
          <t>YDUQ3</t>
        </is>
      </c>
      <c r="B523" s="47" t="inlineStr">
        <is>
          <t>Yduqs Part</t>
        </is>
      </c>
      <c r="C523" s="48" t="inlineStr">
        <is>
          <t>ON</t>
        </is>
      </c>
      <c r="D523" s="47" t="inlineStr">
        <is>
          <t>Consumo cíclico</t>
        </is>
      </c>
      <c r="E523" s="47" t="inlineStr">
        <is>
          <t>Diversos</t>
        </is>
      </c>
      <c r="F523" s="47" t="inlineStr">
        <is>
          <t>Serviços educacionais</t>
        </is>
      </c>
      <c r="G523" s="50" t="inlineStr">
        <is>
          <t>SIM</t>
        </is>
      </c>
      <c r="H523" s="51" t="inlineStr">
        <is>
          <t>TAXA DE JUROS/CRESCIMENTO ECONOMICO</t>
        </is>
      </c>
    </row>
    <row r="524">
      <c r="A524" s="47" t="inlineStr">
        <is>
          <t>ZAMP3</t>
        </is>
      </c>
      <c r="B524" s="47" t="inlineStr">
        <is>
          <t>Zamp S.A.</t>
        </is>
      </c>
      <c r="C524" s="48" t="inlineStr">
        <is>
          <t>ON</t>
        </is>
      </c>
      <c r="D524" s="47" t="inlineStr">
        <is>
          <t>Consumo cíclico</t>
        </is>
      </c>
      <c r="E524" s="47" t="inlineStr">
        <is>
          <t>Hotéis e restaurantes</t>
        </is>
      </c>
      <c r="F524" s="47" t="inlineStr">
        <is>
          <t>Restaurante e similares</t>
        </is>
      </c>
      <c r="G524" s="50" t="inlineStr">
        <is>
          <t>SIM</t>
        </is>
      </c>
      <c r="H524" s="51" t="inlineStr">
        <is>
          <t>TAXA DE JUROS/CRESCIMENTO ECONOMICO</t>
        </is>
      </c>
    </row>
    <row r="525">
      <c r="A525" s="47" t="inlineStr">
        <is>
          <t>ADHM3</t>
        </is>
      </c>
      <c r="B525" s="47" t="inlineStr">
        <is>
          <t>Advanced Digital Health Medicina Preventiva</t>
        </is>
      </c>
      <c r="C525" s="48" t="inlineStr">
        <is>
          <t>ON</t>
        </is>
      </c>
      <c r="D525" s="101" t="inlineStr">
        <is>
          <t>Saúde</t>
        </is>
      </c>
      <c r="G525" s="50" t="inlineStr">
        <is>
          <t>NÃO</t>
        </is>
      </c>
    </row>
  </sheetData>
  <autoFilter ref="A1:H524"/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9765625" defaultRowHeight="15" customHeight="1"/>
  <cols>
    <col width="7.59765625" customWidth="1" min="1" max="1"/>
    <col width="12.5" customWidth="1" min="2" max="2"/>
    <col width="15.59765625" customWidth="1" min="3" max="3"/>
    <col width="7.59765625" customWidth="1" min="4" max="26"/>
  </cols>
  <sheetData>
    <row r="1" ht="14.4" customHeight="1">
      <c r="A1" s="19" t="inlineStr">
        <is>
          <t>Ticker</t>
        </is>
      </c>
      <c r="B1" s="19" t="inlineStr">
        <is>
          <t>Nome</t>
        </is>
      </c>
      <c r="C1" s="20" t="inlineStr">
        <is>
          <t>Setor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4.4" customHeight="1">
      <c r="A2" s="19" t="inlineStr">
        <is>
          <t>RRRP3</t>
        </is>
      </c>
      <c r="B2" s="3" t="inlineStr">
        <is>
          <t>3r Petroleum</t>
        </is>
      </c>
      <c r="C2" s="21" t="inlineStr">
        <is>
          <t>Petróleo e Gas</t>
        </is>
      </c>
    </row>
    <row r="3" ht="14.4" customHeight="1">
      <c r="A3" s="19" t="inlineStr">
        <is>
          <t>TTEN3</t>
        </is>
      </c>
      <c r="B3" s="3" t="inlineStr">
        <is>
          <t>3tentos</t>
        </is>
      </c>
      <c r="C3" s="21" t="inlineStr">
        <is>
          <t>Agro e Pesca</t>
        </is>
      </c>
    </row>
    <row r="4" ht="14.4" customHeight="1">
      <c r="A4" s="19" t="inlineStr">
        <is>
          <t>QVQP3B</t>
        </is>
      </c>
      <c r="B4" s="3" t="inlineStr">
        <is>
          <t>524 Particip</t>
        </is>
      </c>
      <c r="C4" s="21" t="inlineStr">
        <is>
          <t>Energia Elétrica</t>
        </is>
      </c>
    </row>
    <row r="5" ht="14.4" customHeight="1">
      <c r="A5" s="19" t="inlineStr">
        <is>
          <t>ABCB4</t>
        </is>
      </c>
      <c r="B5" s="3" t="inlineStr">
        <is>
          <t>Abc Brasil</t>
        </is>
      </c>
      <c r="C5" s="21" t="inlineStr">
        <is>
          <t>Finanças e Seguros</t>
        </is>
      </c>
    </row>
    <row r="6" ht="14.4" customHeight="1">
      <c r="A6" s="19" t="inlineStr">
        <is>
          <t>EALT3</t>
        </is>
      </c>
      <c r="B6" s="3" t="inlineStr">
        <is>
          <t>Aco Altona</t>
        </is>
      </c>
      <c r="C6" s="21" t="inlineStr">
        <is>
          <t>Siderur &amp; Metalur</t>
        </is>
      </c>
    </row>
    <row r="7" ht="14.4" customHeight="1">
      <c r="A7" s="19" t="inlineStr">
        <is>
          <t>EALT4</t>
        </is>
      </c>
      <c r="B7" s="3" t="inlineStr">
        <is>
          <t>Aco Altona</t>
        </is>
      </c>
      <c r="C7" s="21" t="inlineStr">
        <is>
          <t>Siderur &amp; Metalur</t>
        </is>
      </c>
    </row>
    <row r="8" ht="14.4" customHeight="1">
      <c r="A8" s="19" t="inlineStr">
        <is>
          <t>AERI3</t>
        </is>
      </c>
      <c r="B8" s="3" t="inlineStr">
        <is>
          <t>Aeris</t>
        </is>
      </c>
      <c r="C8" s="21" t="inlineStr">
        <is>
          <t>Máquinas Indust</t>
        </is>
      </c>
    </row>
    <row r="9" ht="14.4" customHeight="1">
      <c r="A9" s="19" t="inlineStr">
        <is>
          <t>AESB3</t>
        </is>
      </c>
      <c r="B9" s="3" t="inlineStr">
        <is>
          <t>AES Brasil</t>
        </is>
      </c>
      <c r="C9" s="21" t="inlineStr">
        <is>
          <t>Energia Elétrica</t>
        </is>
      </c>
    </row>
    <row r="10" ht="14.4" customHeight="1">
      <c r="A10" s="19" t="inlineStr">
        <is>
          <t>AFLT3</t>
        </is>
      </c>
      <c r="B10" s="3" t="inlineStr">
        <is>
          <t>Afluente T</t>
        </is>
      </c>
      <c r="C10" s="21" t="inlineStr">
        <is>
          <t>Energia Elétrica</t>
        </is>
      </c>
    </row>
    <row r="11" ht="14.4" customHeight="1">
      <c r="A11" s="19" t="inlineStr">
        <is>
          <t>GRAO3</t>
        </is>
      </c>
      <c r="B11" s="3" t="inlineStr">
        <is>
          <t>Agribrasil</t>
        </is>
      </c>
      <c r="C11" s="21" t="inlineStr">
        <is>
          <t>Agro e Pesca</t>
        </is>
      </c>
    </row>
    <row r="12" ht="14.4" customHeight="1">
      <c r="A12" s="19" t="inlineStr">
        <is>
          <t>AGXY3</t>
        </is>
      </c>
      <c r="B12" s="3" t="inlineStr">
        <is>
          <t>Agrogalaxy</t>
        </is>
      </c>
      <c r="C12" s="21" t="inlineStr">
        <is>
          <t>Agro e Pesca</t>
        </is>
      </c>
    </row>
    <row r="13" ht="14.4" customHeight="1">
      <c r="A13" s="19" t="inlineStr">
        <is>
          <t>BRGE3</t>
        </is>
      </c>
      <c r="B13" s="3" t="inlineStr">
        <is>
          <t>Alfa Consorc</t>
        </is>
      </c>
      <c r="C13" s="21" t="inlineStr">
        <is>
          <t>Outros</t>
        </is>
      </c>
    </row>
    <row r="14" ht="14.4" customHeight="1">
      <c r="A14" s="19" t="inlineStr">
        <is>
          <t>BRGE5</t>
        </is>
      </c>
      <c r="B14" s="3" t="inlineStr">
        <is>
          <t>Alfa Consorc</t>
        </is>
      </c>
      <c r="C14" s="21" t="inlineStr">
        <is>
          <t>Outros</t>
        </is>
      </c>
    </row>
    <row r="15" ht="14.4" customHeight="1">
      <c r="A15" s="19" t="inlineStr">
        <is>
          <t>BRGE6</t>
        </is>
      </c>
      <c r="B15" s="3" t="inlineStr">
        <is>
          <t>Alfa Consorc</t>
        </is>
      </c>
      <c r="C15" s="21" t="inlineStr">
        <is>
          <t>Outros</t>
        </is>
      </c>
    </row>
    <row r="16" ht="14.4" customHeight="1">
      <c r="A16" s="19" t="inlineStr">
        <is>
          <t>BRGE7</t>
        </is>
      </c>
      <c r="B16" s="3" t="inlineStr">
        <is>
          <t>Alfa Consorc</t>
        </is>
      </c>
      <c r="C16" s="21" t="inlineStr">
        <is>
          <t>Outros</t>
        </is>
      </c>
    </row>
    <row r="17" ht="14.4" customHeight="1">
      <c r="A17" s="19" t="inlineStr">
        <is>
          <t>BRGE8</t>
        </is>
      </c>
      <c r="B17" s="3" t="inlineStr">
        <is>
          <t>Alfa Consorc</t>
        </is>
      </c>
      <c r="C17" s="21" t="inlineStr">
        <is>
          <t>Outros</t>
        </is>
      </c>
    </row>
    <row r="18" ht="14.4" customHeight="1">
      <c r="A18" s="19" t="inlineStr">
        <is>
          <t>BRGE11</t>
        </is>
      </c>
      <c r="B18" s="3" t="inlineStr">
        <is>
          <t>Alfa Consorc</t>
        </is>
      </c>
      <c r="C18" s="21" t="inlineStr">
        <is>
          <t>Outros</t>
        </is>
      </c>
    </row>
    <row r="19" ht="14.4" customHeight="1">
      <c r="A19" s="19" t="inlineStr">
        <is>
          <t>BRGE12</t>
        </is>
      </c>
      <c r="B19" s="3" t="inlineStr">
        <is>
          <t>Alfa Consorc</t>
        </is>
      </c>
      <c r="C19" s="21" t="inlineStr">
        <is>
          <t>Outros</t>
        </is>
      </c>
    </row>
    <row r="20" ht="14.4" customHeight="1">
      <c r="A20" s="19" t="inlineStr">
        <is>
          <t>CRIV3</t>
        </is>
      </c>
      <c r="B20" s="3" t="inlineStr">
        <is>
          <t>Alfa Financ</t>
        </is>
      </c>
      <c r="C20" s="21" t="inlineStr">
        <is>
          <t>Finanças e Seguros</t>
        </is>
      </c>
    </row>
    <row r="21" ht="15.75" customHeight="1">
      <c r="A21" s="19" t="inlineStr">
        <is>
          <t>CRIV4</t>
        </is>
      </c>
      <c r="B21" s="3" t="inlineStr">
        <is>
          <t>Alfa Financ</t>
        </is>
      </c>
      <c r="C21" s="21" t="inlineStr">
        <is>
          <t>Finanças e Seguros</t>
        </is>
      </c>
    </row>
    <row r="22" ht="15.75" customHeight="1">
      <c r="A22" s="19" t="inlineStr">
        <is>
          <t>RPAD3</t>
        </is>
      </c>
      <c r="B22" s="3" t="inlineStr">
        <is>
          <t>Alfa Holding</t>
        </is>
      </c>
      <c r="C22" s="21" t="inlineStr">
        <is>
          <t>Outros</t>
        </is>
      </c>
    </row>
    <row r="23" ht="15.75" customHeight="1">
      <c r="A23" s="19" t="inlineStr">
        <is>
          <t>RPAD5</t>
        </is>
      </c>
      <c r="B23" s="3" t="inlineStr">
        <is>
          <t>Alfa Holding</t>
        </is>
      </c>
      <c r="C23" s="21" t="inlineStr">
        <is>
          <t>Outros</t>
        </is>
      </c>
    </row>
    <row r="24" ht="15.75" customHeight="1">
      <c r="A24" s="19" t="inlineStr">
        <is>
          <t>RPAD6</t>
        </is>
      </c>
      <c r="B24" s="3" t="inlineStr">
        <is>
          <t>Alfa Holding</t>
        </is>
      </c>
      <c r="C24" s="21" t="inlineStr">
        <is>
          <t>Outros</t>
        </is>
      </c>
    </row>
    <row r="25" ht="15.75" customHeight="1">
      <c r="A25" s="19" t="inlineStr">
        <is>
          <t>BRIV3</t>
        </is>
      </c>
      <c r="B25" s="3" t="inlineStr">
        <is>
          <t>Alfa Invest</t>
        </is>
      </c>
      <c r="C25" s="21" t="inlineStr">
        <is>
          <t>Finanças e Seguros</t>
        </is>
      </c>
    </row>
    <row r="26" ht="15.75" customHeight="1">
      <c r="A26" s="19" t="inlineStr">
        <is>
          <t>BRIV4</t>
        </is>
      </c>
      <c r="B26" s="3" t="inlineStr">
        <is>
          <t>Alfa Invest</t>
        </is>
      </c>
      <c r="C26" s="21" t="inlineStr">
        <is>
          <t>Finanças e Seguros</t>
        </is>
      </c>
    </row>
    <row r="27" ht="15.75" customHeight="1">
      <c r="A27" s="19" t="inlineStr">
        <is>
          <t>ALSO3</t>
        </is>
      </c>
      <c r="B27" s="3" t="inlineStr">
        <is>
          <t>Alianscsonae</t>
        </is>
      </c>
      <c r="C27" s="21" t="inlineStr">
        <is>
          <t>Outros</t>
        </is>
      </c>
    </row>
    <row r="28" ht="15.75" customHeight="1">
      <c r="A28" s="19" t="inlineStr">
        <is>
          <t>APTI3</t>
        </is>
      </c>
      <c r="B28" s="3" t="inlineStr">
        <is>
          <t>Aliperti</t>
        </is>
      </c>
      <c r="C28" s="21" t="inlineStr">
        <is>
          <t>Siderur &amp; Metalur</t>
        </is>
      </c>
    </row>
    <row r="29" ht="15.75" customHeight="1">
      <c r="A29" s="19" t="inlineStr">
        <is>
          <t>APTI4</t>
        </is>
      </c>
      <c r="B29" s="3" t="inlineStr">
        <is>
          <t>Aliperti</t>
        </is>
      </c>
      <c r="C29" s="21" t="inlineStr">
        <is>
          <t>Siderur &amp; Metalur</t>
        </is>
      </c>
    </row>
    <row r="30" ht="15.75" customHeight="1">
      <c r="A30" s="19" t="inlineStr">
        <is>
          <t>FRRN3B</t>
        </is>
      </c>
      <c r="B30" s="3" t="inlineStr">
        <is>
          <t>All Norte</t>
        </is>
      </c>
      <c r="C30" s="21" t="inlineStr">
        <is>
          <t>Transporte Serviç</t>
        </is>
      </c>
    </row>
    <row r="31" ht="15.75" customHeight="1">
      <c r="A31" s="19" t="inlineStr">
        <is>
          <t>FRRN5B</t>
        </is>
      </c>
      <c r="B31" s="3" t="inlineStr">
        <is>
          <t>All Norte</t>
        </is>
      </c>
      <c r="C31" s="21" t="inlineStr">
        <is>
          <t>Transporte Serviç</t>
        </is>
      </c>
    </row>
    <row r="32" ht="15.75" customHeight="1">
      <c r="A32" s="19" t="inlineStr">
        <is>
          <t>FRRN6B</t>
        </is>
      </c>
      <c r="B32" s="3" t="inlineStr">
        <is>
          <t>All Norte</t>
        </is>
      </c>
      <c r="C32" s="21" t="inlineStr">
        <is>
          <t>Transporte Serviç</t>
        </is>
      </c>
    </row>
    <row r="33" ht="15.75" customHeight="1">
      <c r="A33" s="19" t="inlineStr">
        <is>
          <t>AALR3</t>
        </is>
      </c>
      <c r="B33" s="3" t="inlineStr">
        <is>
          <t>Alliar</t>
        </is>
      </c>
      <c r="C33" s="21" t="inlineStr">
        <is>
          <t>Outros</t>
        </is>
      </c>
    </row>
    <row r="34" ht="15.75" customHeight="1">
      <c r="A34" s="19" t="inlineStr">
        <is>
          <t>ALLD3</t>
        </is>
      </c>
      <c r="B34" s="3" t="inlineStr">
        <is>
          <t>Allied</t>
        </is>
      </c>
      <c r="C34" s="21" t="inlineStr">
        <is>
          <t>Comércio</t>
        </is>
      </c>
    </row>
    <row r="35" ht="15.75" customHeight="1">
      <c r="A35" s="19" t="inlineStr">
        <is>
          <t>ALPA3</t>
        </is>
      </c>
      <c r="B35" s="3" t="inlineStr">
        <is>
          <t>Alpargatas</t>
        </is>
      </c>
      <c r="C35" s="21" t="inlineStr">
        <is>
          <t>Textil</t>
        </is>
      </c>
    </row>
    <row r="36" ht="15.75" customHeight="1">
      <c r="A36" s="19" t="inlineStr">
        <is>
          <t>ALPA4</t>
        </is>
      </c>
      <c r="B36" s="3" t="inlineStr">
        <is>
          <t>Alpargatas</t>
        </is>
      </c>
      <c r="C36" s="21" t="inlineStr">
        <is>
          <t>Textil</t>
        </is>
      </c>
    </row>
    <row r="37" ht="15.75" customHeight="1">
      <c r="A37" s="19" t="inlineStr">
        <is>
          <t>APER3</t>
        </is>
      </c>
      <c r="B37" s="3" t="inlineStr">
        <is>
          <t>Alper S.A.</t>
        </is>
      </c>
      <c r="C37" s="21" t="inlineStr">
        <is>
          <t>Finanças e Seguros</t>
        </is>
      </c>
    </row>
    <row r="38" ht="15.75" customHeight="1">
      <c r="A38" s="19" t="inlineStr">
        <is>
          <t>AVLL3</t>
        </is>
      </c>
      <c r="B38" s="3" t="inlineStr">
        <is>
          <t>Alphaville</t>
        </is>
      </c>
      <c r="C38" s="21" t="inlineStr">
        <is>
          <t>Construção</t>
        </is>
      </c>
    </row>
    <row r="39" ht="15.75" customHeight="1">
      <c r="A39" s="19" t="inlineStr">
        <is>
          <t>ALUP3</t>
        </is>
      </c>
      <c r="B39" s="3" t="inlineStr">
        <is>
          <t>Alupar</t>
        </is>
      </c>
      <c r="C39" s="21" t="inlineStr">
        <is>
          <t>Energia Elétrica</t>
        </is>
      </c>
    </row>
    <row r="40" ht="15.75" customHeight="1">
      <c r="A40" s="19" t="inlineStr">
        <is>
          <t>ALUP4</t>
        </is>
      </c>
      <c r="B40" s="3" t="inlineStr">
        <is>
          <t>Alupar</t>
        </is>
      </c>
      <c r="C40" s="21" t="inlineStr">
        <is>
          <t>Energia Elétrica</t>
        </is>
      </c>
    </row>
    <row r="41" ht="15.75" customHeight="1">
      <c r="A41" s="19" t="inlineStr">
        <is>
          <t>ALUP11</t>
        </is>
      </c>
      <c r="B41" s="3" t="inlineStr">
        <is>
          <t>Alupar</t>
        </is>
      </c>
      <c r="C41" s="21" t="inlineStr">
        <is>
          <t>Energia Elétrica</t>
        </is>
      </c>
    </row>
    <row r="42" ht="15.75" customHeight="1">
      <c r="A42" s="19" t="inlineStr">
        <is>
          <t>BAZA3</t>
        </is>
      </c>
      <c r="B42" s="3" t="inlineStr">
        <is>
          <t>Amazonia</t>
        </is>
      </c>
      <c r="C42" s="21" t="inlineStr">
        <is>
          <t>Finanças e Seguros</t>
        </is>
      </c>
    </row>
    <row r="43" ht="15.75" customHeight="1">
      <c r="A43" s="19" t="inlineStr">
        <is>
          <t>ABEV3</t>
        </is>
      </c>
      <c r="B43" s="3" t="inlineStr">
        <is>
          <t>Ambev S/A</t>
        </is>
      </c>
      <c r="C43" s="21" t="inlineStr">
        <is>
          <t>Alimentos e Beb</t>
        </is>
      </c>
    </row>
    <row r="44" ht="15.75" customHeight="1">
      <c r="A44" s="19" t="inlineStr">
        <is>
          <t>AMBP3</t>
        </is>
      </c>
      <c r="B44" s="3" t="inlineStr">
        <is>
          <t>Ambipar</t>
        </is>
      </c>
      <c r="C44" s="21" t="inlineStr">
        <is>
          <t>Outros</t>
        </is>
      </c>
    </row>
    <row r="45" ht="15.75" customHeight="1">
      <c r="A45" s="19" t="inlineStr">
        <is>
          <t>AMER3</t>
        </is>
      </c>
      <c r="B45" s="3" t="inlineStr">
        <is>
          <t>Americanas</t>
        </is>
      </c>
      <c r="C45" s="21" t="inlineStr">
        <is>
          <t>Comércio</t>
        </is>
      </c>
    </row>
    <row r="46" ht="15.75" customHeight="1">
      <c r="A46" s="19" t="inlineStr">
        <is>
          <t>CBEE3</t>
        </is>
      </c>
      <c r="B46" s="3" t="inlineStr">
        <is>
          <t>Ampla Energ</t>
        </is>
      </c>
      <c r="C46" s="21" t="inlineStr">
        <is>
          <t>Energia Elétrica</t>
        </is>
      </c>
    </row>
    <row r="47" ht="15.75" customHeight="1">
      <c r="A47" s="19" t="inlineStr">
        <is>
          <t>ANIM3</t>
        </is>
      </c>
      <c r="B47" s="3" t="inlineStr">
        <is>
          <t>Anima</t>
        </is>
      </c>
      <c r="C47" s="21" t="inlineStr">
        <is>
          <t>Outros</t>
        </is>
      </c>
    </row>
    <row r="48" ht="15.75" customHeight="1">
      <c r="A48" s="19" t="inlineStr">
        <is>
          <t>ARZZ3</t>
        </is>
      </c>
      <c r="B48" s="3" t="inlineStr">
        <is>
          <t>Arezzo Co</t>
        </is>
      </c>
      <c r="C48" s="21" t="inlineStr">
        <is>
          <t>Textil</t>
        </is>
      </c>
    </row>
    <row r="49" ht="15.75" customHeight="1">
      <c r="A49" s="19" t="inlineStr">
        <is>
          <t>ARML3</t>
        </is>
      </c>
      <c r="B49" s="3" t="inlineStr">
        <is>
          <t>Armac</t>
        </is>
      </c>
      <c r="C49" s="21" t="inlineStr">
        <is>
          <t>Outros</t>
        </is>
      </c>
    </row>
    <row r="50" ht="15.75" customHeight="1">
      <c r="A50" s="19" t="inlineStr">
        <is>
          <t>ASAI3</t>
        </is>
      </c>
      <c r="B50" s="3" t="inlineStr">
        <is>
          <t>Assai</t>
        </is>
      </c>
      <c r="C50" s="21" t="inlineStr">
        <is>
          <t>Comércio</t>
        </is>
      </c>
    </row>
    <row r="51" ht="15.75" customHeight="1">
      <c r="A51" s="19" t="inlineStr">
        <is>
          <t>ATMP3</t>
        </is>
      </c>
      <c r="B51" s="3" t="inlineStr">
        <is>
          <t>Atmasa</t>
        </is>
      </c>
      <c r="C51" s="21" t="inlineStr">
        <is>
          <t>Outros</t>
        </is>
      </c>
    </row>
    <row r="52" ht="15.75" customHeight="1">
      <c r="A52" s="19" t="inlineStr">
        <is>
          <t>ATOM3</t>
        </is>
      </c>
      <c r="B52" s="3" t="inlineStr">
        <is>
          <t>Atompar</t>
        </is>
      </c>
      <c r="C52" s="21" t="inlineStr">
        <is>
          <t>Telecomunicações</t>
        </is>
      </c>
    </row>
    <row r="53" ht="15.75" customHeight="1">
      <c r="A53" s="19" t="inlineStr">
        <is>
          <t>AURA33</t>
        </is>
      </c>
      <c r="B53" s="3" t="inlineStr">
        <is>
          <t>Aura 360</t>
        </is>
      </c>
      <c r="C53" s="21" t="inlineStr">
        <is>
          <t>Mineração</t>
        </is>
      </c>
    </row>
    <row r="54" ht="15.75" customHeight="1">
      <c r="A54" s="19" t="inlineStr">
        <is>
          <t>AZEV3</t>
        </is>
      </c>
      <c r="B54" s="3" t="inlineStr">
        <is>
          <t>Azevedo</t>
        </is>
      </c>
      <c r="C54" s="21" t="inlineStr">
        <is>
          <t>Construção</t>
        </is>
      </c>
    </row>
    <row r="55" ht="15.75" customHeight="1">
      <c r="A55" s="19" t="inlineStr">
        <is>
          <t>AZEV4</t>
        </is>
      </c>
      <c r="B55" s="3" t="inlineStr">
        <is>
          <t>Azevedo</t>
        </is>
      </c>
      <c r="C55" s="21" t="inlineStr">
        <is>
          <t>Construção</t>
        </is>
      </c>
    </row>
    <row r="56" ht="15.75" customHeight="1">
      <c r="A56" s="19" t="inlineStr">
        <is>
          <t>AZUL4</t>
        </is>
      </c>
      <c r="B56" s="3" t="inlineStr">
        <is>
          <t>Azul</t>
        </is>
      </c>
      <c r="C56" s="21" t="inlineStr">
        <is>
          <t>Transporte Serviç</t>
        </is>
      </c>
    </row>
    <row r="57" ht="15.75" customHeight="1">
      <c r="A57" s="19" t="inlineStr">
        <is>
          <t>BLUT3</t>
        </is>
      </c>
      <c r="B57" s="3" t="inlineStr">
        <is>
          <t>B Tech Eqi</t>
        </is>
      </c>
      <c r="C57" s="21" t="inlineStr">
        <is>
          <t>Alimentos e Beb</t>
        </is>
      </c>
    </row>
    <row r="58" ht="15.75" customHeight="1">
      <c r="A58" s="19" t="inlineStr">
        <is>
          <t>BLUT4</t>
        </is>
      </c>
      <c r="B58" s="3" t="inlineStr">
        <is>
          <t>B Tech Eqi</t>
        </is>
      </c>
      <c r="C58" s="21" t="inlineStr">
        <is>
          <t>Alimentos e Beb</t>
        </is>
      </c>
    </row>
    <row r="59" ht="15.75" customHeight="1">
      <c r="A59" s="19" t="inlineStr">
        <is>
          <t>B3SA3</t>
        </is>
      </c>
      <c r="B59" s="3" t="inlineStr">
        <is>
          <t>B3</t>
        </is>
      </c>
      <c r="C59" s="21" t="inlineStr">
        <is>
          <t>Finanças e Seguros</t>
        </is>
      </c>
    </row>
    <row r="60" ht="15.75" customHeight="1">
      <c r="A60" s="19" t="inlineStr">
        <is>
          <t>BAHI3</t>
        </is>
      </c>
      <c r="B60" s="3" t="inlineStr">
        <is>
          <t>Bahema</t>
        </is>
      </c>
      <c r="C60" s="21" t="inlineStr">
        <is>
          <t>Outros</t>
        </is>
      </c>
    </row>
    <row r="61" ht="15.75" customHeight="1">
      <c r="A61" s="19" t="inlineStr">
        <is>
          <t>BMGB4</t>
        </is>
      </c>
      <c r="B61" s="3" t="inlineStr">
        <is>
          <t>Banco BMG</t>
        </is>
      </c>
      <c r="C61" s="21" t="inlineStr">
        <is>
          <t>Finanças e Seguros</t>
        </is>
      </c>
    </row>
    <row r="62" ht="15.75" customHeight="1">
      <c r="A62" s="19" t="inlineStr">
        <is>
          <t>BIDI3</t>
        </is>
      </c>
      <c r="B62" s="3" t="inlineStr">
        <is>
          <t>Banco Inter</t>
        </is>
      </c>
      <c r="C62" s="21" t="inlineStr">
        <is>
          <t>Finanças e Seguros</t>
        </is>
      </c>
    </row>
    <row r="63" ht="15.75" customHeight="1">
      <c r="A63" s="19" t="inlineStr">
        <is>
          <t>BIDI4</t>
        </is>
      </c>
      <c r="B63" s="3" t="inlineStr">
        <is>
          <t>Banco Inter</t>
        </is>
      </c>
      <c r="C63" s="21" t="inlineStr">
        <is>
          <t>Finanças e Seguros</t>
        </is>
      </c>
    </row>
    <row r="64" ht="15.75" customHeight="1">
      <c r="A64" s="19" t="inlineStr">
        <is>
          <t>BIDI11</t>
        </is>
      </c>
      <c r="B64" s="3" t="inlineStr">
        <is>
          <t>Banco Inter</t>
        </is>
      </c>
      <c r="C64" s="21" t="inlineStr">
        <is>
          <t>Finanças e Seguros</t>
        </is>
      </c>
    </row>
    <row r="65" ht="15.75" customHeight="1">
      <c r="A65" s="19" t="inlineStr">
        <is>
          <t>BPAN4</t>
        </is>
      </c>
      <c r="B65" s="3" t="inlineStr">
        <is>
          <t>Banco Pan</t>
        </is>
      </c>
      <c r="C65" s="21" t="inlineStr">
        <is>
          <t>Finanças e Seguros</t>
        </is>
      </c>
    </row>
    <row r="66" ht="15.75" customHeight="1">
      <c r="A66" s="19" t="inlineStr">
        <is>
          <t>BGIP3</t>
        </is>
      </c>
      <c r="B66" s="3" t="inlineStr">
        <is>
          <t>Banese</t>
        </is>
      </c>
      <c r="C66" s="21" t="inlineStr">
        <is>
          <t>Finanças e Seguros</t>
        </is>
      </c>
    </row>
    <row r="67" ht="15.75" customHeight="1">
      <c r="A67" s="19" t="inlineStr">
        <is>
          <t>BGIP4</t>
        </is>
      </c>
      <c r="B67" s="3" t="inlineStr">
        <is>
          <t>Banese</t>
        </is>
      </c>
      <c r="C67" s="21" t="inlineStr">
        <is>
          <t>Finanças e Seguros</t>
        </is>
      </c>
    </row>
    <row r="68" ht="15.75" customHeight="1">
      <c r="A68" s="19" t="inlineStr">
        <is>
          <t>BEES3</t>
        </is>
      </c>
      <c r="B68" s="3" t="inlineStr">
        <is>
          <t>Banestes</t>
        </is>
      </c>
      <c r="C68" s="21" t="inlineStr">
        <is>
          <t>Finanças e Seguros</t>
        </is>
      </c>
    </row>
    <row r="69" ht="15.75" customHeight="1">
      <c r="A69" s="19" t="inlineStr">
        <is>
          <t>BEES4</t>
        </is>
      </c>
      <c r="B69" s="3" t="inlineStr">
        <is>
          <t>Banestes</t>
        </is>
      </c>
      <c r="C69" s="21" t="inlineStr">
        <is>
          <t>Finanças e Seguros</t>
        </is>
      </c>
    </row>
    <row r="70" ht="15.75" customHeight="1">
      <c r="A70" s="19" t="inlineStr">
        <is>
          <t>BPAR3</t>
        </is>
      </c>
      <c r="B70" s="3" t="inlineStr">
        <is>
          <t>Banpara</t>
        </is>
      </c>
      <c r="C70" s="21" t="inlineStr">
        <is>
          <t>Finanças e Seguros</t>
        </is>
      </c>
    </row>
    <row r="71" ht="15.75" customHeight="1">
      <c r="A71" s="19" t="inlineStr">
        <is>
          <t>BRSR3</t>
        </is>
      </c>
      <c r="B71" s="3" t="inlineStr">
        <is>
          <t>Banrisul</t>
        </is>
      </c>
      <c r="C71" s="21" t="inlineStr">
        <is>
          <t>Finanças e Seguros</t>
        </is>
      </c>
    </row>
    <row r="72" ht="15.75" customHeight="1">
      <c r="A72" s="19" t="inlineStr">
        <is>
          <t>BRSR5</t>
        </is>
      </c>
      <c r="B72" s="3" t="inlineStr">
        <is>
          <t>Banrisul</t>
        </is>
      </c>
      <c r="C72" s="21" t="inlineStr">
        <is>
          <t>Finanças e Seguros</t>
        </is>
      </c>
    </row>
    <row r="73" ht="15.75" customHeight="1">
      <c r="A73" s="19" t="inlineStr">
        <is>
          <t>BRSR6</t>
        </is>
      </c>
      <c r="B73" s="3" t="inlineStr">
        <is>
          <t>Banrisul</t>
        </is>
      </c>
      <c r="C73" s="21" t="inlineStr">
        <is>
          <t>Finanças e Seguros</t>
        </is>
      </c>
    </row>
    <row r="74" ht="15.75" customHeight="1">
      <c r="A74" s="19" t="inlineStr">
        <is>
          <t>BDLL3</t>
        </is>
      </c>
      <c r="B74" s="3" t="inlineStr">
        <is>
          <t>Bardella</t>
        </is>
      </c>
      <c r="C74" s="21" t="inlineStr">
        <is>
          <t>Máquinas Indust</t>
        </is>
      </c>
    </row>
    <row r="75" ht="15.75" customHeight="1">
      <c r="A75" s="19" t="inlineStr">
        <is>
          <t>BDLL4</t>
        </is>
      </c>
      <c r="B75" s="3" t="inlineStr">
        <is>
          <t>Bardella</t>
        </is>
      </c>
      <c r="C75" s="21" t="inlineStr">
        <is>
          <t>Máquinas Indust</t>
        </is>
      </c>
    </row>
    <row r="76" ht="15.75" customHeight="1">
      <c r="A76" s="19" t="inlineStr">
        <is>
          <t>BALM3</t>
        </is>
      </c>
      <c r="B76" s="3" t="inlineStr">
        <is>
          <t>Baumer</t>
        </is>
      </c>
      <c r="C76" s="21" t="inlineStr">
        <is>
          <t>Outros</t>
        </is>
      </c>
    </row>
    <row r="77" ht="15.75" customHeight="1">
      <c r="A77" s="19" t="inlineStr">
        <is>
          <t>BALM4</t>
        </is>
      </c>
      <c r="B77" s="3" t="inlineStr">
        <is>
          <t>Baumer</t>
        </is>
      </c>
      <c r="C77" s="21" t="inlineStr">
        <is>
          <t>Outros</t>
        </is>
      </c>
    </row>
    <row r="78" ht="15.75" customHeight="1">
      <c r="A78" s="19" t="inlineStr">
        <is>
          <t>BBML3</t>
        </is>
      </c>
      <c r="B78" s="3" t="inlineStr">
        <is>
          <t>Bbmlogistica</t>
        </is>
      </c>
      <c r="C78" s="21" t="inlineStr">
        <is>
          <t>Transporte Serviç</t>
        </is>
      </c>
    </row>
    <row r="79" ht="15.75" customHeight="1">
      <c r="A79" s="19" t="inlineStr">
        <is>
          <t>BBSE3</t>
        </is>
      </c>
      <c r="B79" s="3" t="inlineStr">
        <is>
          <t>BBSeguridade</t>
        </is>
      </c>
      <c r="C79" s="21" t="inlineStr">
        <is>
          <t>Finanças e Seguros</t>
        </is>
      </c>
    </row>
    <row r="80" ht="15.75" customHeight="1">
      <c r="A80" s="19" t="inlineStr">
        <is>
          <t>BMOB3</t>
        </is>
      </c>
      <c r="B80" s="3" t="inlineStr">
        <is>
          <t>Bemobi Tech</t>
        </is>
      </c>
      <c r="C80" s="21" t="inlineStr">
        <is>
          <t>Software e Dados</t>
        </is>
      </c>
    </row>
    <row r="81" ht="15.75" customHeight="1">
      <c r="A81" s="19" t="inlineStr">
        <is>
          <t>BETP3B</t>
        </is>
      </c>
      <c r="B81" s="3" t="inlineStr">
        <is>
          <t>Betapart</t>
        </is>
      </c>
      <c r="C81" s="21" t="inlineStr">
        <is>
          <t>Finanças e Seguros</t>
        </is>
      </c>
    </row>
    <row r="82" ht="15.75" customHeight="1">
      <c r="A82" s="19" t="inlineStr">
        <is>
          <t>BMKS3</t>
        </is>
      </c>
      <c r="B82" s="3" t="inlineStr">
        <is>
          <t>Bic Monark</t>
        </is>
      </c>
      <c r="C82" s="21" t="inlineStr">
        <is>
          <t>Veiculos e peças</t>
        </is>
      </c>
    </row>
    <row r="83" ht="15.75" customHeight="1">
      <c r="A83" s="19" t="inlineStr">
        <is>
          <t>BIOM3</t>
        </is>
      </c>
      <c r="B83" s="3" t="inlineStr">
        <is>
          <t>Biomm</t>
        </is>
      </c>
      <c r="C83" s="21" t="inlineStr">
        <is>
          <t>Outros</t>
        </is>
      </c>
    </row>
    <row r="84" ht="15.75" customHeight="1">
      <c r="A84" s="19" t="inlineStr">
        <is>
          <t>BKBR3</t>
        </is>
      </c>
      <c r="B84" s="3" t="inlineStr">
        <is>
          <t>Bk Brasil</t>
        </is>
      </c>
      <c r="C84" s="21" t="inlineStr">
        <is>
          <t>Outros</t>
        </is>
      </c>
    </row>
    <row r="85" ht="15.75" customHeight="1">
      <c r="A85" s="19" t="inlineStr">
        <is>
          <t>BLAU3</t>
        </is>
      </c>
      <c r="B85" s="3" t="inlineStr">
        <is>
          <t>Blau</t>
        </is>
      </c>
      <c r="C85" s="21" t="inlineStr">
        <is>
          <t>Química</t>
        </is>
      </c>
    </row>
    <row r="86" ht="15.75" customHeight="1">
      <c r="A86" s="19" t="inlineStr">
        <is>
          <t>SOJA3</t>
        </is>
      </c>
      <c r="B86" s="3" t="inlineStr">
        <is>
          <t>Boa Safra</t>
        </is>
      </c>
      <c r="C86" s="21" t="inlineStr">
        <is>
          <t>Agro e Pesca</t>
        </is>
      </c>
    </row>
    <row r="87" ht="15.75" customHeight="1">
      <c r="A87" s="19" t="inlineStr">
        <is>
          <t>BOAS3</t>
        </is>
      </c>
      <c r="B87" s="3" t="inlineStr">
        <is>
          <t>Boa Vista</t>
        </is>
      </c>
      <c r="C87" s="21" t="inlineStr">
        <is>
          <t>Software e Dados</t>
        </is>
      </c>
    </row>
    <row r="88" ht="15.75" customHeight="1">
      <c r="A88" s="19" t="inlineStr">
        <is>
          <t>BOBR3</t>
        </is>
      </c>
      <c r="B88" s="3" t="inlineStr">
        <is>
          <t>Bombril</t>
        </is>
      </c>
      <c r="C88" s="21" t="inlineStr">
        <is>
          <t>Química</t>
        </is>
      </c>
    </row>
    <row r="89" ht="15.75" customHeight="1">
      <c r="A89" s="19" t="inlineStr">
        <is>
          <t>BOBR4</t>
        </is>
      </c>
      <c r="B89" s="3" t="inlineStr">
        <is>
          <t>Bombril</t>
        </is>
      </c>
      <c r="C89" s="21" t="inlineStr">
        <is>
          <t>Química</t>
        </is>
      </c>
    </row>
    <row r="90" ht="15.75" customHeight="1">
      <c r="A90" s="19" t="inlineStr">
        <is>
          <t>BBRK3</t>
        </is>
      </c>
      <c r="B90" s="3" t="inlineStr">
        <is>
          <t>BR Brokers</t>
        </is>
      </c>
      <c r="C90" s="21" t="inlineStr">
        <is>
          <t>Outros</t>
        </is>
      </c>
    </row>
    <row r="91" ht="15.75" customHeight="1">
      <c r="A91" s="19" t="inlineStr">
        <is>
          <t>BRML3</t>
        </is>
      </c>
      <c r="B91" s="3" t="inlineStr">
        <is>
          <t>BR Malls Par</t>
        </is>
      </c>
      <c r="C91" s="21" t="inlineStr">
        <is>
          <t>Outros</t>
        </is>
      </c>
    </row>
    <row r="92" ht="15.75" customHeight="1">
      <c r="A92" s="19" t="inlineStr">
        <is>
          <t>BRBI11</t>
        </is>
      </c>
      <c r="B92" s="3" t="inlineStr">
        <is>
          <t>BR Partners</t>
        </is>
      </c>
      <c r="C92" s="21" t="inlineStr">
        <is>
          <t>Finanças e Seguros</t>
        </is>
      </c>
    </row>
    <row r="93" ht="15.75" customHeight="1">
      <c r="A93" s="19" t="inlineStr">
        <is>
          <t>BRPR3</t>
        </is>
      </c>
      <c r="B93" s="3" t="inlineStr">
        <is>
          <t>BR Propert</t>
        </is>
      </c>
      <c r="C93" s="21" t="inlineStr">
        <is>
          <t>Outros</t>
        </is>
      </c>
    </row>
    <row r="94" ht="15.75" customHeight="1">
      <c r="A94" s="19" t="inlineStr">
        <is>
          <t>BBDC3</t>
        </is>
      </c>
      <c r="B94" s="3" t="inlineStr">
        <is>
          <t>Bradesco</t>
        </is>
      </c>
      <c r="C94" s="21" t="inlineStr">
        <is>
          <t>Finanças e Seguros</t>
        </is>
      </c>
    </row>
    <row r="95" ht="15.75" customHeight="1">
      <c r="A95" s="19" t="inlineStr">
        <is>
          <t>BBDC4</t>
        </is>
      </c>
      <c r="B95" s="3" t="inlineStr">
        <is>
          <t>Bradesco</t>
        </is>
      </c>
      <c r="C95" s="21" t="inlineStr">
        <is>
          <t>Finanças e Seguros</t>
        </is>
      </c>
    </row>
    <row r="96" ht="15.75" customHeight="1">
      <c r="A96" s="19" t="inlineStr">
        <is>
          <t>BRAP3</t>
        </is>
      </c>
      <c r="B96" s="3" t="inlineStr">
        <is>
          <t>Bradespar</t>
        </is>
      </c>
      <c r="C96" s="21" t="inlineStr">
        <is>
          <t>Outros</t>
        </is>
      </c>
    </row>
    <row r="97" ht="15.75" customHeight="1">
      <c r="A97" s="19" t="inlineStr">
        <is>
          <t>BRAP4</t>
        </is>
      </c>
      <c r="B97" s="3" t="inlineStr">
        <is>
          <t>Bradespar</t>
        </is>
      </c>
      <c r="C97" s="21" t="inlineStr">
        <is>
          <t>Outros</t>
        </is>
      </c>
    </row>
    <row r="98" ht="15.75" customHeight="1">
      <c r="A98" s="19" t="inlineStr">
        <is>
          <t>BBAS3</t>
        </is>
      </c>
      <c r="B98" s="3" t="inlineStr">
        <is>
          <t>Brasil</t>
        </is>
      </c>
      <c r="C98" s="21" t="inlineStr">
        <is>
          <t>Finanças e Seguros</t>
        </is>
      </c>
    </row>
    <row r="99" ht="15.75" customHeight="1">
      <c r="A99" s="19" t="inlineStr">
        <is>
          <t>AGRO3</t>
        </is>
      </c>
      <c r="B99" s="3" t="inlineStr">
        <is>
          <t>Brasilagro</t>
        </is>
      </c>
      <c r="C99" s="21" t="inlineStr">
        <is>
          <t>Agro e Pesca</t>
        </is>
      </c>
    </row>
    <row r="100" ht="15.75" customHeight="1">
      <c r="A100" s="19" t="inlineStr">
        <is>
          <t>BRKM3</t>
        </is>
      </c>
      <c r="B100" s="3" t="inlineStr">
        <is>
          <t>Braskem</t>
        </is>
      </c>
      <c r="C100" s="21" t="inlineStr">
        <is>
          <t>Química</t>
        </is>
      </c>
    </row>
    <row r="101" ht="15.75" customHeight="1">
      <c r="A101" s="19" t="inlineStr">
        <is>
          <t>BRKM5</t>
        </is>
      </c>
      <c r="B101" s="3" t="inlineStr">
        <is>
          <t>Braskem</t>
        </is>
      </c>
      <c r="C101" s="21" t="inlineStr">
        <is>
          <t>Química</t>
        </is>
      </c>
    </row>
    <row r="102" ht="15.75" customHeight="1">
      <c r="A102" s="19" t="inlineStr">
        <is>
          <t>BRKM6</t>
        </is>
      </c>
      <c r="B102" s="3" t="inlineStr">
        <is>
          <t>Braskem</t>
        </is>
      </c>
      <c r="C102" s="21" t="inlineStr">
        <is>
          <t>Química</t>
        </is>
      </c>
    </row>
    <row r="103" ht="15.75" customHeight="1">
      <c r="A103" s="19" t="inlineStr">
        <is>
          <t>BSLI3</t>
        </is>
      </c>
      <c r="B103" s="3" t="inlineStr">
        <is>
          <t>BRB Banco</t>
        </is>
      </c>
      <c r="C103" s="21" t="inlineStr">
        <is>
          <t>Finanças e Seguros</t>
        </is>
      </c>
    </row>
    <row r="104" ht="15.75" customHeight="1">
      <c r="A104" s="19" t="inlineStr">
        <is>
          <t>BSLI4</t>
        </is>
      </c>
      <c r="B104" s="3" t="inlineStr">
        <is>
          <t>BRB Banco</t>
        </is>
      </c>
      <c r="C104" s="21" t="inlineStr">
        <is>
          <t>Finanças e Seguros</t>
        </is>
      </c>
    </row>
    <row r="105" ht="15.75" customHeight="1">
      <c r="A105" s="19" t="inlineStr">
        <is>
          <t>BRFS3</t>
        </is>
      </c>
      <c r="B105" s="3" t="inlineStr">
        <is>
          <t>BRF SA</t>
        </is>
      </c>
      <c r="C105" s="21" t="inlineStr">
        <is>
          <t>Alimentos e Beb</t>
        </is>
      </c>
    </row>
    <row r="106" ht="15.75" customHeight="1">
      <c r="A106" s="19" t="inlineStr">
        <is>
          <t>BRIT3</t>
        </is>
      </c>
      <c r="B106" s="3" t="inlineStr">
        <is>
          <t>Brisanet</t>
        </is>
      </c>
      <c r="C106" s="21" t="inlineStr">
        <is>
          <t>Outros</t>
        </is>
      </c>
    </row>
    <row r="107" ht="15.75" customHeight="1">
      <c r="A107" s="19" t="inlineStr">
        <is>
          <t>BRQB3</t>
        </is>
      </c>
      <c r="B107" s="3" t="inlineStr">
        <is>
          <t>Brq</t>
        </is>
      </c>
      <c r="C107" s="21" t="inlineStr">
        <is>
          <t>Software e Dados</t>
        </is>
      </c>
    </row>
    <row r="108" ht="15.75" customHeight="1">
      <c r="A108" s="19" t="inlineStr">
        <is>
          <t>BPAC3</t>
        </is>
      </c>
      <c r="B108" s="3" t="inlineStr">
        <is>
          <t>Btgp Banco</t>
        </is>
      </c>
      <c r="C108" s="21" t="inlineStr">
        <is>
          <t>Finanças e Seguros</t>
        </is>
      </c>
    </row>
    <row r="109" ht="15.75" customHeight="1">
      <c r="A109" s="19" t="inlineStr">
        <is>
          <t>BPAC5</t>
        </is>
      </c>
      <c r="B109" s="3" t="inlineStr">
        <is>
          <t>Btgp Banco</t>
        </is>
      </c>
      <c r="C109" s="21" t="inlineStr">
        <is>
          <t>Finanças e Seguros</t>
        </is>
      </c>
    </row>
    <row r="110" ht="15.75" customHeight="1">
      <c r="A110" s="19" t="inlineStr">
        <is>
          <t>BPAC11</t>
        </is>
      </c>
      <c r="B110" s="3" t="inlineStr">
        <is>
          <t>Btgp Banco</t>
        </is>
      </c>
      <c r="C110" s="21" t="inlineStr">
        <is>
          <t>Finanças e Seguros</t>
        </is>
      </c>
    </row>
    <row r="111" ht="15.75" customHeight="1">
      <c r="A111" s="19" t="inlineStr">
        <is>
          <t>CABI3B</t>
        </is>
      </c>
      <c r="B111" s="3" t="inlineStr">
        <is>
          <t>Cabinda Part</t>
        </is>
      </c>
      <c r="C111" s="21" t="inlineStr">
        <is>
          <t>Outros</t>
        </is>
      </c>
    </row>
    <row r="112" ht="15.75" customHeight="1">
      <c r="A112" s="19" t="inlineStr">
        <is>
          <t>CACO3B</t>
        </is>
      </c>
      <c r="B112" s="3" t="inlineStr">
        <is>
          <t>Caconde Part</t>
        </is>
      </c>
      <c r="C112" s="21" t="inlineStr">
        <is>
          <t>Outros</t>
        </is>
      </c>
    </row>
    <row r="113" ht="15.75" customHeight="1">
      <c r="A113" s="19" t="inlineStr">
        <is>
          <t>CXSE3</t>
        </is>
      </c>
      <c r="B113" s="3" t="inlineStr">
        <is>
          <t>Caixa Seguri</t>
        </is>
      </c>
      <c r="C113" s="21" t="inlineStr">
        <is>
          <t>Finanças e Seguros</t>
        </is>
      </c>
    </row>
    <row r="114" ht="15.75" customHeight="1">
      <c r="A114" s="19" t="inlineStr">
        <is>
          <t>CAMB3</t>
        </is>
      </c>
      <c r="B114" s="3" t="inlineStr">
        <is>
          <t>Cambuci</t>
        </is>
      </c>
      <c r="C114" s="21" t="inlineStr">
        <is>
          <t>Textil</t>
        </is>
      </c>
    </row>
    <row r="115" ht="15.75" customHeight="1">
      <c r="A115" s="19" t="inlineStr">
        <is>
          <t>CAML3</t>
        </is>
      </c>
      <c r="B115" s="3" t="inlineStr">
        <is>
          <t>Camil</t>
        </is>
      </c>
      <c r="C115" s="21" t="inlineStr">
        <is>
          <t>Alimentos e Beb</t>
        </is>
      </c>
    </row>
    <row r="116" ht="15.75" customHeight="1">
      <c r="A116" s="19" t="inlineStr">
        <is>
          <t>CRFB3</t>
        </is>
      </c>
      <c r="B116" s="3" t="inlineStr">
        <is>
          <t>Carrefour BR</t>
        </is>
      </c>
      <c r="C116" s="21" t="inlineStr">
        <is>
          <t>Comércio</t>
        </is>
      </c>
    </row>
    <row r="117" ht="15.75" customHeight="1">
      <c r="A117" s="19" t="inlineStr">
        <is>
          <t>CASN3</t>
        </is>
      </c>
      <c r="B117" s="3" t="inlineStr">
        <is>
          <t>Casan</t>
        </is>
      </c>
      <c r="C117" s="21" t="inlineStr">
        <is>
          <t>Outros</t>
        </is>
      </c>
    </row>
    <row r="118" ht="15.75" customHeight="1">
      <c r="A118" s="19" t="inlineStr">
        <is>
          <t>CASN4</t>
        </is>
      </c>
      <c r="B118" s="3" t="inlineStr">
        <is>
          <t>Casan</t>
        </is>
      </c>
      <c r="C118" s="21" t="inlineStr">
        <is>
          <t>Outros</t>
        </is>
      </c>
    </row>
    <row r="119" ht="15.75" customHeight="1">
      <c r="A119" s="19" t="inlineStr">
        <is>
          <t>CBAV3</t>
        </is>
      </c>
      <c r="B119" s="3" t="inlineStr">
        <is>
          <t>Cba</t>
        </is>
      </c>
      <c r="C119" s="21" t="inlineStr">
        <is>
          <t>Mineração</t>
        </is>
      </c>
    </row>
    <row r="120" ht="15.75" customHeight="1">
      <c r="A120" s="19" t="inlineStr">
        <is>
          <t>CCRO3</t>
        </is>
      </c>
      <c r="B120" s="3" t="inlineStr">
        <is>
          <t>CCR SA</t>
        </is>
      </c>
      <c r="C120" s="21" t="inlineStr">
        <is>
          <t>Transporte Serviç</t>
        </is>
      </c>
    </row>
    <row r="121" ht="15.75" customHeight="1">
      <c r="A121" s="19" t="inlineStr">
        <is>
          <t>CEAB3</t>
        </is>
      </c>
      <c r="B121" s="3" t="inlineStr">
        <is>
          <t>Cea Modas</t>
        </is>
      </c>
      <c r="C121" s="21" t="inlineStr">
        <is>
          <t>Comércio</t>
        </is>
      </c>
    </row>
    <row r="122" ht="15.75" customHeight="1">
      <c r="A122" s="19" t="inlineStr">
        <is>
          <t>CEBR3</t>
        </is>
      </c>
      <c r="B122" s="3" t="inlineStr">
        <is>
          <t>Ceb</t>
        </is>
      </c>
      <c r="C122" s="21" t="inlineStr">
        <is>
          <t>Energia Elétrica</t>
        </is>
      </c>
    </row>
    <row r="123" ht="15.75" customHeight="1">
      <c r="A123" s="19" t="inlineStr">
        <is>
          <t>CEBR5</t>
        </is>
      </c>
      <c r="B123" s="3" t="inlineStr">
        <is>
          <t>Ceb</t>
        </is>
      </c>
      <c r="C123" s="21" t="inlineStr">
        <is>
          <t>Energia Elétrica</t>
        </is>
      </c>
    </row>
    <row r="124" ht="15.75" customHeight="1">
      <c r="A124" s="19" t="inlineStr">
        <is>
          <t>CEBR6</t>
        </is>
      </c>
      <c r="B124" s="3" t="inlineStr">
        <is>
          <t>Ceb</t>
        </is>
      </c>
      <c r="C124" s="21" t="inlineStr">
        <is>
          <t>Energia Elétrica</t>
        </is>
      </c>
    </row>
    <row r="125" ht="15.75" customHeight="1">
      <c r="A125" s="19" t="inlineStr">
        <is>
          <t>CEDO3</t>
        </is>
      </c>
      <c r="B125" s="3" t="inlineStr">
        <is>
          <t>Cedro</t>
        </is>
      </c>
      <c r="C125" s="21" t="inlineStr">
        <is>
          <t>Textil</t>
        </is>
      </c>
    </row>
    <row r="126" ht="15.75" customHeight="1">
      <c r="A126" s="19" t="inlineStr">
        <is>
          <t>CEDO4</t>
        </is>
      </c>
      <c r="B126" s="3" t="inlineStr">
        <is>
          <t>Cedro</t>
        </is>
      </c>
      <c r="C126" s="21" t="inlineStr">
        <is>
          <t>Textil</t>
        </is>
      </c>
    </row>
    <row r="127" ht="15.75" customHeight="1">
      <c r="A127" s="19" t="inlineStr">
        <is>
          <t>CEED3</t>
        </is>
      </c>
      <c r="B127" s="3" t="inlineStr">
        <is>
          <t>Ceee-D</t>
        </is>
      </c>
      <c r="C127" s="21" t="inlineStr">
        <is>
          <t>Energia Elétrica</t>
        </is>
      </c>
    </row>
    <row r="128" ht="15.75" customHeight="1">
      <c r="A128" s="19" t="inlineStr">
        <is>
          <t>CEED4</t>
        </is>
      </c>
      <c r="B128" s="3" t="inlineStr">
        <is>
          <t>Ceee-D</t>
        </is>
      </c>
      <c r="C128" s="21" t="inlineStr">
        <is>
          <t>Energia Elétrica</t>
        </is>
      </c>
    </row>
    <row r="129" ht="15.75" customHeight="1">
      <c r="A129" s="19" t="inlineStr">
        <is>
          <t>EEEL3</t>
        </is>
      </c>
      <c r="B129" s="3" t="inlineStr">
        <is>
          <t>Ceee-T</t>
        </is>
      </c>
      <c r="C129" s="21" t="inlineStr">
        <is>
          <t>Energia Elétrica</t>
        </is>
      </c>
    </row>
    <row r="130" ht="15.75" customHeight="1">
      <c r="A130" s="19" t="inlineStr">
        <is>
          <t>EEEL4</t>
        </is>
      </c>
      <c r="B130" s="3" t="inlineStr">
        <is>
          <t>Ceee-T</t>
        </is>
      </c>
      <c r="C130" s="21" t="inlineStr">
        <is>
          <t>Energia Elétrica</t>
        </is>
      </c>
    </row>
    <row r="131" ht="15.75" customHeight="1">
      <c r="A131" s="19" t="inlineStr">
        <is>
          <t>CEGR3</t>
        </is>
      </c>
      <c r="B131" s="3" t="inlineStr">
        <is>
          <t>Ceg</t>
        </is>
      </c>
      <c r="C131" s="21" t="inlineStr">
        <is>
          <t>Petróleo e Gas</t>
        </is>
      </c>
    </row>
    <row r="132" ht="15.75" customHeight="1">
      <c r="A132" s="19" t="inlineStr">
        <is>
          <t>CLSC3</t>
        </is>
      </c>
      <c r="B132" s="3" t="inlineStr">
        <is>
          <t>Celesc</t>
        </is>
      </c>
      <c r="C132" s="21" t="inlineStr">
        <is>
          <t>Energia Elétrica</t>
        </is>
      </c>
    </row>
    <row r="133" ht="15.75" customHeight="1">
      <c r="A133" s="19" t="inlineStr">
        <is>
          <t>CLSC4</t>
        </is>
      </c>
      <c r="B133" s="3" t="inlineStr">
        <is>
          <t>Celesc</t>
        </is>
      </c>
      <c r="C133" s="21" t="inlineStr">
        <is>
          <t>Energia Elétrica</t>
        </is>
      </c>
    </row>
    <row r="134" ht="15.75" customHeight="1">
      <c r="A134" s="19" t="inlineStr">
        <is>
          <t>GPAR3</t>
        </is>
      </c>
      <c r="B134" s="3" t="inlineStr">
        <is>
          <t>Celgpar</t>
        </is>
      </c>
      <c r="C134" s="21" t="inlineStr">
        <is>
          <t>Energia Elétrica</t>
        </is>
      </c>
    </row>
    <row r="135" ht="15.75" customHeight="1">
      <c r="A135" s="19" t="inlineStr">
        <is>
          <t>CEPE3</t>
        </is>
      </c>
      <c r="B135" s="3" t="inlineStr">
        <is>
          <t>Celpe</t>
        </is>
      </c>
      <c r="C135" s="21" t="inlineStr">
        <is>
          <t>Energia Elétrica</t>
        </is>
      </c>
    </row>
    <row r="136" ht="15.75" customHeight="1">
      <c r="A136" s="19" t="inlineStr">
        <is>
          <t>CEPE5</t>
        </is>
      </c>
      <c r="B136" s="3" t="inlineStr">
        <is>
          <t>Celpe</t>
        </is>
      </c>
      <c r="C136" s="21" t="inlineStr">
        <is>
          <t>Energia Elétrica</t>
        </is>
      </c>
    </row>
    <row r="137" ht="15.75" customHeight="1">
      <c r="A137" s="19" t="inlineStr">
        <is>
          <t>CEPE6</t>
        </is>
      </c>
      <c r="B137" s="3" t="inlineStr">
        <is>
          <t>Celpe</t>
        </is>
      </c>
      <c r="C137" s="21" t="inlineStr">
        <is>
          <t>Energia Elétrica</t>
        </is>
      </c>
    </row>
    <row r="138" ht="15.75" customHeight="1">
      <c r="A138" s="19" t="inlineStr">
        <is>
          <t>MAPT3</t>
        </is>
      </c>
      <c r="B138" s="3" t="inlineStr">
        <is>
          <t>Cemepe</t>
        </is>
      </c>
      <c r="C138" s="21" t="inlineStr">
        <is>
          <t>Outros</t>
        </is>
      </c>
    </row>
    <row r="139" ht="15.75" customHeight="1">
      <c r="A139" s="19" t="inlineStr">
        <is>
          <t>MAPT4</t>
        </is>
      </c>
      <c r="B139" s="3" t="inlineStr">
        <is>
          <t>Cemepe</t>
        </is>
      </c>
      <c r="C139" s="21" t="inlineStr">
        <is>
          <t>Outros</t>
        </is>
      </c>
    </row>
    <row r="140" ht="15.75" customHeight="1">
      <c r="A140" s="19" t="inlineStr">
        <is>
          <t>CMIG3</t>
        </is>
      </c>
      <c r="B140" s="3" t="inlineStr">
        <is>
          <t>Cemig</t>
        </is>
      </c>
      <c r="C140" s="21" t="inlineStr">
        <is>
          <t>Energia Elétrica</t>
        </is>
      </c>
    </row>
    <row r="141" ht="15.75" customHeight="1">
      <c r="A141" s="19" t="inlineStr">
        <is>
          <t>CMIG4</t>
        </is>
      </c>
      <c r="B141" s="3" t="inlineStr">
        <is>
          <t>Cemig</t>
        </is>
      </c>
      <c r="C141" s="21" t="inlineStr">
        <is>
          <t>Energia Elétrica</t>
        </is>
      </c>
    </row>
    <row r="142" ht="15.75" customHeight="1">
      <c r="A142" s="19" t="inlineStr">
        <is>
          <t>CESP3</t>
        </is>
      </c>
      <c r="B142" s="3" t="inlineStr">
        <is>
          <t>Cesp</t>
        </is>
      </c>
      <c r="C142" s="21" t="inlineStr">
        <is>
          <t>Energia Elétrica</t>
        </is>
      </c>
    </row>
    <row r="143" ht="15.75" customHeight="1">
      <c r="A143" s="19" t="inlineStr">
        <is>
          <t>CESP5</t>
        </is>
      </c>
      <c r="B143" s="3" t="inlineStr">
        <is>
          <t>Cesp</t>
        </is>
      </c>
      <c r="C143" s="21" t="inlineStr">
        <is>
          <t>Energia Elétrica</t>
        </is>
      </c>
    </row>
    <row r="144" ht="15.75" customHeight="1">
      <c r="A144" s="19" t="inlineStr">
        <is>
          <t>CESP6</t>
        </is>
      </c>
      <c r="B144" s="3" t="inlineStr">
        <is>
          <t>Cesp</t>
        </is>
      </c>
      <c r="C144" s="21" t="inlineStr">
        <is>
          <t>Energia Elétrica</t>
        </is>
      </c>
    </row>
    <row r="145" ht="15.75" customHeight="1">
      <c r="A145" s="19" t="inlineStr">
        <is>
          <t>CIEL3</t>
        </is>
      </c>
      <c r="B145" s="3" t="inlineStr">
        <is>
          <t>Cielo</t>
        </is>
      </c>
      <c r="C145" s="21" t="inlineStr">
        <is>
          <t>Software e Dados</t>
        </is>
      </c>
    </row>
    <row r="146" ht="15.75" customHeight="1">
      <c r="A146" s="19" t="inlineStr">
        <is>
          <t>CMSA3</t>
        </is>
      </c>
      <c r="B146" s="3" t="inlineStr">
        <is>
          <t>Cims</t>
        </is>
      </c>
      <c r="C146" s="21" t="inlineStr">
        <is>
          <t>Outros</t>
        </is>
      </c>
    </row>
    <row r="147" ht="15.75" customHeight="1">
      <c r="A147" s="19" t="inlineStr">
        <is>
          <t>CMSA4</t>
        </is>
      </c>
      <c r="B147" s="3" t="inlineStr">
        <is>
          <t>Cims</t>
        </is>
      </c>
      <c r="C147" s="21" t="inlineStr">
        <is>
          <t>Outros</t>
        </is>
      </c>
    </row>
    <row r="148" ht="15.75" customHeight="1">
      <c r="A148" s="19" t="inlineStr">
        <is>
          <t>CNSY3</t>
        </is>
      </c>
      <c r="B148" s="3" t="inlineStr">
        <is>
          <t>Cinesystem</t>
        </is>
      </c>
      <c r="C148" s="21" t="inlineStr">
        <is>
          <t>Outros</t>
        </is>
      </c>
    </row>
    <row r="149" ht="15.75" customHeight="1">
      <c r="A149" s="19" t="inlineStr">
        <is>
          <t>CLSA3</t>
        </is>
      </c>
      <c r="B149" s="3" t="inlineStr">
        <is>
          <t>Clearsale</t>
        </is>
      </c>
      <c r="C149" s="21" t="inlineStr">
        <is>
          <t>Comércio</t>
        </is>
      </c>
    </row>
    <row r="150" ht="15.75" customHeight="1">
      <c r="A150" s="19" t="inlineStr">
        <is>
          <t>CEEB3</t>
        </is>
      </c>
      <c r="B150" s="3" t="inlineStr">
        <is>
          <t>Coelba</t>
        </is>
      </c>
      <c r="C150" s="21" t="inlineStr">
        <is>
          <t>Energia Elétrica</t>
        </is>
      </c>
    </row>
    <row r="151" ht="15.75" customHeight="1">
      <c r="A151" s="19" t="inlineStr">
        <is>
          <t>CEEB5</t>
        </is>
      </c>
      <c r="B151" s="3" t="inlineStr">
        <is>
          <t>Coelba</t>
        </is>
      </c>
      <c r="C151" s="21" t="inlineStr">
        <is>
          <t>Energia Elétrica</t>
        </is>
      </c>
    </row>
    <row r="152" ht="15.75" customHeight="1">
      <c r="A152" s="19" t="inlineStr">
        <is>
          <t>CEEB6</t>
        </is>
      </c>
      <c r="B152" s="3" t="inlineStr">
        <is>
          <t>Coelba</t>
        </is>
      </c>
      <c r="C152" s="21" t="inlineStr">
        <is>
          <t>Energia Elétrica</t>
        </is>
      </c>
    </row>
    <row r="153" ht="15.75" customHeight="1">
      <c r="A153" s="19" t="inlineStr">
        <is>
          <t>COCE3</t>
        </is>
      </c>
      <c r="B153" s="3" t="inlineStr">
        <is>
          <t>Coelce</t>
        </is>
      </c>
      <c r="C153" s="21" t="inlineStr">
        <is>
          <t>Energia Elétrica</t>
        </is>
      </c>
    </row>
    <row r="154" ht="15.75" customHeight="1">
      <c r="A154" s="19" t="inlineStr">
        <is>
          <t>COCE5</t>
        </is>
      </c>
      <c r="B154" s="3" t="inlineStr">
        <is>
          <t>Coelce</t>
        </is>
      </c>
      <c r="C154" s="21" t="inlineStr">
        <is>
          <t>Energia Elétrica</t>
        </is>
      </c>
    </row>
    <row r="155" ht="15.75" customHeight="1">
      <c r="A155" s="19" t="inlineStr">
        <is>
          <t>COCE6</t>
        </is>
      </c>
      <c r="B155" s="3" t="inlineStr">
        <is>
          <t>Coelce</t>
        </is>
      </c>
      <c r="C155" s="21" t="inlineStr">
        <is>
          <t>Energia Elétrica</t>
        </is>
      </c>
    </row>
    <row r="156" ht="15.75" customHeight="1">
      <c r="A156" s="19" t="inlineStr">
        <is>
          <t>COGN3</t>
        </is>
      </c>
      <c r="B156" s="3" t="inlineStr">
        <is>
          <t>Cogna ON</t>
        </is>
      </c>
      <c r="C156" s="21" t="inlineStr">
        <is>
          <t>Outros</t>
        </is>
      </c>
    </row>
    <row r="157" ht="15.75" customHeight="1">
      <c r="A157" s="19" t="inlineStr">
        <is>
          <t>COMR3</t>
        </is>
      </c>
      <c r="B157" s="3" t="inlineStr">
        <is>
          <t>Comerc</t>
        </is>
      </c>
      <c r="C157" s="21" t="inlineStr">
        <is>
          <t>Energia Elétrica</t>
        </is>
      </c>
    </row>
    <row r="158" ht="15.75" customHeight="1">
      <c r="A158" s="19" t="inlineStr">
        <is>
          <t>CGAS3</t>
        </is>
      </c>
      <c r="B158" s="3" t="inlineStr">
        <is>
          <t>Comgas</t>
        </is>
      </c>
      <c r="C158" s="21" t="inlineStr">
        <is>
          <t>Petróleo e Gas</t>
        </is>
      </c>
    </row>
    <row r="159" ht="15.75" customHeight="1">
      <c r="A159" s="19" t="inlineStr">
        <is>
          <t>CGAS5</t>
        </is>
      </c>
      <c r="B159" s="3" t="inlineStr">
        <is>
          <t>Comgas</t>
        </is>
      </c>
      <c r="C159" s="21" t="inlineStr">
        <is>
          <t>Petróleo e Gas</t>
        </is>
      </c>
    </row>
    <row r="160" ht="15.75" customHeight="1">
      <c r="A160" s="19" t="inlineStr">
        <is>
          <t>PASS3</t>
        </is>
      </c>
      <c r="B160" s="3" t="inlineStr">
        <is>
          <t>Compass Gas</t>
        </is>
      </c>
      <c r="C160" s="21" t="inlineStr">
        <is>
          <t>Petróleo e Gas</t>
        </is>
      </c>
    </row>
    <row r="161" ht="15.75" customHeight="1">
      <c r="A161" s="19" t="inlineStr">
        <is>
          <t>PASS6</t>
        </is>
      </c>
      <c r="B161" s="3" t="inlineStr">
        <is>
          <t>Compass Gas</t>
        </is>
      </c>
      <c r="C161" s="21" t="inlineStr">
        <is>
          <t>Petróleo e Gas</t>
        </is>
      </c>
    </row>
    <row r="162" ht="15.75" customHeight="1">
      <c r="A162" s="19" t="inlineStr">
        <is>
          <t>CRTE3B</t>
        </is>
      </c>
      <c r="B162" s="3" t="inlineStr">
        <is>
          <t>Conc Rio Ter</t>
        </is>
      </c>
      <c r="C162" s="21" t="inlineStr">
        <is>
          <t>Transporte Serviç</t>
        </is>
      </c>
    </row>
    <row r="163" ht="15.75" customHeight="1">
      <c r="A163" s="19" t="inlineStr">
        <is>
          <t>CRTE5B</t>
        </is>
      </c>
      <c r="B163" s="3" t="inlineStr">
        <is>
          <t>Conc Rio Ter</t>
        </is>
      </c>
      <c r="C163" s="21" t="inlineStr">
        <is>
          <t>Transporte Serviç</t>
        </is>
      </c>
    </row>
    <row r="164" ht="15.75" customHeight="1">
      <c r="A164" s="19" t="inlineStr">
        <is>
          <t>CALI3</t>
        </is>
      </c>
      <c r="B164" s="3" t="inlineStr">
        <is>
          <t>Const A Lind</t>
        </is>
      </c>
      <c r="C164" s="21" t="inlineStr">
        <is>
          <t>Construção</t>
        </is>
      </c>
    </row>
    <row r="165" ht="15.75" customHeight="1">
      <c r="A165" s="19" t="inlineStr">
        <is>
          <t>CALI4</t>
        </is>
      </c>
      <c r="B165" s="3" t="inlineStr">
        <is>
          <t>Const A Lind</t>
        </is>
      </c>
      <c r="C165" s="21" t="inlineStr">
        <is>
          <t>Construção</t>
        </is>
      </c>
    </row>
    <row r="166" ht="15.75" customHeight="1">
      <c r="A166" s="19" t="inlineStr">
        <is>
          <t>CSMG3</t>
        </is>
      </c>
      <c r="B166" s="3" t="inlineStr">
        <is>
          <t>Copasa</t>
        </is>
      </c>
      <c r="C166" s="21" t="inlineStr">
        <is>
          <t>Outros</t>
        </is>
      </c>
    </row>
    <row r="167" ht="15.75" customHeight="1">
      <c r="A167" s="19" t="inlineStr">
        <is>
          <t>CPLE3</t>
        </is>
      </c>
      <c r="B167" s="3" t="inlineStr">
        <is>
          <t>Copel</t>
        </is>
      </c>
      <c r="C167" s="21" t="inlineStr">
        <is>
          <t>Energia Elétrica</t>
        </is>
      </c>
    </row>
    <row r="168" ht="15.75" customHeight="1">
      <c r="A168" s="19" t="inlineStr">
        <is>
          <t>CPLE5</t>
        </is>
      </c>
      <c r="B168" s="3" t="inlineStr">
        <is>
          <t>Copel</t>
        </is>
      </c>
      <c r="C168" s="21" t="inlineStr">
        <is>
          <t>Energia Elétrica</t>
        </is>
      </c>
    </row>
    <row r="169" ht="15.75" customHeight="1">
      <c r="A169" s="19" t="inlineStr">
        <is>
          <t>CPLE6</t>
        </is>
      </c>
      <c r="B169" s="3" t="inlineStr">
        <is>
          <t>Copel</t>
        </is>
      </c>
      <c r="C169" s="21" t="inlineStr">
        <is>
          <t>Energia Elétrica</t>
        </is>
      </c>
    </row>
    <row r="170" ht="15.75" customHeight="1">
      <c r="A170" s="19" t="inlineStr">
        <is>
          <t>CPLE11</t>
        </is>
      </c>
      <c r="B170" s="3" t="inlineStr">
        <is>
          <t>Copel</t>
        </is>
      </c>
      <c r="C170" s="21" t="inlineStr">
        <is>
          <t>Energia Elétrica</t>
        </is>
      </c>
    </row>
    <row r="171" ht="15.75" customHeight="1">
      <c r="A171" s="19" t="inlineStr">
        <is>
          <t>CORR3</t>
        </is>
      </c>
      <c r="B171" s="3" t="inlineStr">
        <is>
          <t>Cor Ribeiro</t>
        </is>
      </c>
      <c r="C171" s="21" t="inlineStr">
        <is>
          <t>Outros</t>
        </is>
      </c>
    </row>
    <row r="172" ht="15.75" customHeight="1">
      <c r="A172" s="19" t="inlineStr">
        <is>
          <t>CORR4</t>
        </is>
      </c>
      <c r="B172" s="3" t="inlineStr">
        <is>
          <t>Cor Ribeiro</t>
        </is>
      </c>
      <c r="C172" s="21" t="inlineStr">
        <is>
          <t>Outros</t>
        </is>
      </c>
    </row>
    <row r="173" ht="15.75" customHeight="1">
      <c r="A173" s="19" t="inlineStr">
        <is>
          <t>CSAN3</t>
        </is>
      </c>
      <c r="B173" s="3" t="inlineStr">
        <is>
          <t>Cosan</t>
        </is>
      </c>
      <c r="C173" s="21" t="inlineStr">
        <is>
          <t>Petróleo e Gas</t>
        </is>
      </c>
    </row>
    <row r="174" ht="15.75" customHeight="1">
      <c r="A174" s="19" t="inlineStr">
        <is>
          <t>CSRN3</t>
        </is>
      </c>
      <c r="B174" s="3" t="inlineStr">
        <is>
          <t>Cosern</t>
        </is>
      </c>
      <c r="C174" s="21" t="inlineStr">
        <is>
          <t>Energia Elétrica</t>
        </is>
      </c>
    </row>
    <row r="175" ht="15.75" customHeight="1">
      <c r="A175" s="19" t="inlineStr">
        <is>
          <t>CSRN5</t>
        </is>
      </c>
      <c r="B175" s="3" t="inlineStr">
        <is>
          <t>Cosern</t>
        </is>
      </c>
      <c r="C175" s="21" t="inlineStr">
        <is>
          <t>Energia Elétrica</t>
        </is>
      </c>
    </row>
    <row r="176" ht="15.75" customHeight="1">
      <c r="A176" s="19" t="inlineStr">
        <is>
          <t>CSRN6</t>
        </is>
      </c>
      <c r="B176" s="3" t="inlineStr">
        <is>
          <t>Cosern</t>
        </is>
      </c>
      <c r="C176" s="21" t="inlineStr">
        <is>
          <t>Energia Elétrica</t>
        </is>
      </c>
    </row>
    <row r="177" ht="15.75" customHeight="1">
      <c r="A177" s="19" t="inlineStr">
        <is>
          <t>CTNM3</t>
        </is>
      </c>
      <c r="B177" s="3" t="inlineStr">
        <is>
          <t>Coteminas</t>
        </is>
      </c>
      <c r="C177" s="21" t="inlineStr">
        <is>
          <t>Textil</t>
        </is>
      </c>
    </row>
    <row r="178" ht="15.75" customHeight="1">
      <c r="A178" s="19" t="inlineStr">
        <is>
          <t>CTNM4</t>
        </is>
      </c>
      <c r="B178" s="3" t="inlineStr">
        <is>
          <t>Coteminas</t>
        </is>
      </c>
      <c r="C178" s="21" t="inlineStr">
        <is>
          <t>Textil</t>
        </is>
      </c>
    </row>
    <row r="179" ht="15.75" customHeight="1">
      <c r="A179" s="19" t="inlineStr">
        <is>
          <t>CPFE3</t>
        </is>
      </c>
      <c r="B179" s="3" t="inlineStr">
        <is>
          <t>CPFL Energia</t>
        </is>
      </c>
      <c r="C179" s="21" t="inlineStr">
        <is>
          <t>Energia Elétrica</t>
        </is>
      </c>
    </row>
    <row r="180" ht="15.75" customHeight="1">
      <c r="A180" s="19" t="inlineStr">
        <is>
          <t>CRDE3</t>
        </is>
      </c>
      <c r="B180" s="3" t="inlineStr">
        <is>
          <t>Cr2</t>
        </is>
      </c>
      <c r="C180" s="21" t="inlineStr">
        <is>
          <t>Construção</t>
        </is>
      </c>
    </row>
    <row r="181" ht="15.75" customHeight="1">
      <c r="A181" s="19" t="inlineStr">
        <is>
          <t>CRPG3</t>
        </is>
      </c>
      <c r="B181" s="3" t="inlineStr">
        <is>
          <t>Cristal</t>
        </is>
      </c>
      <c r="C181" s="21" t="inlineStr">
        <is>
          <t>Química</t>
        </is>
      </c>
    </row>
    <row r="182" ht="15.75" customHeight="1">
      <c r="A182" s="19" t="inlineStr">
        <is>
          <t>CRPG5</t>
        </is>
      </c>
      <c r="B182" s="3" t="inlineStr">
        <is>
          <t>Cristal</t>
        </is>
      </c>
      <c r="C182" s="21" t="inlineStr">
        <is>
          <t>Química</t>
        </is>
      </c>
    </row>
    <row r="183" ht="15.75" customHeight="1">
      <c r="A183" s="19" t="inlineStr">
        <is>
          <t>CRPG6</t>
        </is>
      </c>
      <c r="B183" s="3" t="inlineStr">
        <is>
          <t>Cristal</t>
        </is>
      </c>
      <c r="C183" s="21" t="inlineStr">
        <is>
          <t>Química</t>
        </is>
      </c>
    </row>
    <row r="184" ht="15.75" customHeight="1">
      <c r="A184" s="19" t="inlineStr">
        <is>
          <t>CSED3</t>
        </is>
      </c>
      <c r="B184" s="3" t="inlineStr">
        <is>
          <t>Cruzeiro Edu</t>
        </is>
      </c>
      <c r="C184" s="21" t="inlineStr">
        <is>
          <t>Outros</t>
        </is>
      </c>
    </row>
    <row r="185" ht="15.75" customHeight="1">
      <c r="A185" s="19" t="inlineStr">
        <is>
          <t>CMIN3</t>
        </is>
      </c>
      <c r="B185" s="3" t="inlineStr">
        <is>
          <t>Csn Mineracao</t>
        </is>
      </c>
      <c r="C185" s="21" t="inlineStr">
        <is>
          <t>Mineração</t>
        </is>
      </c>
    </row>
    <row r="186" ht="15.75" customHeight="1">
      <c r="A186" s="19" t="inlineStr">
        <is>
          <t>CARD3</t>
        </is>
      </c>
      <c r="B186" s="3" t="inlineStr">
        <is>
          <t>Csu Cardsyst</t>
        </is>
      </c>
      <c r="C186" s="21" t="inlineStr">
        <is>
          <t>Outros</t>
        </is>
      </c>
    </row>
    <row r="187" ht="15.75" customHeight="1">
      <c r="A187" s="19" t="inlineStr">
        <is>
          <t>CTCA3</t>
        </is>
      </c>
      <c r="B187" s="3" t="inlineStr">
        <is>
          <t>Ctc S.A.</t>
        </is>
      </c>
      <c r="C187" s="21" t="inlineStr">
        <is>
          <t>Agro e Pesca</t>
        </is>
      </c>
    </row>
    <row r="188" ht="15.75" customHeight="1">
      <c r="A188" s="19" t="inlineStr">
        <is>
          <t>CURY3</t>
        </is>
      </c>
      <c r="B188" s="3" t="inlineStr">
        <is>
          <t>Cury S/A</t>
        </is>
      </c>
      <c r="C188" s="21" t="inlineStr">
        <is>
          <t>Construção</t>
        </is>
      </c>
    </row>
    <row r="189" ht="15.75" customHeight="1">
      <c r="A189" s="19" t="inlineStr">
        <is>
          <t>CVCB3</t>
        </is>
      </c>
      <c r="B189" s="3" t="inlineStr">
        <is>
          <t>Cvc Brasil</t>
        </is>
      </c>
      <c r="C189" s="21" t="inlineStr">
        <is>
          <t>Transporte Serviç</t>
        </is>
      </c>
    </row>
    <row r="190" ht="15.75" customHeight="1">
      <c r="A190" s="19" t="inlineStr">
        <is>
          <t>CYRE3</t>
        </is>
      </c>
      <c r="B190" s="3" t="inlineStr">
        <is>
          <t>Cyrela Realt</t>
        </is>
      </c>
      <c r="C190" s="21" t="inlineStr">
        <is>
          <t>Construção</t>
        </is>
      </c>
    </row>
    <row r="191" ht="15.75" customHeight="1">
      <c r="A191" s="19" t="inlineStr">
        <is>
          <t>DMVF3</t>
        </is>
      </c>
      <c r="B191" s="3" t="inlineStr">
        <is>
          <t>D1000vfarma</t>
        </is>
      </c>
      <c r="C191" s="21" t="inlineStr">
        <is>
          <t>Comércio</t>
        </is>
      </c>
    </row>
    <row r="192" ht="15.75" customHeight="1">
      <c r="A192" s="19" t="inlineStr">
        <is>
          <t>DASA3</t>
        </is>
      </c>
      <c r="B192" s="3" t="inlineStr">
        <is>
          <t>Dasa</t>
        </is>
      </c>
      <c r="C192" s="21" t="inlineStr">
        <is>
          <t>Outros</t>
        </is>
      </c>
    </row>
    <row r="193" ht="15.75" customHeight="1">
      <c r="A193" s="19" t="inlineStr">
        <is>
          <t>DESK3</t>
        </is>
      </c>
      <c r="B193" s="3" t="inlineStr">
        <is>
          <t>Desktopsigma</t>
        </is>
      </c>
      <c r="C193" s="21" t="inlineStr">
        <is>
          <t>Telecomunicações</t>
        </is>
      </c>
    </row>
    <row r="194" ht="15.75" customHeight="1">
      <c r="A194" s="19" t="inlineStr">
        <is>
          <t>DXCO3</t>
        </is>
      </c>
      <c r="B194" s="3" t="inlineStr">
        <is>
          <t>Dexco</t>
        </is>
      </c>
      <c r="C194" s="21" t="inlineStr">
        <is>
          <t>Outros</t>
        </is>
      </c>
    </row>
    <row r="195" ht="15.75" customHeight="1">
      <c r="A195" s="19" t="inlineStr">
        <is>
          <t>DEXP3</t>
        </is>
      </c>
      <c r="B195" s="3" t="inlineStr">
        <is>
          <t>Dexxos Par</t>
        </is>
      </c>
      <c r="C195" s="21" t="inlineStr">
        <is>
          <t>Outros</t>
        </is>
      </c>
    </row>
    <row r="196" ht="15.75" customHeight="1">
      <c r="A196" s="19" t="inlineStr">
        <is>
          <t>DEXP4</t>
        </is>
      </c>
      <c r="B196" s="3" t="inlineStr">
        <is>
          <t>Dexxos Par</t>
        </is>
      </c>
      <c r="C196" s="21" t="inlineStr">
        <is>
          <t>Outros</t>
        </is>
      </c>
    </row>
    <row r="197" ht="15.75" customHeight="1">
      <c r="A197" s="19" t="inlineStr">
        <is>
          <t>PNVL3</t>
        </is>
      </c>
      <c r="B197" s="3" t="inlineStr">
        <is>
          <t>Dimed</t>
        </is>
      </c>
      <c r="C197" s="21" t="inlineStr">
        <is>
          <t>Comércio</t>
        </is>
      </c>
    </row>
    <row r="198" ht="15.75" customHeight="1">
      <c r="A198" s="19" t="inlineStr">
        <is>
          <t>DIRR3</t>
        </is>
      </c>
      <c r="B198" s="3" t="inlineStr">
        <is>
          <t>Direcional</t>
        </is>
      </c>
      <c r="C198" s="21" t="inlineStr">
        <is>
          <t>Construção</t>
        </is>
      </c>
    </row>
    <row r="199" ht="15.75" customHeight="1">
      <c r="A199" s="19" t="inlineStr">
        <is>
          <t>DOHL3</t>
        </is>
      </c>
      <c r="B199" s="3" t="inlineStr">
        <is>
          <t>Dohler</t>
        </is>
      </c>
      <c r="C199" s="21" t="inlineStr">
        <is>
          <t>Textil</t>
        </is>
      </c>
    </row>
    <row r="200" ht="15.75" customHeight="1">
      <c r="A200" s="19" t="inlineStr">
        <is>
          <t>DOHL4</t>
        </is>
      </c>
      <c r="B200" s="3" t="inlineStr">
        <is>
          <t>Dohler</t>
        </is>
      </c>
      <c r="C200" s="21" t="inlineStr">
        <is>
          <t>Textil</t>
        </is>
      </c>
    </row>
    <row r="201" ht="15.75" customHeight="1">
      <c r="A201" s="19" t="inlineStr">
        <is>
          <t>DMMO3</t>
        </is>
      </c>
      <c r="B201" s="3" t="inlineStr">
        <is>
          <t>Dommo</t>
        </is>
      </c>
      <c r="C201" s="21" t="inlineStr">
        <is>
          <t>Petróleo e Gas</t>
        </is>
      </c>
    </row>
    <row r="202" ht="15.75" customHeight="1">
      <c r="A202" s="19" t="inlineStr">
        <is>
          <t>DOTZ3</t>
        </is>
      </c>
      <c r="B202" s="3" t="inlineStr">
        <is>
          <t>Dotz SA</t>
        </is>
      </c>
      <c r="C202" s="21" t="inlineStr">
        <is>
          <t>Outros</t>
        </is>
      </c>
    </row>
    <row r="203" ht="15.75" customHeight="1">
      <c r="A203" s="19" t="inlineStr">
        <is>
          <t>DTCY3</t>
        </is>
      </c>
      <c r="B203" s="3" t="inlineStr">
        <is>
          <t>Dtcom Direct</t>
        </is>
      </c>
      <c r="C203" s="21" t="inlineStr">
        <is>
          <t>Outros</t>
        </is>
      </c>
    </row>
    <row r="204" ht="15.75" customHeight="1">
      <c r="A204" s="19" t="inlineStr">
        <is>
          <t>DTCY4</t>
        </is>
      </c>
      <c r="B204" s="3" t="inlineStr">
        <is>
          <t>Dtcom Direct</t>
        </is>
      </c>
      <c r="C204" s="21" t="inlineStr">
        <is>
          <t>Outros</t>
        </is>
      </c>
    </row>
    <row r="205" ht="15.75" customHeight="1">
      <c r="A205" s="19" t="inlineStr">
        <is>
          <t>ECOR3</t>
        </is>
      </c>
      <c r="B205" s="3" t="inlineStr">
        <is>
          <t>Ecorodovias</t>
        </is>
      </c>
      <c r="C205" s="21" t="inlineStr">
        <is>
          <t>Transporte Serviç</t>
        </is>
      </c>
    </row>
    <row r="206" ht="15.75" customHeight="1">
      <c r="A206" s="19" t="inlineStr">
        <is>
          <t>EKTR3</t>
        </is>
      </c>
      <c r="B206" s="3" t="inlineStr">
        <is>
          <t>Elektro</t>
        </is>
      </c>
      <c r="C206" s="21" t="inlineStr">
        <is>
          <t>Energia Elétrica</t>
        </is>
      </c>
    </row>
    <row r="207" ht="15.75" customHeight="1">
      <c r="A207" s="19" t="inlineStr">
        <is>
          <t>EKTR4</t>
        </is>
      </c>
      <c r="B207" s="3" t="inlineStr">
        <is>
          <t>Elektro</t>
        </is>
      </c>
      <c r="C207" s="21" t="inlineStr">
        <is>
          <t>Energia Elétrica</t>
        </is>
      </c>
    </row>
    <row r="208" ht="15.75" customHeight="1">
      <c r="A208" s="19" t="inlineStr">
        <is>
          <t>ELET3</t>
        </is>
      </c>
      <c r="B208" s="3" t="inlineStr">
        <is>
          <t>Eletrobras</t>
        </is>
      </c>
      <c r="C208" s="21" t="inlineStr">
        <is>
          <t>Energia Elétrica</t>
        </is>
      </c>
    </row>
    <row r="209" ht="15.75" customHeight="1">
      <c r="A209" s="19" t="inlineStr">
        <is>
          <t>ELET5</t>
        </is>
      </c>
      <c r="B209" s="3" t="inlineStr">
        <is>
          <t>Eletrobras</t>
        </is>
      </c>
      <c r="C209" s="21" t="inlineStr">
        <is>
          <t>Energia Elétrica</t>
        </is>
      </c>
    </row>
    <row r="210" ht="15.75" customHeight="1">
      <c r="A210" s="19" t="inlineStr">
        <is>
          <t>ELET6</t>
        </is>
      </c>
      <c r="B210" s="3" t="inlineStr">
        <is>
          <t>Eletrobras</t>
        </is>
      </c>
      <c r="C210" s="21" t="inlineStr">
        <is>
          <t>Energia Elétrica</t>
        </is>
      </c>
    </row>
    <row r="211" ht="15.75" customHeight="1">
      <c r="A211" s="19" t="inlineStr">
        <is>
          <t>ELMD3</t>
        </is>
      </c>
      <c r="B211" s="3" t="inlineStr">
        <is>
          <t>Eletromidia</t>
        </is>
      </c>
      <c r="C211" s="21" t="inlineStr">
        <is>
          <t>Outros</t>
        </is>
      </c>
    </row>
    <row r="212" ht="15.75" customHeight="1">
      <c r="A212" s="19" t="inlineStr">
        <is>
          <t>LIPR3</t>
        </is>
      </c>
      <c r="B212" s="3" t="inlineStr">
        <is>
          <t>Eletropar</t>
        </is>
      </c>
      <c r="C212" s="21" t="inlineStr">
        <is>
          <t>Energia Elétrica</t>
        </is>
      </c>
    </row>
    <row r="213" ht="15.75" customHeight="1">
      <c r="A213" s="19" t="inlineStr">
        <is>
          <t>EMAE3</t>
        </is>
      </c>
      <c r="B213" s="3" t="inlineStr">
        <is>
          <t>Emae</t>
        </is>
      </c>
      <c r="C213" s="21" t="inlineStr">
        <is>
          <t>Energia Elétrica</t>
        </is>
      </c>
    </row>
    <row r="214" ht="15.75" customHeight="1">
      <c r="A214" s="19" t="inlineStr">
        <is>
          <t>EMAE4</t>
        </is>
      </c>
      <c r="B214" s="3" t="inlineStr">
        <is>
          <t>Emae</t>
        </is>
      </c>
      <c r="C214" s="21" t="inlineStr">
        <is>
          <t>Energia Elétrica</t>
        </is>
      </c>
    </row>
    <row r="215" ht="15.75" customHeight="1">
      <c r="A215" s="19" t="inlineStr">
        <is>
          <t>EPAR3</t>
        </is>
      </c>
      <c r="B215" s="3" t="inlineStr">
        <is>
          <t>Embpar S/A</t>
        </is>
      </c>
      <c r="C215" s="21" t="inlineStr">
        <is>
          <t>Comércio</t>
        </is>
      </c>
    </row>
    <row r="216" ht="15.75" customHeight="1">
      <c r="A216" s="19" t="inlineStr">
        <is>
          <t>EMBR3</t>
        </is>
      </c>
      <c r="B216" s="3" t="inlineStr">
        <is>
          <t>Embraer</t>
        </is>
      </c>
      <c r="C216" s="21" t="inlineStr">
        <is>
          <t>Veiculos e peças</t>
        </is>
      </c>
    </row>
    <row r="217" ht="15.75" customHeight="1">
      <c r="A217" s="19" t="inlineStr">
        <is>
          <t>ENAT3</t>
        </is>
      </c>
      <c r="B217" s="3" t="inlineStr">
        <is>
          <t>Enauta Part</t>
        </is>
      </c>
      <c r="C217" s="21" t="inlineStr">
        <is>
          <t>Petróleo e Gas</t>
        </is>
      </c>
    </row>
    <row r="218" ht="15.75" customHeight="1">
      <c r="A218" s="19" t="inlineStr">
        <is>
          <t>ECPR3</t>
        </is>
      </c>
      <c r="B218" s="3" t="inlineStr">
        <is>
          <t>Encorpar</t>
        </is>
      </c>
      <c r="C218" s="21" t="inlineStr">
        <is>
          <t>Textil</t>
        </is>
      </c>
    </row>
    <row r="219" ht="15.75" customHeight="1">
      <c r="A219" s="19" t="inlineStr">
        <is>
          <t>ECPR4</t>
        </is>
      </c>
      <c r="B219" s="3" t="inlineStr">
        <is>
          <t>Encorpar</t>
        </is>
      </c>
      <c r="C219" s="21" t="inlineStr">
        <is>
          <t>Textil</t>
        </is>
      </c>
    </row>
    <row r="220" ht="15.75" customHeight="1">
      <c r="A220" s="19" t="inlineStr">
        <is>
          <t>ENBR3</t>
        </is>
      </c>
      <c r="B220" s="3" t="inlineStr">
        <is>
          <t>Energias BR</t>
        </is>
      </c>
      <c r="C220" s="21" t="inlineStr">
        <is>
          <t>Energia Elétrica</t>
        </is>
      </c>
    </row>
    <row r="221" ht="15.75" customHeight="1">
      <c r="A221" s="19" t="inlineStr">
        <is>
          <t>ENGI3</t>
        </is>
      </c>
      <c r="B221" s="3" t="inlineStr">
        <is>
          <t>Energisa</t>
        </is>
      </c>
      <c r="C221" s="21" t="inlineStr">
        <is>
          <t>Energia Elétrica</t>
        </is>
      </c>
    </row>
    <row r="222" ht="15.75" customHeight="1">
      <c r="A222" s="19" t="inlineStr">
        <is>
          <t>ENGI4</t>
        </is>
      </c>
      <c r="B222" s="3" t="inlineStr">
        <is>
          <t>Energisa</t>
        </is>
      </c>
      <c r="C222" s="21" t="inlineStr">
        <is>
          <t>Energia Elétrica</t>
        </is>
      </c>
    </row>
    <row r="223" ht="15.75" customHeight="1">
      <c r="A223" s="19" t="inlineStr">
        <is>
          <t>ENGI11</t>
        </is>
      </c>
      <c r="B223" s="3" t="inlineStr">
        <is>
          <t>Energisa</t>
        </is>
      </c>
      <c r="C223" s="21" t="inlineStr">
        <is>
          <t>Energia Elétrica</t>
        </is>
      </c>
    </row>
    <row r="224" ht="15.75" customHeight="1">
      <c r="A224" s="19" t="inlineStr">
        <is>
          <t>ENMT3</t>
        </is>
      </c>
      <c r="B224" s="3" t="inlineStr">
        <is>
          <t>Energisa Mt</t>
        </is>
      </c>
      <c r="C224" s="21" t="inlineStr">
        <is>
          <t>Energia Elétrica</t>
        </is>
      </c>
    </row>
    <row r="225" ht="15.75" customHeight="1">
      <c r="A225" s="19" t="inlineStr">
        <is>
          <t>ENMT4</t>
        </is>
      </c>
      <c r="B225" s="3" t="inlineStr">
        <is>
          <t>Energisa Mt</t>
        </is>
      </c>
      <c r="C225" s="21" t="inlineStr">
        <is>
          <t>Energia Elétrica</t>
        </is>
      </c>
    </row>
    <row r="226" ht="15.75" customHeight="1">
      <c r="A226" s="19" t="inlineStr">
        <is>
          <t>ENEV3</t>
        </is>
      </c>
      <c r="B226" s="3" t="inlineStr">
        <is>
          <t>Eneva</t>
        </is>
      </c>
      <c r="C226" s="21" t="inlineStr">
        <is>
          <t>Energia Elétrica</t>
        </is>
      </c>
    </row>
    <row r="227" ht="15.75" customHeight="1">
      <c r="A227" s="19" t="inlineStr">
        <is>
          <t>EGIE3</t>
        </is>
      </c>
      <c r="B227" s="3" t="inlineStr">
        <is>
          <t>Engie Brasil</t>
        </is>
      </c>
      <c r="C227" s="21" t="inlineStr">
        <is>
          <t>Energia Elétrica</t>
        </is>
      </c>
    </row>
    <row r="228" ht="15.75" customHeight="1">
      <c r="A228" s="19" t="inlineStr">
        <is>
          <t>ENJU3</t>
        </is>
      </c>
      <c r="B228" s="3" t="inlineStr">
        <is>
          <t>Enjoei</t>
        </is>
      </c>
      <c r="C228" s="21" t="inlineStr">
        <is>
          <t>Comércio</t>
        </is>
      </c>
    </row>
    <row r="229" ht="15.75" customHeight="1">
      <c r="A229" s="19" t="inlineStr">
        <is>
          <t>EQMA3B</t>
        </is>
      </c>
      <c r="B229" s="3" t="inlineStr">
        <is>
          <t>Eqtl Maranhao</t>
        </is>
      </c>
      <c r="C229" s="21" t="inlineStr">
        <is>
          <t>Energia Elétrica</t>
        </is>
      </c>
    </row>
    <row r="230" ht="15.75" customHeight="1">
      <c r="A230" s="19" t="inlineStr">
        <is>
          <t>EQMA5B</t>
        </is>
      </c>
      <c r="B230" s="3" t="inlineStr">
        <is>
          <t>Eqtl Maranhao</t>
        </is>
      </c>
      <c r="C230" s="21" t="inlineStr">
        <is>
          <t>Energia Elétrica</t>
        </is>
      </c>
    </row>
    <row r="231" ht="15.75" customHeight="1">
      <c r="A231" s="19" t="inlineStr">
        <is>
          <t>EQMA6B</t>
        </is>
      </c>
      <c r="B231" s="3" t="inlineStr">
        <is>
          <t>Eqtl Maranhao</t>
        </is>
      </c>
      <c r="C231" s="21" t="inlineStr">
        <is>
          <t>Energia Elétrica</t>
        </is>
      </c>
    </row>
    <row r="232" ht="15.75" customHeight="1">
      <c r="A232" s="19" t="inlineStr">
        <is>
          <t>EQPA3</t>
        </is>
      </c>
      <c r="B232" s="3" t="inlineStr">
        <is>
          <t>Eqtl Para</t>
        </is>
      </c>
      <c r="C232" s="21" t="inlineStr">
        <is>
          <t>Energia Elétrica</t>
        </is>
      </c>
    </row>
    <row r="233" ht="15.75" customHeight="1">
      <c r="A233" s="19" t="inlineStr">
        <is>
          <t>EQPA5</t>
        </is>
      </c>
      <c r="B233" s="3" t="inlineStr">
        <is>
          <t>Eqtl Para</t>
        </is>
      </c>
      <c r="C233" s="21" t="inlineStr">
        <is>
          <t>Energia Elétrica</t>
        </is>
      </c>
    </row>
    <row r="234" ht="15.75" customHeight="1">
      <c r="A234" s="19" t="inlineStr">
        <is>
          <t>EQPA6</t>
        </is>
      </c>
      <c r="B234" s="3" t="inlineStr">
        <is>
          <t>Eqtl Para</t>
        </is>
      </c>
      <c r="C234" s="21" t="inlineStr">
        <is>
          <t>Energia Elétrica</t>
        </is>
      </c>
    </row>
    <row r="235" ht="15.75" customHeight="1">
      <c r="A235" s="19" t="inlineStr">
        <is>
          <t>EQPA7</t>
        </is>
      </c>
      <c r="B235" s="3" t="inlineStr">
        <is>
          <t>Eqtl Para</t>
        </is>
      </c>
      <c r="C235" s="21" t="inlineStr">
        <is>
          <t>Energia Elétrica</t>
        </is>
      </c>
    </row>
    <row r="236" ht="15.75" customHeight="1">
      <c r="A236" s="19" t="inlineStr">
        <is>
          <t>EQTL3</t>
        </is>
      </c>
      <c r="B236" s="3" t="inlineStr">
        <is>
          <t>Equatorial</t>
        </is>
      </c>
      <c r="C236" s="21" t="inlineStr">
        <is>
          <t>Energia Elétrica</t>
        </is>
      </c>
    </row>
    <row r="237" ht="15.75" customHeight="1">
      <c r="A237" s="19" t="inlineStr">
        <is>
          <t>ESPA3</t>
        </is>
      </c>
      <c r="B237" s="3" t="inlineStr">
        <is>
          <t>Espacolaser</t>
        </is>
      </c>
      <c r="C237" s="21" t="inlineStr">
        <is>
          <t>Outros</t>
        </is>
      </c>
    </row>
    <row r="238" ht="15.75" customHeight="1">
      <c r="A238" s="19" t="inlineStr">
        <is>
          <t>ALPK3</t>
        </is>
      </c>
      <c r="B238" s="3" t="inlineStr">
        <is>
          <t>Estapar</t>
        </is>
      </c>
      <c r="C238" s="21" t="inlineStr">
        <is>
          <t>Outros</t>
        </is>
      </c>
    </row>
    <row r="239" ht="15.75" customHeight="1">
      <c r="A239" s="19" t="inlineStr">
        <is>
          <t>ESTR3</t>
        </is>
      </c>
      <c r="B239" s="3" t="inlineStr">
        <is>
          <t>Estrela</t>
        </is>
      </c>
      <c r="C239" s="21" t="inlineStr">
        <is>
          <t>Outros</t>
        </is>
      </c>
    </row>
    <row r="240" ht="15.75" customHeight="1">
      <c r="A240" s="19" t="inlineStr">
        <is>
          <t>ESTR4</t>
        </is>
      </c>
      <c r="B240" s="3" t="inlineStr">
        <is>
          <t>Estrela</t>
        </is>
      </c>
      <c r="C240" s="21" t="inlineStr">
        <is>
          <t>Outros</t>
        </is>
      </c>
    </row>
    <row r="241" ht="15.75" customHeight="1">
      <c r="A241" s="19" t="inlineStr">
        <is>
          <t>ETER3</t>
        </is>
      </c>
      <c r="B241" s="3" t="inlineStr">
        <is>
          <t>Eternit</t>
        </is>
      </c>
      <c r="C241" s="21" t="inlineStr">
        <is>
          <t>Minerais não Met</t>
        </is>
      </c>
    </row>
    <row r="242" ht="15.75" customHeight="1">
      <c r="A242" s="19" t="inlineStr">
        <is>
          <t>EUCA3</t>
        </is>
      </c>
      <c r="B242" s="3" t="inlineStr">
        <is>
          <t>Eucatex</t>
        </is>
      </c>
      <c r="C242" s="21" t="inlineStr">
        <is>
          <t>Outros</t>
        </is>
      </c>
    </row>
    <row r="243" ht="15.75" customHeight="1">
      <c r="A243" s="19" t="inlineStr">
        <is>
          <t>EUCA4</t>
        </is>
      </c>
      <c r="B243" s="3" t="inlineStr">
        <is>
          <t>Eucatex</t>
        </is>
      </c>
      <c r="C243" s="21" t="inlineStr">
        <is>
          <t>Outros</t>
        </is>
      </c>
    </row>
    <row r="244" ht="15.75" customHeight="1">
      <c r="A244" s="19" t="inlineStr">
        <is>
          <t>EVEN3</t>
        </is>
      </c>
      <c r="B244" s="3" t="inlineStr">
        <is>
          <t>Even</t>
        </is>
      </c>
      <c r="C244" s="21" t="inlineStr">
        <is>
          <t>Construção</t>
        </is>
      </c>
    </row>
    <row r="245" ht="15.75" customHeight="1">
      <c r="A245" s="19" t="inlineStr">
        <is>
          <t>BAUH3</t>
        </is>
      </c>
      <c r="B245" s="3" t="inlineStr">
        <is>
          <t>Excelsior</t>
        </is>
      </c>
      <c r="C245" s="21" t="inlineStr">
        <is>
          <t>Alimentos e Beb</t>
        </is>
      </c>
    </row>
    <row r="246" ht="15.75" customHeight="1">
      <c r="A246" s="19" t="inlineStr">
        <is>
          <t>BAUH4</t>
        </is>
      </c>
      <c r="B246" s="3" t="inlineStr">
        <is>
          <t>Excelsior</t>
        </is>
      </c>
      <c r="C246" s="21" t="inlineStr">
        <is>
          <t>Alimentos e Beb</t>
        </is>
      </c>
    </row>
    <row r="247" ht="15.75" customHeight="1">
      <c r="A247" s="19" t="inlineStr">
        <is>
          <t>EZTC3</t>
        </is>
      </c>
      <c r="B247" s="3" t="inlineStr">
        <is>
          <t>Eztec</t>
        </is>
      </c>
      <c r="C247" s="21" t="inlineStr">
        <is>
          <t>Construção</t>
        </is>
      </c>
    </row>
    <row r="248" ht="15.75" customHeight="1">
      <c r="A248" s="19" t="inlineStr">
        <is>
          <t>FHER3</t>
        </is>
      </c>
      <c r="B248" s="3" t="inlineStr">
        <is>
          <t>Fer Heringer</t>
        </is>
      </c>
      <c r="C248" s="21" t="inlineStr">
        <is>
          <t>Química</t>
        </is>
      </c>
    </row>
    <row r="249" ht="15.75" customHeight="1">
      <c r="A249" s="19" t="inlineStr">
        <is>
          <t>FESA3</t>
        </is>
      </c>
      <c r="B249" s="3" t="inlineStr">
        <is>
          <t>Ferbasa</t>
        </is>
      </c>
      <c r="C249" s="21" t="inlineStr">
        <is>
          <t>Siderur &amp; Metalur</t>
        </is>
      </c>
    </row>
    <row r="250" ht="15.75" customHeight="1">
      <c r="A250" s="19" t="inlineStr">
        <is>
          <t>FESA4</t>
        </is>
      </c>
      <c r="B250" s="3" t="inlineStr">
        <is>
          <t>Ferbasa</t>
        </is>
      </c>
      <c r="C250" s="21" t="inlineStr">
        <is>
          <t>Siderur &amp; Metalur</t>
        </is>
      </c>
    </row>
    <row r="251" ht="15.75" customHeight="1">
      <c r="A251" s="19" t="inlineStr">
        <is>
          <t>FNCN3</t>
        </is>
      </c>
      <c r="B251" s="3" t="inlineStr">
        <is>
          <t>Finansinos</t>
        </is>
      </c>
      <c r="C251" s="21" t="inlineStr">
        <is>
          <t>Finanças e Seguros</t>
        </is>
      </c>
    </row>
    <row r="252" ht="15.75" customHeight="1">
      <c r="A252" s="19" t="inlineStr">
        <is>
          <t>FLRY3</t>
        </is>
      </c>
      <c r="B252" s="3" t="inlineStr">
        <is>
          <t>Fleury</t>
        </is>
      </c>
      <c r="C252" s="21" t="inlineStr">
        <is>
          <t>Outros</t>
        </is>
      </c>
    </row>
    <row r="253" ht="15.75" customHeight="1">
      <c r="A253" s="19" t="inlineStr">
        <is>
          <t>FLEX3</t>
        </is>
      </c>
      <c r="B253" s="3" t="inlineStr">
        <is>
          <t>Flex S/A</t>
        </is>
      </c>
      <c r="C253" s="21" t="inlineStr">
        <is>
          <t>Outros</t>
        </is>
      </c>
    </row>
    <row r="254" ht="15.75" customHeight="1">
      <c r="A254" s="19" t="inlineStr">
        <is>
          <t>POWE3</t>
        </is>
      </c>
      <c r="B254" s="3" t="inlineStr">
        <is>
          <t>Focus ON</t>
        </is>
      </c>
      <c r="C254" s="21" t="inlineStr">
        <is>
          <t>Energia Elétrica</t>
        </is>
      </c>
    </row>
    <row r="255" ht="15.75" customHeight="1">
      <c r="A255" s="19" t="inlineStr">
        <is>
          <t>FRAS3</t>
        </is>
      </c>
      <c r="B255" s="3" t="inlineStr">
        <is>
          <t>Fras-Le</t>
        </is>
      </c>
      <c r="C255" s="21" t="inlineStr">
        <is>
          <t>Veiculos e peças</t>
        </is>
      </c>
    </row>
    <row r="256" ht="15.75" customHeight="1">
      <c r="A256" s="19" t="inlineStr">
        <is>
          <t>G2DI33</t>
        </is>
      </c>
      <c r="B256" s="3" t="inlineStr">
        <is>
          <t>G2d Invest</t>
        </is>
      </c>
      <c r="C256" s="21" t="inlineStr">
        <is>
          <t>Finanças e Seguros</t>
        </is>
      </c>
    </row>
    <row r="257" ht="15.75" customHeight="1">
      <c r="A257" s="19" t="inlineStr">
        <is>
          <t>GFSA3</t>
        </is>
      </c>
      <c r="B257" s="3" t="inlineStr">
        <is>
          <t>Gafisa</t>
        </is>
      </c>
      <c r="C257" s="21" t="inlineStr">
        <is>
          <t>Construção</t>
        </is>
      </c>
    </row>
    <row r="258" ht="15.75" customHeight="1">
      <c r="A258" s="19" t="inlineStr">
        <is>
          <t>OPGM3B</t>
        </is>
      </c>
      <c r="B258" s="3" t="inlineStr">
        <is>
          <t>Gama Part</t>
        </is>
      </c>
      <c r="C258" s="21" t="inlineStr">
        <is>
          <t>Outros</t>
        </is>
      </c>
    </row>
    <row r="259" ht="15.75" customHeight="1">
      <c r="A259" s="19" t="inlineStr">
        <is>
          <t>GSHP3</t>
        </is>
      </c>
      <c r="B259" s="3" t="inlineStr">
        <is>
          <t>Generalshopp</t>
        </is>
      </c>
      <c r="C259" s="21" t="inlineStr">
        <is>
          <t>Outros</t>
        </is>
      </c>
    </row>
    <row r="260" ht="15.75" customHeight="1">
      <c r="A260" s="19" t="inlineStr">
        <is>
          <t>GEPA3</t>
        </is>
      </c>
      <c r="B260" s="3" t="inlineStr">
        <is>
          <t>Ger Paranap</t>
        </is>
      </c>
      <c r="C260" s="21" t="inlineStr">
        <is>
          <t>Energia Elétrica</t>
        </is>
      </c>
    </row>
    <row r="261" ht="15.75" customHeight="1">
      <c r="A261" s="19" t="inlineStr">
        <is>
          <t>GEPA4</t>
        </is>
      </c>
      <c r="B261" s="3" t="inlineStr">
        <is>
          <t>Ger Paranap</t>
        </is>
      </c>
      <c r="C261" s="21" t="inlineStr">
        <is>
          <t>Energia Elétrica</t>
        </is>
      </c>
    </row>
    <row r="262" ht="15.75" customHeight="1">
      <c r="A262" s="19" t="inlineStr">
        <is>
          <t>GGBR3</t>
        </is>
      </c>
      <c r="B262" s="3" t="inlineStr">
        <is>
          <t>Gerdau</t>
        </is>
      </c>
      <c r="C262" s="21" t="inlineStr">
        <is>
          <t>Siderur &amp; Metalur</t>
        </is>
      </c>
    </row>
    <row r="263" ht="15.75" customHeight="1">
      <c r="A263" s="19" t="inlineStr">
        <is>
          <t>GGBR4</t>
        </is>
      </c>
      <c r="B263" s="3" t="inlineStr">
        <is>
          <t>Gerdau</t>
        </is>
      </c>
      <c r="C263" s="21" t="inlineStr">
        <is>
          <t>Siderur &amp; Metalur</t>
        </is>
      </c>
    </row>
    <row r="264" ht="15.75" customHeight="1">
      <c r="A264" s="19" t="inlineStr">
        <is>
          <t>GOAU3</t>
        </is>
      </c>
      <c r="B264" s="3" t="inlineStr">
        <is>
          <t>Gerdau Met</t>
        </is>
      </c>
      <c r="C264" s="21" t="inlineStr">
        <is>
          <t>Siderur &amp; Metalur</t>
        </is>
      </c>
    </row>
    <row r="265" ht="15.75" customHeight="1">
      <c r="A265" s="19" t="inlineStr">
        <is>
          <t>GOAU4</t>
        </is>
      </c>
      <c r="B265" s="3" t="inlineStr">
        <is>
          <t>Gerdau Met</t>
        </is>
      </c>
      <c r="C265" s="21" t="inlineStr">
        <is>
          <t>Siderur &amp; Metalur</t>
        </is>
      </c>
    </row>
    <row r="266" ht="15.75" customHeight="1">
      <c r="A266" s="19" t="inlineStr">
        <is>
          <t>GETT3</t>
        </is>
      </c>
      <c r="B266" s="3" t="inlineStr">
        <is>
          <t>Getnet BR</t>
        </is>
      </c>
      <c r="C266" s="21" t="inlineStr">
        <is>
          <t>Software e Dados</t>
        </is>
      </c>
    </row>
    <row r="267" ht="15.75" customHeight="1">
      <c r="A267" s="19" t="inlineStr">
        <is>
          <t>GETT4</t>
        </is>
      </c>
      <c r="B267" s="3" t="inlineStr">
        <is>
          <t>Getnet BR</t>
        </is>
      </c>
      <c r="C267" s="21" t="inlineStr">
        <is>
          <t>Software e Dados</t>
        </is>
      </c>
    </row>
    <row r="268" ht="15.75" customHeight="1">
      <c r="A268" s="19" t="inlineStr">
        <is>
          <t>GETT11</t>
        </is>
      </c>
      <c r="B268" s="3" t="inlineStr">
        <is>
          <t>Getnet BR</t>
        </is>
      </c>
      <c r="C268" s="21" t="inlineStr">
        <is>
          <t>Software e Dados</t>
        </is>
      </c>
    </row>
    <row r="269" ht="15.75" customHeight="1">
      <c r="A269" s="19" t="inlineStr">
        <is>
          <t>NINJ3</t>
        </is>
      </c>
      <c r="B269" s="3" t="inlineStr">
        <is>
          <t>Getninjas</t>
        </is>
      </c>
      <c r="C269" s="21" t="inlineStr">
        <is>
          <t>Comércio</t>
        </is>
      </c>
    </row>
    <row r="270" ht="15.75" customHeight="1">
      <c r="A270" s="19" t="inlineStr">
        <is>
          <t>GOLL4</t>
        </is>
      </c>
      <c r="B270" s="3" t="inlineStr">
        <is>
          <t>Gol</t>
        </is>
      </c>
      <c r="C270" s="21" t="inlineStr">
        <is>
          <t>Transporte Serviç</t>
        </is>
      </c>
    </row>
    <row r="271" ht="15.75" customHeight="1">
      <c r="A271" s="19" t="inlineStr">
        <is>
          <t>GPIV33</t>
        </is>
      </c>
      <c r="B271" s="3" t="inlineStr">
        <is>
          <t>GP Invest</t>
        </is>
      </c>
      <c r="C271" s="21" t="inlineStr">
        <is>
          <t>Outros</t>
        </is>
      </c>
    </row>
    <row r="272" ht="15.75" customHeight="1">
      <c r="A272" s="19" t="inlineStr">
        <is>
          <t>GGPS3</t>
        </is>
      </c>
      <c r="B272" s="3" t="inlineStr">
        <is>
          <t>Gps</t>
        </is>
      </c>
      <c r="C272" s="21" t="inlineStr">
        <is>
          <t>Outros</t>
        </is>
      </c>
    </row>
    <row r="273" ht="15.75" customHeight="1">
      <c r="A273" s="19" t="inlineStr">
        <is>
          <t>CGRA3</t>
        </is>
      </c>
      <c r="B273" s="3" t="inlineStr">
        <is>
          <t>Grazziotin</t>
        </is>
      </c>
      <c r="C273" s="21" t="inlineStr">
        <is>
          <t>Comércio</t>
        </is>
      </c>
    </row>
    <row r="274" ht="15.75" customHeight="1">
      <c r="A274" s="19" t="inlineStr">
        <is>
          <t>CGRA4</t>
        </is>
      </c>
      <c r="B274" s="3" t="inlineStr">
        <is>
          <t>Grazziotin</t>
        </is>
      </c>
      <c r="C274" s="21" t="inlineStr">
        <is>
          <t>Comércio</t>
        </is>
      </c>
    </row>
    <row r="275" ht="15.75" customHeight="1">
      <c r="A275" s="19" t="inlineStr">
        <is>
          <t>GRND3</t>
        </is>
      </c>
      <c r="B275" s="3" t="inlineStr">
        <is>
          <t>Grendene</t>
        </is>
      </c>
      <c r="C275" s="21" t="inlineStr">
        <is>
          <t>Textil</t>
        </is>
      </c>
    </row>
    <row r="276" ht="15.75" customHeight="1">
      <c r="A276" s="19" t="inlineStr">
        <is>
          <t>GMAT3</t>
        </is>
      </c>
      <c r="B276" s="3" t="inlineStr">
        <is>
          <t>Grupo Mateus</t>
        </is>
      </c>
      <c r="C276" s="21" t="inlineStr">
        <is>
          <t>Comércio</t>
        </is>
      </c>
    </row>
    <row r="277" ht="15.75" customHeight="1">
      <c r="A277" s="19" t="inlineStr">
        <is>
          <t>NTCO3</t>
        </is>
      </c>
      <c r="B277" s="3" t="inlineStr">
        <is>
          <t>Grupo Natura</t>
        </is>
      </c>
      <c r="C277" s="21" t="inlineStr">
        <is>
          <t>Comércio</t>
        </is>
      </c>
    </row>
    <row r="278" ht="15.75" customHeight="1">
      <c r="A278" s="19" t="inlineStr">
        <is>
          <t>SBFG3</t>
        </is>
      </c>
      <c r="B278" s="3" t="inlineStr">
        <is>
          <t>Grupo Sbf</t>
        </is>
      </c>
      <c r="C278" s="21" t="inlineStr">
        <is>
          <t>Comércio</t>
        </is>
      </c>
    </row>
    <row r="279" ht="15.75" customHeight="1">
      <c r="A279" s="19" t="inlineStr">
        <is>
          <t>SOMA3</t>
        </is>
      </c>
      <c r="B279" s="3" t="inlineStr">
        <is>
          <t>Grupo Soma</t>
        </is>
      </c>
      <c r="C279" s="21" t="inlineStr">
        <is>
          <t>Comércio</t>
        </is>
      </c>
    </row>
    <row r="280" ht="15.75" customHeight="1">
      <c r="A280" s="19" t="inlineStr">
        <is>
          <t>GUAR3</t>
        </is>
      </c>
      <c r="B280" s="3" t="inlineStr">
        <is>
          <t>Guararapes</t>
        </is>
      </c>
      <c r="C280" s="21" t="inlineStr">
        <is>
          <t>Textil</t>
        </is>
      </c>
    </row>
    <row r="281" ht="15.75" customHeight="1">
      <c r="A281" s="19" t="inlineStr">
        <is>
          <t>HBTS3</t>
        </is>
      </c>
      <c r="B281" s="3" t="inlineStr">
        <is>
          <t>Habitasul</t>
        </is>
      </c>
      <c r="C281" s="21" t="inlineStr">
        <is>
          <t>Outros</t>
        </is>
      </c>
    </row>
    <row r="282" ht="15.75" customHeight="1">
      <c r="A282" s="19" t="inlineStr">
        <is>
          <t>HBTS5</t>
        </is>
      </c>
      <c r="B282" s="3" t="inlineStr">
        <is>
          <t>Habitasul</t>
        </is>
      </c>
      <c r="C282" s="21" t="inlineStr">
        <is>
          <t>Outros</t>
        </is>
      </c>
    </row>
    <row r="283" ht="15.75" customHeight="1">
      <c r="A283" s="19" t="inlineStr">
        <is>
          <t>HBTS6</t>
        </is>
      </c>
      <c r="B283" s="3" t="inlineStr">
        <is>
          <t>Habitasul</t>
        </is>
      </c>
      <c r="C283" s="21" t="inlineStr">
        <is>
          <t>Outros</t>
        </is>
      </c>
    </row>
    <row r="284" ht="15.75" customHeight="1">
      <c r="A284" s="19" t="inlineStr">
        <is>
          <t>HAGA3</t>
        </is>
      </c>
      <c r="B284" s="3" t="inlineStr">
        <is>
          <t>Haga S/A</t>
        </is>
      </c>
      <c r="C284" s="21" t="inlineStr">
        <is>
          <t>Siderur &amp; Metalur</t>
        </is>
      </c>
    </row>
    <row r="285" ht="15.75" customHeight="1">
      <c r="A285" s="19" t="inlineStr">
        <is>
          <t>HAGA4</t>
        </is>
      </c>
      <c r="B285" s="3" t="inlineStr">
        <is>
          <t>Haga S/A</t>
        </is>
      </c>
      <c r="C285" s="21" t="inlineStr">
        <is>
          <t>Siderur &amp; Metalur</t>
        </is>
      </c>
    </row>
    <row r="286" ht="15.75" customHeight="1">
      <c r="A286" s="19" t="inlineStr">
        <is>
          <t>HAPV3</t>
        </is>
      </c>
      <c r="B286" s="3" t="inlineStr">
        <is>
          <t>Hapvida</t>
        </is>
      </c>
      <c r="C286" s="21" t="inlineStr">
        <is>
          <t>Outros</t>
        </is>
      </c>
    </row>
    <row r="287" ht="15.75" customHeight="1">
      <c r="A287" s="19" t="inlineStr">
        <is>
          <t>HBRE3</t>
        </is>
      </c>
      <c r="B287" s="3" t="inlineStr">
        <is>
          <t>Hbr Realty</t>
        </is>
      </c>
      <c r="C287" s="21" t="inlineStr">
        <is>
          <t>Construção</t>
        </is>
      </c>
    </row>
    <row r="288" ht="15.75" customHeight="1">
      <c r="A288" s="19" t="inlineStr">
        <is>
          <t>HBOR3</t>
        </is>
      </c>
      <c r="B288" s="3" t="inlineStr">
        <is>
          <t>Helbor</t>
        </is>
      </c>
      <c r="C288" s="21" t="inlineStr">
        <is>
          <t>Construção</t>
        </is>
      </c>
    </row>
    <row r="289" ht="15.75" customHeight="1">
      <c r="A289" s="19" t="inlineStr">
        <is>
          <t>HETA3</t>
        </is>
      </c>
      <c r="B289" s="3" t="inlineStr">
        <is>
          <t>Hercules</t>
        </is>
      </c>
      <c r="C289" s="21" t="inlineStr">
        <is>
          <t>Siderur &amp; Metalur</t>
        </is>
      </c>
    </row>
    <row r="290" ht="15.75" customHeight="1">
      <c r="A290" s="19" t="inlineStr">
        <is>
          <t>HETA4</t>
        </is>
      </c>
      <c r="B290" s="3" t="inlineStr">
        <is>
          <t>Hercules</t>
        </is>
      </c>
      <c r="C290" s="21" t="inlineStr">
        <is>
          <t>Siderur &amp; Metalur</t>
        </is>
      </c>
    </row>
    <row r="291" ht="15.75" customHeight="1">
      <c r="A291" s="19" t="inlineStr">
        <is>
          <t>HBSA3</t>
        </is>
      </c>
      <c r="B291" s="3" t="inlineStr">
        <is>
          <t>Hidrovias</t>
        </is>
      </c>
      <c r="C291" s="21" t="inlineStr">
        <is>
          <t>Transporte Serviç</t>
        </is>
      </c>
    </row>
    <row r="292" ht="15.75" customHeight="1">
      <c r="A292" s="19" t="inlineStr">
        <is>
          <t>HOOT3</t>
        </is>
      </c>
      <c r="B292" s="3" t="inlineStr">
        <is>
          <t>Hoteis Othon</t>
        </is>
      </c>
      <c r="C292" s="21" t="inlineStr">
        <is>
          <t>Outros</t>
        </is>
      </c>
    </row>
    <row r="293" ht="15.75" customHeight="1">
      <c r="A293" s="19" t="inlineStr">
        <is>
          <t>HOOT4</t>
        </is>
      </c>
      <c r="B293" s="3" t="inlineStr">
        <is>
          <t>Hoteis Othon</t>
        </is>
      </c>
      <c r="C293" s="21" t="inlineStr">
        <is>
          <t>Outros</t>
        </is>
      </c>
    </row>
    <row r="294" ht="15.75" customHeight="1">
      <c r="A294" s="19" t="inlineStr">
        <is>
          <t>HYPE3</t>
        </is>
      </c>
      <c r="B294" s="3" t="inlineStr">
        <is>
          <t>Hypera</t>
        </is>
      </c>
      <c r="C294" s="21" t="inlineStr">
        <is>
          <t>Outros</t>
        </is>
      </c>
    </row>
    <row r="295" ht="15.75" customHeight="1">
      <c r="A295" s="19" t="inlineStr">
        <is>
          <t>IGBR3</t>
        </is>
      </c>
      <c r="B295" s="3" t="inlineStr">
        <is>
          <t>IGB S/A</t>
        </is>
      </c>
      <c r="C295" s="21" t="inlineStr">
        <is>
          <t>Eletroeletrônicos</t>
        </is>
      </c>
    </row>
    <row r="296" ht="15.75" customHeight="1">
      <c r="A296" s="19" t="inlineStr">
        <is>
          <t>IGSN3</t>
        </is>
      </c>
      <c r="B296" s="3" t="inlineStr">
        <is>
          <t>Igua SA</t>
        </is>
      </c>
      <c r="C296" s="21" t="inlineStr">
        <is>
          <t>Outros</t>
        </is>
      </c>
    </row>
    <row r="297" ht="15.75" customHeight="1">
      <c r="A297" s="19" t="inlineStr">
        <is>
          <t>IGTA3</t>
        </is>
      </c>
      <c r="B297" s="3" t="inlineStr">
        <is>
          <t>Iguatemi</t>
        </is>
      </c>
      <c r="C297" s="21" t="inlineStr">
        <is>
          <t>Outros</t>
        </is>
      </c>
    </row>
    <row r="298" ht="15.75" customHeight="1">
      <c r="A298" s="19" t="inlineStr">
        <is>
          <t>PARD3</t>
        </is>
      </c>
      <c r="B298" s="3" t="inlineStr">
        <is>
          <t>Ihpardini</t>
        </is>
      </c>
      <c r="C298" s="21" t="inlineStr">
        <is>
          <t>Outros</t>
        </is>
      </c>
    </row>
    <row r="299" ht="15.75" customHeight="1">
      <c r="A299" s="19" t="inlineStr">
        <is>
          <t>MEAL3</t>
        </is>
      </c>
      <c r="B299" s="3" t="inlineStr">
        <is>
          <t>Imc S/A</t>
        </is>
      </c>
      <c r="C299" s="21" t="inlineStr">
        <is>
          <t>Comércio</t>
        </is>
      </c>
    </row>
    <row r="300" ht="15.75" customHeight="1">
      <c r="A300" s="19" t="inlineStr">
        <is>
          <t>CATA3</t>
        </is>
      </c>
      <c r="B300" s="3" t="inlineStr">
        <is>
          <t>Ind Cataguas</t>
        </is>
      </c>
      <c r="C300" s="21" t="inlineStr">
        <is>
          <t>Textil</t>
        </is>
      </c>
    </row>
    <row r="301" ht="15.75" customHeight="1">
      <c r="A301" s="19" t="inlineStr">
        <is>
          <t>CATA4</t>
        </is>
      </c>
      <c r="B301" s="3" t="inlineStr">
        <is>
          <t>Ind Cataguas</t>
        </is>
      </c>
      <c r="C301" s="21" t="inlineStr">
        <is>
          <t>Textil</t>
        </is>
      </c>
    </row>
    <row r="302" ht="15.75" customHeight="1">
      <c r="A302" s="19" t="inlineStr">
        <is>
          <t>ROMI3</t>
        </is>
      </c>
      <c r="B302" s="3" t="inlineStr">
        <is>
          <t>Inds Romi</t>
        </is>
      </c>
      <c r="C302" s="21" t="inlineStr">
        <is>
          <t>Máquinas Indust</t>
        </is>
      </c>
    </row>
    <row r="303" ht="15.75" customHeight="1">
      <c r="A303" s="19" t="inlineStr">
        <is>
          <t>INEP3</t>
        </is>
      </c>
      <c r="B303" s="3" t="inlineStr">
        <is>
          <t>Inepar</t>
        </is>
      </c>
      <c r="C303" s="21" t="inlineStr">
        <is>
          <t>Outros</t>
        </is>
      </c>
    </row>
    <row r="304" ht="15.75" customHeight="1">
      <c r="A304" s="19" t="inlineStr">
        <is>
          <t>INEP4</t>
        </is>
      </c>
      <c r="B304" s="3" t="inlineStr">
        <is>
          <t>Inepar</t>
        </is>
      </c>
      <c r="C304" s="21" t="inlineStr">
        <is>
          <t>Outros</t>
        </is>
      </c>
    </row>
    <row r="305" ht="15.75" customHeight="1">
      <c r="A305" s="19" t="inlineStr">
        <is>
          <t>IFCM3</t>
        </is>
      </c>
      <c r="B305" s="3" t="inlineStr">
        <is>
          <t>Infracomm</t>
        </is>
      </c>
      <c r="C305" s="21" t="inlineStr">
        <is>
          <t>Comércio</t>
        </is>
      </c>
    </row>
    <row r="306" ht="15.75" customHeight="1">
      <c r="A306" s="19" t="inlineStr">
        <is>
          <t>INTB3</t>
        </is>
      </c>
      <c r="B306" s="3" t="inlineStr">
        <is>
          <t>Intelbras</t>
        </is>
      </c>
      <c r="C306" s="21" t="inlineStr">
        <is>
          <t>Eletroeletrônicos</t>
        </is>
      </c>
    </row>
    <row r="307" ht="15.75" customHeight="1">
      <c r="A307" s="19" t="inlineStr">
        <is>
          <t>INNT3</t>
        </is>
      </c>
      <c r="B307" s="3" t="inlineStr">
        <is>
          <t>Inter SA</t>
        </is>
      </c>
      <c r="C307" s="21" t="inlineStr">
        <is>
          <t>Construção</t>
        </is>
      </c>
    </row>
    <row r="308" ht="15.75" customHeight="1">
      <c r="A308" s="19" t="inlineStr">
        <is>
          <t>GNDI3</t>
        </is>
      </c>
      <c r="B308" s="3" t="inlineStr">
        <is>
          <t>Intermedica</t>
        </is>
      </c>
      <c r="C308" s="21" t="inlineStr">
        <is>
          <t>Outros</t>
        </is>
      </c>
    </row>
    <row r="309" ht="15.75" customHeight="1">
      <c r="A309" s="19" t="inlineStr">
        <is>
          <t>IVPR3B</t>
        </is>
      </c>
      <c r="B309" s="3" t="inlineStr">
        <is>
          <t>Invepar</t>
        </is>
      </c>
      <c r="C309" s="21" t="inlineStr">
        <is>
          <t>Transporte Serviç</t>
        </is>
      </c>
    </row>
    <row r="310" ht="15.75" customHeight="1">
      <c r="A310" s="19" t="inlineStr">
        <is>
          <t>IVPR4B</t>
        </is>
      </c>
      <c r="B310" s="3" t="inlineStr">
        <is>
          <t>Invepar</t>
        </is>
      </c>
      <c r="C310" s="21" t="inlineStr">
        <is>
          <t>Transporte Serviç</t>
        </is>
      </c>
    </row>
    <row r="311" ht="15.75" customHeight="1">
      <c r="A311" s="19" t="inlineStr">
        <is>
          <t>FIGE3</t>
        </is>
      </c>
      <c r="B311" s="3" t="inlineStr">
        <is>
          <t>Invest Bemge</t>
        </is>
      </c>
      <c r="C311" s="21" t="inlineStr">
        <is>
          <t>Outros</t>
        </is>
      </c>
    </row>
    <row r="312" ht="15.75" customHeight="1">
      <c r="A312" s="19" t="inlineStr">
        <is>
          <t>FIGE4</t>
        </is>
      </c>
      <c r="B312" s="3" t="inlineStr">
        <is>
          <t>Invest Bemge</t>
        </is>
      </c>
      <c r="C312" s="21" t="inlineStr">
        <is>
          <t>Outros</t>
        </is>
      </c>
    </row>
    <row r="313" ht="15.75" customHeight="1">
      <c r="A313" s="19" t="inlineStr">
        <is>
          <t>MYPK3</t>
        </is>
      </c>
      <c r="B313" s="3" t="inlineStr">
        <is>
          <t>Iochp-Maxion</t>
        </is>
      </c>
      <c r="C313" s="21" t="inlineStr">
        <is>
          <t>Veiculos e peças</t>
        </is>
      </c>
    </row>
    <row r="314" ht="15.75" customHeight="1">
      <c r="A314" s="19" t="inlineStr">
        <is>
          <t>RANI3</t>
        </is>
      </c>
      <c r="B314" s="3" t="inlineStr">
        <is>
          <t>Irani</t>
        </is>
      </c>
      <c r="C314" s="21" t="inlineStr">
        <is>
          <t>Papel e Celulose</t>
        </is>
      </c>
    </row>
    <row r="315" ht="15.75" customHeight="1">
      <c r="A315" s="19" t="inlineStr">
        <is>
          <t>IRBR3</t>
        </is>
      </c>
      <c r="B315" s="3" t="inlineStr">
        <is>
          <t>Irbbrasil Re</t>
        </is>
      </c>
      <c r="C315" s="21" t="inlineStr">
        <is>
          <t>Finanças e Seguros</t>
        </is>
      </c>
    </row>
    <row r="316" ht="15.75" customHeight="1">
      <c r="A316" s="19" t="inlineStr">
        <is>
          <t>ITSA3</t>
        </is>
      </c>
      <c r="B316" s="3" t="inlineStr">
        <is>
          <t>Itausa</t>
        </is>
      </c>
      <c r="C316" s="21" t="inlineStr">
        <is>
          <t>Outros</t>
        </is>
      </c>
    </row>
    <row r="317" ht="15.75" customHeight="1">
      <c r="A317" s="19" t="inlineStr">
        <is>
          <t>ITSA4</t>
        </is>
      </c>
      <c r="B317" s="3" t="inlineStr">
        <is>
          <t>Itausa</t>
        </is>
      </c>
      <c r="C317" s="21" t="inlineStr">
        <is>
          <t>Outros</t>
        </is>
      </c>
    </row>
    <row r="318" ht="15.75" customHeight="1">
      <c r="A318" s="19" t="inlineStr">
        <is>
          <t>ITUB3</t>
        </is>
      </c>
      <c r="B318" s="3" t="inlineStr">
        <is>
          <t>ItauUnibanco</t>
        </is>
      </c>
      <c r="C318" s="21" t="inlineStr">
        <is>
          <t>Finanças e Seguros</t>
        </is>
      </c>
    </row>
    <row r="319" ht="15.75" customHeight="1">
      <c r="A319" s="19" t="inlineStr">
        <is>
          <t>ITUB4</t>
        </is>
      </c>
      <c r="B319" s="3" t="inlineStr">
        <is>
          <t>ItauUnibanco</t>
        </is>
      </c>
      <c r="C319" s="21" t="inlineStr">
        <is>
          <t>Finanças e Seguros</t>
        </is>
      </c>
    </row>
    <row r="320" ht="15.75" customHeight="1">
      <c r="A320" s="19" t="inlineStr">
        <is>
          <t>JALL3</t>
        </is>
      </c>
      <c r="B320" s="3" t="inlineStr">
        <is>
          <t>Jallesmachad</t>
        </is>
      </c>
      <c r="C320" s="21" t="inlineStr">
        <is>
          <t>Outros</t>
        </is>
      </c>
    </row>
    <row r="321" ht="15.75" customHeight="1">
      <c r="A321" s="19" t="inlineStr">
        <is>
          <t>JBSS3</t>
        </is>
      </c>
      <c r="B321" s="3" t="inlineStr">
        <is>
          <t>JBS</t>
        </is>
      </c>
      <c r="C321" s="21" t="inlineStr">
        <is>
          <t>Alimentos e Beb</t>
        </is>
      </c>
    </row>
    <row r="322" ht="15.75" customHeight="1">
      <c r="A322" s="19" t="inlineStr">
        <is>
          <t>JPSA3</t>
        </is>
      </c>
      <c r="B322" s="3" t="inlineStr">
        <is>
          <t>Jereissati</t>
        </is>
      </c>
      <c r="C322" s="21" t="inlineStr">
        <is>
          <t>Outros</t>
        </is>
      </c>
    </row>
    <row r="323" ht="15.75" customHeight="1">
      <c r="A323" s="19" t="inlineStr">
        <is>
          <t>JHSF3</t>
        </is>
      </c>
      <c r="B323" s="3" t="inlineStr">
        <is>
          <t>JHSF Part</t>
        </is>
      </c>
      <c r="C323" s="21" t="inlineStr">
        <is>
          <t>Construção</t>
        </is>
      </c>
    </row>
    <row r="324" ht="15.75" customHeight="1">
      <c r="A324" s="19" t="inlineStr">
        <is>
          <t>JOPA3</t>
        </is>
      </c>
      <c r="B324" s="3" t="inlineStr">
        <is>
          <t>Josapar</t>
        </is>
      </c>
      <c r="C324" s="21" t="inlineStr">
        <is>
          <t>Alimentos e Beb</t>
        </is>
      </c>
    </row>
    <row r="325" ht="15.75" customHeight="1">
      <c r="A325" s="19" t="inlineStr">
        <is>
          <t>JOPA4</t>
        </is>
      </c>
      <c r="B325" s="3" t="inlineStr">
        <is>
          <t>Josapar</t>
        </is>
      </c>
      <c r="C325" s="21" t="inlineStr">
        <is>
          <t>Alimentos e Beb</t>
        </is>
      </c>
    </row>
    <row r="326" ht="15.75" customHeight="1">
      <c r="A326" s="19" t="inlineStr">
        <is>
          <t>JSLG3</t>
        </is>
      </c>
      <c r="B326" s="3" t="inlineStr">
        <is>
          <t>JSL</t>
        </is>
      </c>
      <c r="C326" s="21" t="inlineStr">
        <is>
          <t>Transporte Serviç</t>
        </is>
      </c>
    </row>
    <row r="327" ht="15.75" customHeight="1">
      <c r="A327" s="19" t="inlineStr">
        <is>
          <t>KLAS3</t>
        </is>
      </c>
      <c r="B327" s="3" t="inlineStr">
        <is>
          <t>Kallas</t>
        </is>
      </c>
      <c r="C327" s="21" t="inlineStr">
        <is>
          <t>Construção</t>
        </is>
      </c>
    </row>
    <row r="328" ht="15.75" customHeight="1">
      <c r="A328" s="19" t="inlineStr">
        <is>
          <t>CTKA3</t>
        </is>
      </c>
      <c r="B328" s="3" t="inlineStr">
        <is>
          <t>Karsten</t>
        </is>
      </c>
      <c r="C328" s="21" t="inlineStr">
        <is>
          <t>Textil</t>
        </is>
      </c>
    </row>
    <row r="329" ht="15.75" customHeight="1">
      <c r="A329" s="19" t="inlineStr">
        <is>
          <t>CTKA4</t>
        </is>
      </c>
      <c r="B329" s="3" t="inlineStr">
        <is>
          <t>Karsten</t>
        </is>
      </c>
      <c r="C329" s="21" t="inlineStr">
        <is>
          <t>Textil</t>
        </is>
      </c>
    </row>
    <row r="330" ht="15.75" customHeight="1">
      <c r="A330" s="19" t="inlineStr">
        <is>
          <t>KEPL3</t>
        </is>
      </c>
      <c r="B330" s="3" t="inlineStr">
        <is>
          <t>Kepler Weber</t>
        </is>
      </c>
      <c r="C330" s="21" t="inlineStr">
        <is>
          <t>Siderur &amp; Metalur</t>
        </is>
      </c>
    </row>
    <row r="331" ht="15.75" customHeight="1">
      <c r="A331" s="19" t="inlineStr">
        <is>
          <t>KLBN3</t>
        </is>
      </c>
      <c r="B331" s="3" t="inlineStr">
        <is>
          <t>Klabin S/A</t>
        </is>
      </c>
      <c r="C331" s="21" t="inlineStr">
        <is>
          <t>Papel e Celulose</t>
        </is>
      </c>
    </row>
    <row r="332" ht="15.75" customHeight="1">
      <c r="A332" s="19" t="inlineStr">
        <is>
          <t>KLBN4</t>
        </is>
      </c>
      <c r="B332" s="3" t="inlineStr">
        <is>
          <t>Klabin S/A</t>
        </is>
      </c>
      <c r="C332" s="21" t="inlineStr">
        <is>
          <t>Papel e Celulose</t>
        </is>
      </c>
    </row>
    <row r="333" ht="15.75" customHeight="1">
      <c r="A333" s="19" t="inlineStr">
        <is>
          <t>KLBN11</t>
        </is>
      </c>
      <c r="B333" s="3" t="inlineStr">
        <is>
          <t>Klabin S/A</t>
        </is>
      </c>
      <c r="C333" s="21" t="inlineStr">
        <is>
          <t>Papel e Celulose</t>
        </is>
      </c>
    </row>
    <row r="334" ht="15.75" customHeight="1">
      <c r="A334" s="19" t="inlineStr">
        <is>
          <t>KRSA3</t>
        </is>
      </c>
      <c r="B334" s="3" t="inlineStr">
        <is>
          <t>Kora Saude</t>
        </is>
      </c>
      <c r="C334" s="21" t="inlineStr">
        <is>
          <t>Outros</t>
        </is>
      </c>
    </row>
    <row r="335" ht="15.75" customHeight="1">
      <c r="A335" s="19" t="inlineStr">
        <is>
          <t>LAVV3</t>
        </is>
      </c>
      <c r="B335" s="3" t="inlineStr">
        <is>
          <t>Lavvi</t>
        </is>
      </c>
      <c r="C335" s="21" t="inlineStr">
        <is>
          <t>Construção</t>
        </is>
      </c>
    </row>
    <row r="336" ht="15.75" customHeight="1">
      <c r="A336" s="19" t="inlineStr">
        <is>
          <t>LLBI3</t>
        </is>
      </c>
      <c r="B336" s="3" t="inlineStr">
        <is>
          <t>Le Biscuit</t>
        </is>
      </c>
      <c r="C336" s="21" t="inlineStr">
        <is>
          <t>Comércio</t>
        </is>
      </c>
    </row>
    <row r="337" ht="15.75" customHeight="1">
      <c r="A337" s="19" t="inlineStr">
        <is>
          <t>LLBI4</t>
        </is>
      </c>
      <c r="B337" s="3" t="inlineStr">
        <is>
          <t>Le Biscuit</t>
        </is>
      </c>
      <c r="C337" s="21" t="inlineStr">
        <is>
          <t>Comércio</t>
        </is>
      </c>
    </row>
    <row r="338" ht="15.75" customHeight="1">
      <c r="A338" s="19" t="inlineStr">
        <is>
          <t>LLIS3</t>
        </is>
      </c>
      <c r="B338" s="3" t="inlineStr">
        <is>
          <t>Le Lis Blanc</t>
        </is>
      </c>
      <c r="C338" s="21" t="inlineStr">
        <is>
          <t>Textil</t>
        </is>
      </c>
    </row>
    <row r="339" ht="15.75" customHeight="1">
      <c r="A339" s="19" t="inlineStr">
        <is>
          <t>LMED3</t>
        </is>
      </c>
      <c r="B339" s="3" t="inlineStr">
        <is>
          <t>Lifemed</t>
        </is>
      </c>
      <c r="C339" s="21" t="inlineStr">
        <is>
          <t>Outros</t>
        </is>
      </c>
    </row>
    <row r="340" ht="15.75" customHeight="1">
      <c r="A340" s="19" t="inlineStr">
        <is>
          <t>LIGT3</t>
        </is>
      </c>
      <c r="B340" s="3" t="inlineStr">
        <is>
          <t>Light S/A</t>
        </is>
      </c>
      <c r="C340" s="21" t="inlineStr">
        <is>
          <t>Energia Elétrica</t>
        </is>
      </c>
    </row>
    <row r="341" ht="15.75" customHeight="1">
      <c r="A341" s="19" t="inlineStr">
        <is>
          <t>LTEL3B</t>
        </is>
      </c>
      <c r="B341" s="3" t="inlineStr">
        <is>
          <t>Litel</t>
        </is>
      </c>
      <c r="C341" s="21" t="inlineStr">
        <is>
          <t>Mineração</t>
        </is>
      </c>
    </row>
    <row r="342" ht="15.75" customHeight="1">
      <c r="A342" s="19" t="inlineStr">
        <is>
          <t>LTLA3B</t>
        </is>
      </c>
      <c r="B342" s="3" t="inlineStr">
        <is>
          <t>Litela</t>
        </is>
      </c>
      <c r="C342" s="21" t="inlineStr">
        <is>
          <t>Mineração</t>
        </is>
      </c>
    </row>
    <row r="343" ht="15.75" customHeight="1">
      <c r="A343" s="19" t="inlineStr">
        <is>
          <t>RENT3</t>
        </is>
      </c>
      <c r="B343" s="3" t="inlineStr">
        <is>
          <t>Localiza</t>
        </is>
      </c>
      <c r="C343" s="21" t="inlineStr">
        <is>
          <t>Outros</t>
        </is>
      </c>
    </row>
    <row r="344" ht="15.75" customHeight="1">
      <c r="A344" s="19" t="inlineStr">
        <is>
          <t>LCAM3</t>
        </is>
      </c>
      <c r="B344" s="3" t="inlineStr">
        <is>
          <t>Locamerica</t>
        </is>
      </c>
      <c r="C344" s="21" t="inlineStr">
        <is>
          <t>Outros</t>
        </is>
      </c>
    </row>
    <row r="345" ht="15.75" customHeight="1">
      <c r="A345" s="19" t="inlineStr">
        <is>
          <t>LWSA3</t>
        </is>
      </c>
      <c r="B345" s="3" t="inlineStr">
        <is>
          <t>Locaweb</t>
        </is>
      </c>
      <c r="C345" s="21" t="inlineStr">
        <is>
          <t>Software e Dados</t>
        </is>
      </c>
    </row>
    <row r="346" ht="15.75" customHeight="1">
      <c r="A346" s="19" t="inlineStr">
        <is>
          <t>LOGG3</t>
        </is>
      </c>
      <c r="B346" s="3" t="inlineStr">
        <is>
          <t>Log Com Prop</t>
        </is>
      </c>
      <c r="C346" s="21" t="inlineStr">
        <is>
          <t>Construção</t>
        </is>
      </c>
    </row>
    <row r="347" ht="15.75" customHeight="1">
      <c r="A347" s="19" t="inlineStr">
        <is>
          <t>LOGN3</t>
        </is>
      </c>
      <c r="B347" s="3" t="inlineStr">
        <is>
          <t>Log-In</t>
        </is>
      </c>
      <c r="C347" s="21" t="inlineStr">
        <is>
          <t>Transporte Serviç</t>
        </is>
      </c>
    </row>
    <row r="348" ht="15.75" customHeight="1">
      <c r="A348" s="19" t="inlineStr">
        <is>
          <t>LAME3</t>
        </is>
      </c>
      <c r="B348" s="3" t="inlineStr">
        <is>
          <t>Lojas Americ</t>
        </is>
      </c>
      <c r="C348" s="21" t="inlineStr">
        <is>
          <t>Comércio</t>
        </is>
      </c>
    </row>
    <row r="349" ht="15.75" customHeight="1">
      <c r="A349" s="19" t="inlineStr">
        <is>
          <t>LAME4</t>
        </is>
      </c>
      <c r="B349" s="3" t="inlineStr">
        <is>
          <t>Lojas Americ</t>
        </is>
      </c>
      <c r="C349" s="21" t="inlineStr">
        <is>
          <t>Comércio</t>
        </is>
      </c>
    </row>
    <row r="350" ht="15.75" customHeight="1">
      <c r="A350" s="19" t="inlineStr">
        <is>
          <t>LAME99</t>
        </is>
      </c>
      <c r="B350" s="3" t="inlineStr">
        <is>
          <t>Lojas Americ</t>
        </is>
      </c>
      <c r="C350" s="21" t="inlineStr">
        <is>
          <t>Comércio</t>
        </is>
      </c>
    </row>
    <row r="351" ht="15.75" customHeight="1">
      <c r="A351" s="19" t="inlineStr">
        <is>
          <t>LAME98</t>
        </is>
      </c>
      <c r="B351" s="3" t="inlineStr">
        <is>
          <t>Lojas Americ</t>
        </is>
      </c>
      <c r="C351" s="21" t="inlineStr">
        <is>
          <t>Comércio</t>
        </is>
      </c>
    </row>
    <row r="352" ht="15.75" customHeight="1">
      <c r="A352" s="19" t="inlineStr">
        <is>
          <t>AMAR3</t>
        </is>
      </c>
      <c r="B352" s="3" t="inlineStr">
        <is>
          <t>Lojas Marisa</t>
        </is>
      </c>
      <c r="C352" s="21" t="inlineStr">
        <is>
          <t>Comércio</t>
        </is>
      </c>
    </row>
    <row r="353" ht="15.75" customHeight="1">
      <c r="A353" s="19" t="inlineStr">
        <is>
          <t>LREN3</t>
        </is>
      </c>
      <c r="B353" s="3" t="inlineStr">
        <is>
          <t>Lojas Renner</t>
        </is>
      </c>
      <c r="C353" s="21" t="inlineStr">
        <is>
          <t>Comércio</t>
        </is>
      </c>
    </row>
    <row r="354" ht="15.75" customHeight="1">
      <c r="A354" s="19" t="inlineStr">
        <is>
          <t>LPSB3</t>
        </is>
      </c>
      <c r="B354" s="3" t="inlineStr">
        <is>
          <t>Lopes Brasil</t>
        </is>
      </c>
      <c r="C354" s="21" t="inlineStr">
        <is>
          <t>Outros</t>
        </is>
      </c>
    </row>
    <row r="355" ht="15.75" customHeight="1">
      <c r="A355" s="19" t="inlineStr">
        <is>
          <t>LUPA3</t>
        </is>
      </c>
      <c r="B355" s="3" t="inlineStr">
        <is>
          <t>Lupatech</t>
        </is>
      </c>
      <c r="C355" s="21" t="inlineStr">
        <is>
          <t>Siderur &amp; Metalur</t>
        </is>
      </c>
    </row>
    <row r="356" ht="15.75" customHeight="1">
      <c r="A356" s="19" t="inlineStr">
        <is>
          <t>MDIA3</t>
        </is>
      </c>
      <c r="B356" s="3" t="inlineStr">
        <is>
          <t>M.Diasbranco</t>
        </is>
      </c>
      <c r="C356" s="21" t="inlineStr">
        <is>
          <t>Alimentos e Beb</t>
        </is>
      </c>
    </row>
    <row r="357" ht="15.75" customHeight="1">
      <c r="A357" s="19" t="inlineStr">
        <is>
          <t>MSRO3</t>
        </is>
      </c>
      <c r="B357" s="3" t="inlineStr">
        <is>
          <t>Maestroloc</t>
        </is>
      </c>
      <c r="C357" s="21" t="inlineStr">
        <is>
          <t>Outros</t>
        </is>
      </c>
    </row>
    <row r="358" ht="15.75" customHeight="1">
      <c r="A358" s="19" t="inlineStr">
        <is>
          <t>MGLU3</t>
        </is>
      </c>
      <c r="B358" s="3" t="inlineStr">
        <is>
          <t>Magaz Luiza</t>
        </is>
      </c>
      <c r="C358" s="21" t="inlineStr">
        <is>
          <t>Comércio</t>
        </is>
      </c>
    </row>
    <row r="359" ht="15.75" customHeight="1">
      <c r="A359" s="19" t="inlineStr">
        <is>
          <t>MGEL3</t>
        </is>
      </c>
      <c r="B359" s="3" t="inlineStr">
        <is>
          <t>Mangels Indl</t>
        </is>
      </c>
      <c r="C359" s="21" t="inlineStr">
        <is>
          <t>Siderur &amp; Metalur</t>
        </is>
      </c>
    </row>
    <row r="360" ht="15.75" customHeight="1">
      <c r="A360" s="19" t="inlineStr">
        <is>
          <t>MGEL4</t>
        </is>
      </c>
      <c r="B360" s="3" t="inlineStr">
        <is>
          <t>Mangels Indl</t>
        </is>
      </c>
      <c r="C360" s="21" t="inlineStr">
        <is>
          <t>Siderur &amp; Metalur</t>
        </is>
      </c>
    </row>
    <row r="361" ht="15.75" customHeight="1">
      <c r="A361" s="19" t="inlineStr">
        <is>
          <t>POMO3</t>
        </is>
      </c>
      <c r="B361" s="3" t="inlineStr">
        <is>
          <t>Marcopolo</t>
        </is>
      </c>
      <c r="C361" s="21" t="inlineStr">
        <is>
          <t>Veiculos e peças</t>
        </is>
      </c>
    </row>
    <row r="362" ht="15.75" customHeight="1">
      <c r="A362" s="19" t="inlineStr">
        <is>
          <t>POMO4</t>
        </is>
      </c>
      <c r="B362" s="3" t="inlineStr">
        <is>
          <t>Marcopolo</t>
        </is>
      </c>
      <c r="C362" s="21" t="inlineStr">
        <is>
          <t>Veiculos e peças</t>
        </is>
      </c>
    </row>
    <row r="363" ht="15.75" customHeight="1">
      <c r="A363" s="19" t="inlineStr">
        <is>
          <t>MRFG3</t>
        </is>
      </c>
      <c r="B363" s="3" t="inlineStr">
        <is>
          <t>Marfrig</t>
        </is>
      </c>
      <c r="C363" s="21" t="inlineStr">
        <is>
          <t>Alimentos e Beb</t>
        </is>
      </c>
    </row>
    <row r="364" ht="15.75" customHeight="1">
      <c r="A364" s="19" t="inlineStr">
        <is>
          <t>MATD3</t>
        </is>
      </c>
      <c r="B364" s="3" t="inlineStr">
        <is>
          <t>Mater Dei</t>
        </is>
      </c>
      <c r="C364" s="21" t="inlineStr">
        <is>
          <t>Outros</t>
        </is>
      </c>
    </row>
    <row r="365" ht="15.75" customHeight="1">
      <c r="A365" s="19" t="inlineStr">
        <is>
          <t>MSPA3</t>
        </is>
      </c>
      <c r="B365" s="3" t="inlineStr">
        <is>
          <t>Melhor SP</t>
        </is>
      </c>
      <c r="C365" s="21" t="inlineStr">
        <is>
          <t>Papel e Celulose</t>
        </is>
      </c>
    </row>
    <row r="366" ht="15.75" customHeight="1">
      <c r="A366" s="19" t="inlineStr">
        <is>
          <t>MSPA4</t>
        </is>
      </c>
      <c r="B366" s="3" t="inlineStr">
        <is>
          <t>Melhor SP</t>
        </is>
      </c>
      <c r="C366" s="21" t="inlineStr">
        <is>
          <t>Papel e Celulose</t>
        </is>
      </c>
    </row>
    <row r="367" ht="15.75" customHeight="1">
      <c r="A367" s="19" t="inlineStr">
        <is>
          <t>CASH3</t>
        </is>
      </c>
      <c r="B367" s="3" t="inlineStr">
        <is>
          <t>Meliuz</t>
        </is>
      </c>
      <c r="C367" s="21" t="inlineStr">
        <is>
          <t>Software e Dados</t>
        </is>
      </c>
    </row>
    <row r="368" ht="15.75" customHeight="1">
      <c r="A368" s="19" t="inlineStr">
        <is>
          <t>MELK3</t>
        </is>
      </c>
      <c r="B368" s="3" t="inlineStr">
        <is>
          <t>Melnick</t>
        </is>
      </c>
      <c r="C368" s="21" t="inlineStr">
        <is>
          <t>Construção</t>
        </is>
      </c>
    </row>
    <row r="369" ht="15.75" customHeight="1">
      <c r="A369" s="19" t="inlineStr">
        <is>
          <t>MNZC3B</t>
        </is>
      </c>
      <c r="B369" s="3" t="inlineStr">
        <is>
          <t>Menezes Cort</t>
        </is>
      </c>
      <c r="C369" s="21" t="inlineStr">
        <is>
          <t>Transporte Serviç</t>
        </is>
      </c>
    </row>
    <row r="370" ht="15.75" customHeight="1">
      <c r="A370" s="19" t="inlineStr">
        <is>
          <t>BMEB3</t>
        </is>
      </c>
      <c r="B370" s="3" t="inlineStr">
        <is>
          <t>Merc Brasil</t>
        </is>
      </c>
      <c r="C370" s="21" t="inlineStr">
        <is>
          <t>Finanças e Seguros</t>
        </is>
      </c>
    </row>
    <row r="371" ht="15.75" customHeight="1">
      <c r="A371" s="19" t="inlineStr">
        <is>
          <t>BMEB4</t>
        </is>
      </c>
      <c r="B371" s="3" t="inlineStr">
        <is>
          <t>Merc Brasil</t>
        </is>
      </c>
      <c r="C371" s="21" t="inlineStr">
        <is>
          <t>Finanças e Seguros</t>
        </is>
      </c>
    </row>
    <row r="372" ht="15.75" customHeight="1">
      <c r="A372" s="19" t="inlineStr">
        <is>
          <t>MERC3</t>
        </is>
      </c>
      <c r="B372" s="3" t="inlineStr">
        <is>
          <t>Merc Financ</t>
        </is>
      </c>
      <c r="C372" s="21" t="inlineStr">
        <is>
          <t>Finanças e Seguros</t>
        </is>
      </c>
    </row>
    <row r="373" ht="15.75" customHeight="1">
      <c r="A373" s="19" t="inlineStr">
        <is>
          <t>MERC4</t>
        </is>
      </c>
      <c r="B373" s="3" t="inlineStr">
        <is>
          <t>Merc Financ</t>
        </is>
      </c>
      <c r="C373" s="21" t="inlineStr">
        <is>
          <t>Finanças e Seguros</t>
        </is>
      </c>
    </row>
    <row r="374" ht="15.75" customHeight="1">
      <c r="A374" s="19" t="inlineStr">
        <is>
          <t>BMIN3</t>
        </is>
      </c>
      <c r="B374" s="3" t="inlineStr">
        <is>
          <t>Merc Invest</t>
        </is>
      </c>
      <c r="C374" s="21" t="inlineStr">
        <is>
          <t>Finanças e Seguros</t>
        </is>
      </c>
    </row>
    <row r="375" ht="15.75" customHeight="1">
      <c r="A375" s="19" t="inlineStr">
        <is>
          <t>BMIN4</t>
        </is>
      </c>
      <c r="B375" s="3" t="inlineStr">
        <is>
          <t>Merc Invest</t>
        </is>
      </c>
      <c r="C375" s="21" t="inlineStr">
        <is>
          <t>Finanças e Seguros</t>
        </is>
      </c>
    </row>
    <row r="376" ht="15.75" customHeight="1">
      <c r="A376" s="19" t="inlineStr">
        <is>
          <t>MTIG3</t>
        </is>
      </c>
      <c r="B376" s="3" t="inlineStr">
        <is>
          <t>Metal Iguacu</t>
        </is>
      </c>
      <c r="C376" s="21" t="inlineStr">
        <is>
          <t>Siderur &amp; Metalur</t>
        </is>
      </c>
    </row>
    <row r="377" ht="15.75" customHeight="1">
      <c r="A377" s="19" t="inlineStr">
        <is>
          <t>MTIG4</t>
        </is>
      </c>
      <c r="B377" s="3" t="inlineStr">
        <is>
          <t>Metal Iguacu</t>
        </is>
      </c>
      <c r="C377" s="21" t="inlineStr">
        <is>
          <t>Siderur &amp; Metalur</t>
        </is>
      </c>
    </row>
    <row r="378" ht="15.75" customHeight="1">
      <c r="A378" s="19" t="inlineStr">
        <is>
          <t>LEVE3</t>
        </is>
      </c>
      <c r="B378" s="3" t="inlineStr">
        <is>
          <t>Metal Leve</t>
        </is>
      </c>
      <c r="C378" s="21" t="inlineStr">
        <is>
          <t>Veiculos e peças</t>
        </is>
      </c>
    </row>
    <row r="379" ht="15.75" customHeight="1">
      <c r="A379" s="19" t="inlineStr">
        <is>
          <t>FRIO3</t>
        </is>
      </c>
      <c r="B379" s="3" t="inlineStr">
        <is>
          <t>Metalfrio</t>
        </is>
      </c>
      <c r="C379" s="21" t="inlineStr">
        <is>
          <t>Máquinas Indust</t>
        </is>
      </c>
    </row>
    <row r="380" ht="15.75" customHeight="1">
      <c r="A380" s="19" t="inlineStr">
        <is>
          <t>MTSA3</t>
        </is>
      </c>
      <c r="B380" s="3" t="inlineStr">
        <is>
          <t>Metisa</t>
        </is>
      </c>
      <c r="C380" s="21" t="inlineStr">
        <is>
          <t>Siderur &amp; Metalur</t>
        </is>
      </c>
    </row>
    <row r="381" ht="15.75" customHeight="1">
      <c r="A381" s="19" t="inlineStr">
        <is>
          <t>MTSA4</t>
        </is>
      </c>
      <c r="B381" s="3" t="inlineStr">
        <is>
          <t>Metisa</t>
        </is>
      </c>
      <c r="C381" s="21" t="inlineStr">
        <is>
          <t>Siderur &amp; Metalur</t>
        </is>
      </c>
    </row>
    <row r="382" ht="15.75" customHeight="1">
      <c r="A382" s="19" t="inlineStr">
        <is>
          <t>MILS3</t>
        </is>
      </c>
      <c r="B382" s="3" t="inlineStr">
        <is>
          <t>Mills</t>
        </is>
      </c>
      <c r="C382" s="21" t="inlineStr">
        <is>
          <t>Outros</t>
        </is>
      </c>
    </row>
    <row r="383" ht="15.75" customHeight="1">
      <c r="A383" s="19" t="inlineStr">
        <is>
          <t>MMAQ3</t>
        </is>
      </c>
      <c r="B383" s="3" t="inlineStr">
        <is>
          <t>Minasmaquina</t>
        </is>
      </c>
      <c r="C383" s="21" t="inlineStr">
        <is>
          <t>Comércio</t>
        </is>
      </c>
    </row>
    <row r="384" ht="15.75" customHeight="1">
      <c r="A384" s="19" t="inlineStr">
        <is>
          <t>MMAQ4</t>
        </is>
      </c>
      <c r="B384" s="3" t="inlineStr">
        <is>
          <t>Minasmaquina</t>
        </is>
      </c>
      <c r="C384" s="21" t="inlineStr">
        <is>
          <t>Comércio</t>
        </is>
      </c>
    </row>
    <row r="385" ht="15.75" customHeight="1">
      <c r="A385" s="19" t="inlineStr">
        <is>
          <t>BEEF3</t>
        </is>
      </c>
      <c r="B385" s="3" t="inlineStr">
        <is>
          <t>Minerva</t>
        </is>
      </c>
      <c r="C385" s="21" t="inlineStr">
        <is>
          <t>Alimentos e Beb</t>
        </is>
      </c>
    </row>
    <row r="386" ht="15.75" customHeight="1">
      <c r="A386" s="19" t="inlineStr">
        <is>
          <t>MNPR3</t>
        </is>
      </c>
      <c r="B386" s="3" t="inlineStr">
        <is>
          <t>Minupar</t>
        </is>
      </c>
      <c r="C386" s="21" t="inlineStr">
        <is>
          <t>Alimentos e Beb</t>
        </is>
      </c>
    </row>
    <row r="387" ht="15.75" customHeight="1">
      <c r="A387" s="19" t="inlineStr">
        <is>
          <t>MTRE3</t>
        </is>
      </c>
      <c r="B387" s="3" t="inlineStr">
        <is>
          <t>Mitre Realty</t>
        </is>
      </c>
      <c r="C387" s="21" t="inlineStr">
        <is>
          <t>Construção</t>
        </is>
      </c>
    </row>
    <row r="388" ht="15.75" customHeight="1">
      <c r="A388" s="19" t="inlineStr">
        <is>
          <t>MMXM3</t>
        </is>
      </c>
      <c r="B388" s="3" t="inlineStr">
        <is>
          <t>MMX Miner</t>
        </is>
      </c>
      <c r="C388" s="21" t="inlineStr">
        <is>
          <t>Mineração</t>
        </is>
      </c>
    </row>
    <row r="389" ht="15.75" customHeight="1">
      <c r="A389" s="19" t="inlineStr">
        <is>
          <t>MBLY3</t>
        </is>
      </c>
      <c r="B389" s="3" t="inlineStr">
        <is>
          <t>Mobly</t>
        </is>
      </c>
      <c r="C389" s="21" t="inlineStr">
        <is>
          <t>Comércio</t>
        </is>
      </c>
    </row>
    <row r="390" ht="15.75" customHeight="1">
      <c r="A390" s="19" t="inlineStr">
        <is>
          <t>MODL3</t>
        </is>
      </c>
      <c r="B390" s="3" t="inlineStr">
        <is>
          <t>Modalmais</t>
        </is>
      </c>
      <c r="C390" s="21" t="inlineStr">
        <is>
          <t>Finanças e Seguros</t>
        </is>
      </c>
    </row>
    <row r="391" ht="15.75" customHeight="1">
      <c r="A391" s="19" t="inlineStr">
        <is>
          <t>MODL4</t>
        </is>
      </c>
      <c r="B391" s="3" t="inlineStr">
        <is>
          <t>Modalmais</t>
        </is>
      </c>
      <c r="C391" s="21" t="inlineStr">
        <is>
          <t>Finanças e Seguros</t>
        </is>
      </c>
    </row>
    <row r="392" ht="15.75" customHeight="1">
      <c r="A392" s="19" t="inlineStr">
        <is>
          <t>MODL11</t>
        </is>
      </c>
      <c r="B392" s="3" t="inlineStr">
        <is>
          <t>Modalmais</t>
        </is>
      </c>
      <c r="C392" s="21" t="inlineStr">
        <is>
          <t>Finanças e Seguros</t>
        </is>
      </c>
    </row>
    <row r="393" ht="15.75" customHeight="1">
      <c r="A393" s="19" t="inlineStr">
        <is>
          <t>MOAR3</t>
        </is>
      </c>
      <c r="B393" s="3" t="inlineStr">
        <is>
          <t>Mont Aranha</t>
        </is>
      </c>
      <c r="C393" s="21" t="inlineStr">
        <is>
          <t>Outros</t>
        </is>
      </c>
    </row>
    <row r="394" ht="15.75" customHeight="1">
      <c r="A394" s="19" t="inlineStr">
        <is>
          <t>MOSI3</t>
        </is>
      </c>
      <c r="B394" s="3" t="inlineStr">
        <is>
          <t>Mosaico</t>
        </is>
      </c>
      <c r="C394" s="21" t="inlineStr">
        <is>
          <t>Comércio</t>
        </is>
      </c>
    </row>
    <row r="395" ht="15.75" customHeight="1">
      <c r="A395" s="19" t="inlineStr">
        <is>
          <t>MDNE3</t>
        </is>
      </c>
      <c r="B395" s="3" t="inlineStr">
        <is>
          <t>Moura Dubeux</t>
        </is>
      </c>
      <c r="C395" s="21" t="inlineStr">
        <is>
          <t>Construção</t>
        </is>
      </c>
    </row>
    <row r="396" ht="15.75" customHeight="1">
      <c r="A396" s="19" t="inlineStr">
        <is>
          <t>MOVI3</t>
        </is>
      </c>
      <c r="B396" s="3" t="inlineStr">
        <is>
          <t>Movida</t>
        </is>
      </c>
      <c r="C396" s="21" t="inlineStr">
        <is>
          <t>Outros</t>
        </is>
      </c>
    </row>
    <row r="397" ht="15.75" customHeight="1">
      <c r="A397" s="19" t="inlineStr">
        <is>
          <t>MRSA3B</t>
        </is>
      </c>
      <c r="B397" s="3" t="inlineStr">
        <is>
          <t>Mrs Logist</t>
        </is>
      </c>
      <c r="C397" s="21" t="inlineStr">
        <is>
          <t>Transporte Serviç</t>
        </is>
      </c>
    </row>
    <row r="398" ht="15.75" customHeight="1">
      <c r="A398" s="19" t="inlineStr">
        <is>
          <t>MRSA5B</t>
        </is>
      </c>
      <c r="B398" s="3" t="inlineStr">
        <is>
          <t>Mrs Logist</t>
        </is>
      </c>
      <c r="C398" s="21" t="inlineStr">
        <is>
          <t>Transporte Serviç</t>
        </is>
      </c>
    </row>
    <row r="399" ht="15.75" customHeight="1">
      <c r="A399" s="19" t="inlineStr">
        <is>
          <t>MRSA6B</t>
        </is>
      </c>
      <c r="B399" s="3" t="inlineStr">
        <is>
          <t>Mrs Logist</t>
        </is>
      </c>
      <c r="C399" s="21" t="inlineStr">
        <is>
          <t>Transporte Serviç</t>
        </is>
      </c>
    </row>
    <row r="400" ht="15.75" customHeight="1">
      <c r="A400" s="19" t="inlineStr">
        <is>
          <t>MRVE3</t>
        </is>
      </c>
      <c r="B400" s="3" t="inlineStr">
        <is>
          <t>MRV</t>
        </is>
      </c>
      <c r="C400" s="21" t="inlineStr">
        <is>
          <t>Construção</t>
        </is>
      </c>
    </row>
    <row r="401" ht="15.75" customHeight="1">
      <c r="A401" s="19" t="inlineStr">
        <is>
          <t>MLAS3</t>
        </is>
      </c>
      <c r="B401" s="3" t="inlineStr">
        <is>
          <t>Multilaser</t>
        </is>
      </c>
      <c r="C401" s="21" t="inlineStr">
        <is>
          <t>Eletroeletrônicos</t>
        </is>
      </c>
    </row>
    <row r="402" ht="15.75" customHeight="1">
      <c r="A402" s="19" t="inlineStr">
        <is>
          <t>MULT3</t>
        </is>
      </c>
      <c r="B402" s="3" t="inlineStr">
        <is>
          <t>Multiplan</t>
        </is>
      </c>
      <c r="C402" s="21" t="inlineStr">
        <is>
          <t>Outros</t>
        </is>
      </c>
    </row>
    <row r="403" ht="15.75" customHeight="1">
      <c r="A403" s="19" t="inlineStr">
        <is>
          <t>MNDL3</t>
        </is>
      </c>
      <c r="B403" s="3" t="inlineStr">
        <is>
          <t>Mundial</t>
        </is>
      </c>
      <c r="C403" s="21" t="inlineStr">
        <is>
          <t>Siderur &amp; Metalur</t>
        </is>
      </c>
    </row>
    <row r="404" ht="15.75" customHeight="1">
      <c r="A404" s="19" t="inlineStr">
        <is>
          <t>NEOE3</t>
        </is>
      </c>
      <c r="B404" s="3" t="inlineStr">
        <is>
          <t>Neoenergia</t>
        </is>
      </c>
      <c r="C404" s="21" t="inlineStr">
        <is>
          <t>Energia Elétrica</t>
        </is>
      </c>
    </row>
    <row r="405" ht="15.75" customHeight="1">
      <c r="A405" s="19" t="inlineStr">
        <is>
          <t>NGRD3</t>
        </is>
      </c>
      <c r="B405" s="3" t="inlineStr">
        <is>
          <t>Neogrid</t>
        </is>
      </c>
      <c r="C405" s="21" t="inlineStr">
        <is>
          <t>Software e Dados</t>
        </is>
      </c>
    </row>
    <row r="406" ht="15.75" customHeight="1">
      <c r="A406" s="19" t="inlineStr">
        <is>
          <t>BNBR3</t>
        </is>
      </c>
      <c r="B406" s="3" t="inlineStr">
        <is>
          <t>Nord Brasil</t>
        </is>
      </c>
      <c r="C406" s="21" t="inlineStr">
        <is>
          <t>Finanças e Seguros</t>
        </is>
      </c>
    </row>
    <row r="407" ht="15.75" customHeight="1">
      <c r="A407" s="19" t="inlineStr">
        <is>
          <t>NORD3</t>
        </is>
      </c>
      <c r="B407" s="3" t="inlineStr">
        <is>
          <t>Nordon Met</t>
        </is>
      </c>
      <c r="C407" s="21" t="inlineStr">
        <is>
          <t>Máquinas Indust</t>
        </is>
      </c>
    </row>
    <row r="408" ht="15.75" customHeight="1">
      <c r="A408" s="19" t="inlineStr">
        <is>
          <t>NRTQ3</t>
        </is>
      </c>
      <c r="B408" s="3" t="inlineStr">
        <is>
          <t>Nortcquimica</t>
        </is>
      </c>
      <c r="C408" s="21" t="inlineStr">
        <is>
          <t>Química</t>
        </is>
      </c>
    </row>
    <row r="409" ht="15.75" customHeight="1">
      <c r="A409" s="19" t="inlineStr">
        <is>
          <t>NUTR3</t>
        </is>
      </c>
      <c r="B409" s="3" t="inlineStr">
        <is>
          <t>Nutriplant</t>
        </is>
      </c>
      <c r="C409" s="21" t="inlineStr">
        <is>
          <t>Química</t>
        </is>
      </c>
    </row>
    <row r="410" ht="15.75" customHeight="1">
      <c r="A410" s="19" t="inlineStr">
        <is>
          <t>OPCT3</t>
        </is>
      </c>
      <c r="B410" s="3" t="inlineStr">
        <is>
          <t>Oceanpact</t>
        </is>
      </c>
      <c r="C410" s="21" t="inlineStr">
        <is>
          <t>Mineração</t>
        </is>
      </c>
    </row>
    <row r="411" ht="15.75" customHeight="1">
      <c r="A411" s="19" t="inlineStr">
        <is>
          <t>ODER3</t>
        </is>
      </c>
      <c r="B411" s="3" t="inlineStr">
        <is>
          <t>Oderich</t>
        </is>
      </c>
      <c r="C411" s="21" t="inlineStr">
        <is>
          <t>Alimentos e Beb</t>
        </is>
      </c>
    </row>
    <row r="412" ht="15.75" customHeight="1">
      <c r="A412" s="19" t="inlineStr">
        <is>
          <t>ODER4</t>
        </is>
      </c>
      <c r="B412" s="3" t="inlineStr">
        <is>
          <t>Oderich</t>
        </is>
      </c>
      <c r="C412" s="21" t="inlineStr">
        <is>
          <t>Alimentos e Beb</t>
        </is>
      </c>
    </row>
    <row r="413" ht="15.75" customHeight="1">
      <c r="A413" s="19" t="inlineStr">
        <is>
          <t>ODPV3</t>
        </is>
      </c>
      <c r="B413" s="3" t="inlineStr">
        <is>
          <t>Odontoprev</t>
        </is>
      </c>
      <c r="C413" s="21" t="inlineStr">
        <is>
          <t>Outros</t>
        </is>
      </c>
    </row>
    <row r="414" ht="15.75" customHeight="1">
      <c r="A414" s="19" t="inlineStr">
        <is>
          <t>OIBR3</t>
        </is>
      </c>
      <c r="B414" s="3" t="inlineStr">
        <is>
          <t>Oi</t>
        </is>
      </c>
      <c r="C414" s="21" t="inlineStr">
        <is>
          <t>Telecomunicações</t>
        </is>
      </c>
    </row>
    <row r="415" ht="15.75" customHeight="1">
      <c r="A415" s="19" t="inlineStr">
        <is>
          <t>OIBR4</t>
        </is>
      </c>
      <c r="B415" s="3" t="inlineStr">
        <is>
          <t>Oi</t>
        </is>
      </c>
      <c r="C415" s="21" t="inlineStr">
        <is>
          <t>Telecomunicações</t>
        </is>
      </c>
    </row>
    <row r="416" ht="15.75" customHeight="1">
      <c r="A416" s="19" t="inlineStr">
        <is>
          <t>OMGE3</t>
        </is>
      </c>
      <c r="B416" s="3" t="inlineStr">
        <is>
          <t>Omega Ger</t>
        </is>
      </c>
      <c r="C416" s="21" t="inlineStr">
        <is>
          <t>Outros</t>
        </is>
      </c>
    </row>
    <row r="417" ht="15.75" customHeight="1">
      <c r="A417" s="19" t="inlineStr">
        <is>
          <t>ONCO3</t>
        </is>
      </c>
      <c r="B417" s="3" t="inlineStr">
        <is>
          <t>Oncoclinicas</t>
        </is>
      </c>
      <c r="C417" s="21" t="inlineStr">
        <is>
          <t>Outros</t>
        </is>
      </c>
    </row>
    <row r="418" ht="15.75" customHeight="1">
      <c r="A418" s="19" t="inlineStr">
        <is>
          <t>OPHE3B</t>
        </is>
      </c>
      <c r="B418" s="3" t="inlineStr">
        <is>
          <t>Opport Energ</t>
        </is>
      </c>
      <c r="C418" s="21" t="inlineStr">
        <is>
          <t>Outros</t>
        </is>
      </c>
    </row>
    <row r="419" ht="15.75" customHeight="1">
      <c r="A419" s="19" t="inlineStr">
        <is>
          <t>ORVR3</t>
        </is>
      </c>
      <c r="B419" s="3" t="inlineStr">
        <is>
          <t>Orizon</t>
        </is>
      </c>
      <c r="C419" s="21" t="inlineStr">
        <is>
          <t>Energia Elétrica</t>
        </is>
      </c>
    </row>
    <row r="420" ht="15.75" customHeight="1">
      <c r="A420" s="19" t="inlineStr">
        <is>
          <t>OSXB3</t>
        </is>
      </c>
      <c r="B420" s="3" t="inlineStr">
        <is>
          <t>OSX Brasil</t>
        </is>
      </c>
      <c r="C420" s="21" t="inlineStr">
        <is>
          <t>Veiculos e peças</t>
        </is>
      </c>
    </row>
    <row r="421" ht="15.75" customHeight="1">
      <c r="A421" s="19" t="inlineStr">
        <is>
          <t>OFSA3</t>
        </is>
      </c>
      <c r="B421" s="3" t="inlineStr">
        <is>
          <t>Ourofino S/A</t>
        </is>
      </c>
      <c r="C421" s="21" t="inlineStr">
        <is>
          <t>Química</t>
        </is>
      </c>
    </row>
    <row r="422" ht="15.75" customHeight="1">
      <c r="A422" s="19" t="inlineStr">
        <is>
          <t>PCAR3</t>
        </is>
      </c>
      <c r="B422" s="3" t="inlineStr">
        <is>
          <t>P.Acucar-Cbd</t>
        </is>
      </c>
      <c r="C422" s="21" t="inlineStr">
        <is>
          <t>Comércio</t>
        </is>
      </c>
    </row>
    <row r="423" ht="15.75" customHeight="1">
      <c r="A423" s="19" t="inlineStr">
        <is>
          <t>PCAR99</t>
        </is>
      </c>
      <c r="B423" s="3" t="inlineStr">
        <is>
          <t>P.Acucar-Cbd</t>
        </is>
      </c>
      <c r="C423" s="21" t="inlineStr">
        <is>
          <t>Comércio</t>
        </is>
      </c>
    </row>
    <row r="424" ht="15.75" customHeight="1">
      <c r="A424" s="19" t="inlineStr">
        <is>
          <t>PDTC3</t>
        </is>
      </c>
      <c r="B424" s="3" t="inlineStr">
        <is>
          <t>Padtec</t>
        </is>
      </c>
      <c r="C424" s="21" t="inlineStr">
        <is>
          <t>Software e Dados</t>
        </is>
      </c>
    </row>
    <row r="425" ht="15.75" customHeight="1">
      <c r="A425" s="19" t="inlineStr">
        <is>
          <t>PGMN3</t>
        </is>
      </c>
      <c r="B425" s="3" t="inlineStr">
        <is>
          <t>Pague Menos</t>
        </is>
      </c>
      <c r="C425" s="21" t="inlineStr">
        <is>
          <t>Comércio</t>
        </is>
      </c>
    </row>
    <row r="426" ht="15.75" customHeight="1">
      <c r="A426" s="19" t="inlineStr">
        <is>
          <t>PATI3</t>
        </is>
      </c>
      <c r="B426" s="3" t="inlineStr">
        <is>
          <t>Panatlantica</t>
        </is>
      </c>
      <c r="C426" s="21" t="inlineStr">
        <is>
          <t>Siderur &amp; Metalur</t>
        </is>
      </c>
    </row>
    <row r="427" ht="15.75" customHeight="1">
      <c r="A427" s="19" t="inlineStr">
        <is>
          <t>PATI4</t>
        </is>
      </c>
      <c r="B427" s="3" t="inlineStr">
        <is>
          <t>Panatlantica</t>
        </is>
      </c>
      <c r="C427" s="21" t="inlineStr">
        <is>
          <t>Siderur &amp; Metalur</t>
        </is>
      </c>
    </row>
    <row r="428" ht="15.75" customHeight="1">
      <c r="A428" s="19" t="inlineStr">
        <is>
          <t>PEAB3</t>
        </is>
      </c>
      <c r="B428" s="3" t="inlineStr">
        <is>
          <t>Par Al Bahia</t>
        </is>
      </c>
      <c r="C428" s="21" t="inlineStr">
        <is>
          <t>Outros</t>
        </is>
      </c>
    </row>
    <row r="429" ht="15.75" customHeight="1">
      <c r="A429" s="19" t="inlineStr">
        <is>
          <t>PEAB4</t>
        </is>
      </c>
      <c r="B429" s="3" t="inlineStr">
        <is>
          <t>Par Al Bahia</t>
        </is>
      </c>
      <c r="C429" s="21" t="inlineStr">
        <is>
          <t>Outros</t>
        </is>
      </c>
    </row>
    <row r="430" ht="15.75" customHeight="1">
      <c r="A430" s="19" t="inlineStr">
        <is>
          <t>PMAM3</t>
        </is>
      </c>
      <c r="B430" s="3" t="inlineStr">
        <is>
          <t>Paranapanema</t>
        </is>
      </c>
      <c r="C430" s="21" t="inlineStr">
        <is>
          <t>Siderur &amp; Metalur</t>
        </is>
      </c>
    </row>
    <row r="431" ht="15.75" customHeight="1">
      <c r="A431" s="19" t="inlineStr">
        <is>
          <t>PDGR3</t>
        </is>
      </c>
      <c r="B431" s="3" t="inlineStr">
        <is>
          <t>PDG Realt</t>
        </is>
      </c>
      <c r="C431" s="21" t="inlineStr">
        <is>
          <t>Construção</t>
        </is>
      </c>
    </row>
    <row r="432" ht="15.75" customHeight="1">
      <c r="A432" s="19" t="inlineStr">
        <is>
          <t>RPMG3</t>
        </is>
      </c>
      <c r="B432" s="3" t="inlineStr">
        <is>
          <t>Pet Manguinh</t>
        </is>
      </c>
      <c r="C432" s="21" t="inlineStr">
        <is>
          <t>Petróleo e Gas</t>
        </is>
      </c>
    </row>
    <row r="433" ht="15.75" customHeight="1">
      <c r="A433" s="19" t="inlineStr">
        <is>
          <t>PETR3</t>
        </is>
      </c>
      <c r="B433" s="3" t="inlineStr">
        <is>
          <t>Petrobras</t>
        </is>
      </c>
      <c r="C433" s="21" t="inlineStr">
        <is>
          <t>Petróleo e Gas</t>
        </is>
      </c>
    </row>
    <row r="434" ht="15.75" customHeight="1">
      <c r="A434" s="19" t="inlineStr">
        <is>
          <t>PETR4</t>
        </is>
      </c>
      <c r="B434" s="3" t="inlineStr">
        <is>
          <t>Petrobras</t>
        </is>
      </c>
      <c r="C434" s="21" t="inlineStr">
        <is>
          <t>Petróleo e Gas</t>
        </is>
      </c>
    </row>
    <row r="435" ht="15.75" customHeight="1">
      <c r="A435" s="19" t="inlineStr">
        <is>
          <t>RECV3</t>
        </is>
      </c>
      <c r="B435" s="3" t="inlineStr">
        <is>
          <t>Petrorecsa</t>
        </is>
      </c>
      <c r="C435" s="21" t="inlineStr">
        <is>
          <t>Petróleo e Gas</t>
        </is>
      </c>
    </row>
    <row r="436" ht="15.75" customHeight="1">
      <c r="A436" s="19" t="inlineStr">
        <is>
          <t>PRIO3</t>
        </is>
      </c>
      <c r="B436" s="3" t="inlineStr">
        <is>
          <t>Petrorio</t>
        </is>
      </c>
      <c r="C436" s="21" t="inlineStr">
        <is>
          <t>Petróleo e Gas</t>
        </is>
      </c>
    </row>
    <row r="437" ht="15.75" customHeight="1">
      <c r="A437" s="19" t="inlineStr">
        <is>
          <t>PTNT3</t>
        </is>
      </c>
      <c r="B437" s="3" t="inlineStr">
        <is>
          <t>Pettenati</t>
        </is>
      </c>
      <c r="C437" s="21" t="inlineStr">
        <is>
          <t>Textil</t>
        </is>
      </c>
    </row>
    <row r="438" ht="15.75" customHeight="1">
      <c r="A438" s="19" t="inlineStr">
        <is>
          <t>PTNT4</t>
        </is>
      </c>
      <c r="B438" s="3" t="inlineStr">
        <is>
          <t>Pettenati</t>
        </is>
      </c>
      <c r="C438" s="21" t="inlineStr">
        <is>
          <t>Textil</t>
        </is>
      </c>
    </row>
    <row r="439" ht="15.75" customHeight="1">
      <c r="A439" s="19" t="inlineStr">
        <is>
          <t>PETZ3</t>
        </is>
      </c>
      <c r="B439" s="3" t="inlineStr">
        <is>
          <t>Petz</t>
        </is>
      </c>
      <c r="C439" s="21" t="inlineStr">
        <is>
          <t>Comércio</t>
        </is>
      </c>
    </row>
    <row r="440" ht="15.75" customHeight="1">
      <c r="A440" s="19" t="inlineStr">
        <is>
          <t>PINE3</t>
        </is>
      </c>
      <c r="B440" s="3" t="inlineStr">
        <is>
          <t>Pine</t>
        </is>
      </c>
      <c r="C440" s="21" t="inlineStr">
        <is>
          <t>Finanças e Seguros</t>
        </is>
      </c>
    </row>
    <row r="441" ht="15.75" customHeight="1">
      <c r="A441" s="19" t="inlineStr">
        <is>
          <t>PINE4</t>
        </is>
      </c>
      <c r="B441" s="3" t="inlineStr">
        <is>
          <t>Pine</t>
        </is>
      </c>
      <c r="C441" s="21" t="inlineStr">
        <is>
          <t>Finanças e Seguros</t>
        </is>
      </c>
    </row>
    <row r="442" ht="15.75" customHeight="1">
      <c r="A442" s="19" t="inlineStr">
        <is>
          <t>PLPL3</t>
        </is>
      </c>
      <c r="B442" s="3" t="inlineStr">
        <is>
          <t>Planoeplano</t>
        </is>
      </c>
      <c r="C442" s="21" t="inlineStr">
        <is>
          <t>Construção</t>
        </is>
      </c>
    </row>
    <row r="443" ht="15.75" customHeight="1">
      <c r="A443" s="19" t="inlineStr">
        <is>
          <t>PLAS3</t>
        </is>
      </c>
      <c r="B443" s="3" t="inlineStr">
        <is>
          <t>Plascar Part</t>
        </is>
      </c>
      <c r="C443" s="21" t="inlineStr">
        <is>
          <t>Veiculos e peças</t>
        </is>
      </c>
    </row>
    <row r="444" ht="15.75" customHeight="1">
      <c r="A444" s="19" t="inlineStr">
        <is>
          <t>PPAR3</t>
        </is>
      </c>
      <c r="B444" s="3" t="inlineStr">
        <is>
          <t>Polpar</t>
        </is>
      </c>
      <c r="C444" s="21" t="inlineStr">
        <is>
          <t>Outros</t>
        </is>
      </c>
    </row>
    <row r="445" ht="15.75" customHeight="1">
      <c r="A445" s="19" t="inlineStr">
        <is>
          <t>FRTA3</t>
        </is>
      </c>
      <c r="B445" s="3" t="inlineStr">
        <is>
          <t>Pomifrutas</t>
        </is>
      </c>
      <c r="C445" s="21" t="inlineStr">
        <is>
          <t>Agro e Pesca</t>
        </is>
      </c>
    </row>
    <row r="446" ht="15.75" customHeight="1">
      <c r="A446" s="19" t="inlineStr">
        <is>
          <t>PSSA3</t>
        </is>
      </c>
      <c r="B446" s="3" t="inlineStr">
        <is>
          <t>Porto Seguro</t>
        </is>
      </c>
      <c r="C446" s="21" t="inlineStr">
        <is>
          <t>Finanças e Seguros</t>
        </is>
      </c>
    </row>
    <row r="447" ht="15.75" customHeight="1">
      <c r="A447" s="19" t="inlineStr">
        <is>
          <t>PTBL3</t>
        </is>
      </c>
      <c r="B447" s="3" t="inlineStr">
        <is>
          <t>Portobello</t>
        </is>
      </c>
      <c r="C447" s="21" t="inlineStr">
        <is>
          <t>Minerais não Met</t>
        </is>
      </c>
    </row>
    <row r="448" ht="15.75" customHeight="1">
      <c r="A448" s="19" t="inlineStr">
        <is>
          <t>POSI3</t>
        </is>
      </c>
      <c r="B448" s="3" t="inlineStr">
        <is>
          <t>Positivo Tec</t>
        </is>
      </c>
      <c r="C448" s="21" t="inlineStr">
        <is>
          <t>Eletroeletrônicos</t>
        </is>
      </c>
    </row>
    <row r="449" ht="15.75" customHeight="1">
      <c r="A449" s="19" t="inlineStr">
        <is>
          <t>PPLA11</t>
        </is>
      </c>
      <c r="B449" s="3" t="inlineStr">
        <is>
          <t>Ppla</t>
        </is>
      </c>
      <c r="C449" s="21" t="inlineStr">
        <is>
          <t>Finanças e Seguros</t>
        </is>
      </c>
    </row>
    <row r="450" ht="15.75" customHeight="1">
      <c r="A450" s="19" t="inlineStr">
        <is>
          <t>PTCA3</t>
        </is>
      </c>
      <c r="B450" s="3" t="inlineStr">
        <is>
          <t>Pratica</t>
        </is>
      </c>
      <c r="C450" s="21" t="inlineStr">
        <is>
          <t>Eletroeletrônicos</t>
        </is>
      </c>
    </row>
    <row r="451" ht="15.75" customHeight="1">
      <c r="A451" s="19" t="inlineStr">
        <is>
          <t>PTCA11</t>
        </is>
      </c>
      <c r="B451" s="3" t="inlineStr">
        <is>
          <t>Pratica</t>
        </is>
      </c>
      <c r="C451" s="21" t="inlineStr">
        <is>
          <t>Eletroeletrônicos</t>
        </is>
      </c>
    </row>
    <row r="452" ht="15.75" customHeight="1">
      <c r="A452" s="19" t="inlineStr">
        <is>
          <t>PRNR3</t>
        </is>
      </c>
      <c r="B452" s="3" t="inlineStr">
        <is>
          <t>Priner</t>
        </is>
      </c>
      <c r="C452" s="21" t="inlineStr">
        <is>
          <t>Construção</t>
        </is>
      </c>
    </row>
    <row r="453" ht="15.75" customHeight="1">
      <c r="A453" s="19" t="inlineStr">
        <is>
          <t>PFRM3</t>
        </is>
      </c>
      <c r="B453" s="3" t="inlineStr">
        <is>
          <t>Profarma</t>
        </is>
      </c>
      <c r="C453" s="21" t="inlineStr">
        <is>
          <t>Comércio</t>
        </is>
      </c>
    </row>
    <row r="454" ht="15.75" customHeight="1">
      <c r="A454" s="19" t="inlineStr">
        <is>
          <t>PRPT3B</t>
        </is>
      </c>
      <c r="B454" s="3" t="inlineStr">
        <is>
          <t>Prompt Part</t>
        </is>
      </c>
      <c r="C454" s="21" t="inlineStr">
        <is>
          <t>Outros</t>
        </is>
      </c>
    </row>
    <row r="455" ht="15.75" customHeight="1">
      <c r="A455" s="19" t="inlineStr">
        <is>
          <t>QUAL3</t>
        </is>
      </c>
      <c r="B455" s="3" t="inlineStr">
        <is>
          <t>Qualicorp</t>
        </is>
      </c>
      <c r="C455" s="21" t="inlineStr">
        <is>
          <t>Outros</t>
        </is>
      </c>
    </row>
    <row r="456" ht="15.75" customHeight="1">
      <c r="A456" s="19" t="inlineStr">
        <is>
          <t>QUSW3</t>
        </is>
      </c>
      <c r="B456" s="3" t="inlineStr">
        <is>
          <t>Quality Soft</t>
        </is>
      </c>
      <c r="C456" s="21" t="inlineStr">
        <is>
          <t>Software e Dados</t>
        </is>
      </c>
    </row>
    <row r="457" ht="15.75" customHeight="1">
      <c r="A457" s="19" t="inlineStr">
        <is>
          <t>LJQQ3</t>
        </is>
      </c>
      <c r="B457" s="3" t="inlineStr">
        <is>
          <t>Quero-Quero</t>
        </is>
      </c>
      <c r="C457" s="21" t="inlineStr">
        <is>
          <t>Comércio</t>
        </is>
      </c>
    </row>
    <row r="458" ht="15.75" customHeight="1">
      <c r="A458" s="19" t="inlineStr">
        <is>
          <t>RADL3</t>
        </is>
      </c>
      <c r="B458" s="3" t="inlineStr">
        <is>
          <t>RaiaDrogasil</t>
        </is>
      </c>
      <c r="C458" s="21" t="inlineStr">
        <is>
          <t>Comércio</t>
        </is>
      </c>
    </row>
    <row r="459" ht="15.75" customHeight="1">
      <c r="A459" s="19" t="inlineStr">
        <is>
          <t>RAIZ4</t>
        </is>
      </c>
      <c r="B459" s="3" t="inlineStr">
        <is>
          <t>Raizen</t>
        </is>
      </c>
      <c r="C459" s="21" t="inlineStr">
        <is>
          <t>Petróleo e Gas</t>
        </is>
      </c>
    </row>
    <row r="460" ht="15.75" customHeight="1">
      <c r="A460" s="19" t="inlineStr">
        <is>
          <t>RAPT3</t>
        </is>
      </c>
      <c r="B460" s="3" t="inlineStr">
        <is>
          <t>Randon Part</t>
        </is>
      </c>
      <c r="C460" s="21" t="inlineStr">
        <is>
          <t>Veiculos e peças</t>
        </is>
      </c>
    </row>
    <row r="461" ht="15.75" customHeight="1">
      <c r="A461" s="19" t="inlineStr">
        <is>
          <t>RAPT4</t>
        </is>
      </c>
      <c r="B461" s="3" t="inlineStr">
        <is>
          <t>Randon Part</t>
        </is>
      </c>
      <c r="C461" s="21" t="inlineStr">
        <is>
          <t>Veiculos e peças</t>
        </is>
      </c>
    </row>
    <row r="462" ht="15.75" customHeight="1">
      <c r="A462" s="19" t="inlineStr">
        <is>
          <t>RCSL3</t>
        </is>
      </c>
      <c r="B462" s="3" t="inlineStr">
        <is>
          <t>Recrusul</t>
        </is>
      </c>
      <c r="C462" s="21" t="inlineStr">
        <is>
          <t>Veiculos e peças</t>
        </is>
      </c>
    </row>
    <row r="463" ht="15.75" customHeight="1">
      <c r="A463" s="19" t="inlineStr">
        <is>
          <t>RCSL4</t>
        </is>
      </c>
      <c r="B463" s="3" t="inlineStr">
        <is>
          <t>Recrusul</t>
        </is>
      </c>
      <c r="C463" s="21" t="inlineStr">
        <is>
          <t>Veiculos e peças</t>
        </is>
      </c>
    </row>
    <row r="464" ht="15.75" customHeight="1">
      <c r="A464" s="19" t="inlineStr">
        <is>
          <t>RDOR3</t>
        </is>
      </c>
      <c r="B464" s="3" t="inlineStr">
        <is>
          <t>Rede D Or</t>
        </is>
      </c>
      <c r="C464" s="21" t="inlineStr">
        <is>
          <t>Outros</t>
        </is>
      </c>
    </row>
    <row r="465" ht="15.75" customHeight="1">
      <c r="A465" s="19" t="inlineStr">
        <is>
          <t>REDE3</t>
        </is>
      </c>
      <c r="B465" s="3" t="inlineStr">
        <is>
          <t>Rede Energia</t>
        </is>
      </c>
      <c r="C465" s="21" t="inlineStr">
        <is>
          <t>Energia Elétrica</t>
        </is>
      </c>
    </row>
    <row r="466" ht="15.75" customHeight="1">
      <c r="A466" s="19" t="inlineStr">
        <is>
          <t>RNEW3</t>
        </is>
      </c>
      <c r="B466" s="3" t="inlineStr">
        <is>
          <t>Renova</t>
        </is>
      </c>
      <c r="C466" s="21" t="inlineStr">
        <is>
          <t>Energia Elétrica</t>
        </is>
      </c>
    </row>
    <row r="467" ht="15.75" customHeight="1">
      <c r="A467" s="19" t="inlineStr">
        <is>
          <t>RNEW4</t>
        </is>
      </c>
      <c r="B467" s="3" t="inlineStr">
        <is>
          <t>Renova</t>
        </is>
      </c>
      <c r="C467" s="21" t="inlineStr">
        <is>
          <t>Energia Elétrica</t>
        </is>
      </c>
    </row>
    <row r="468" ht="15.75" customHeight="1">
      <c r="A468" s="19" t="inlineStr">
        <is>
          <t>RNEW11</t>
        </is>
      </c>
      <c r="B468" s="3" t="inlineStr">
        <is>
          <t>Renova</t>
        </is>
      </c>
      <c r="C468" s="21" t="inlineStr">
        <is>
          <t>Energia Elétrica</t>
        </is>
      </c>
    </row>
    <row r="469" ht="15.75" customHeight="1">
      <c r="A469" s="19" t="inlineStr">
        <is>
          <t>RSUL3</t>
        </is>
      </c>
      <c r="B469" s="3" t="inlineStr">
        <is>
          <t>Riosulense</t>
        </is>
      </c>
      <c r="C469" s="21" t="inlineStr">
        <is>
          <t>Veiculos e peças</t>
        </is>
      </c>
    </row>
    <row r="470" ht="15.75" customHeight="1">
      <c r="A470" s="19" t="inlineStr">
        <is>
          <t>RSUL4</t>
        </is>
      </c>
      <c r="B470" s="3" t="inlineStr">
        <is>
          <t>Riosulense</t>
        </is>
      </c>
      <c r="C470" s="21" t="inlineStr">
        <is>
          <t>Veiculos e peças</t>
        </is>
      </c>
    </row>
    <row r="471" ht="15.75" customHeight="1">
      <c r="A471" s="19" t="inlineStr">
        <is>
          <t>RDNI3</t>
        </is>
      </c>
      <c r="B471" s="3" t="inlineStr">
        <is>
          <t>Rni</t>
        </is>
      </c>
      <c r="C471" s="21" t="inlineStr">
        <is>
          <t>Construção</t>
        </is>
      </c>
    </row>
    <row r="472" ht="15.75" customHeight="1">
      <c r="A472" s="19" t="inlineStr">
        <is>
          <t>RBNS11</t>
        </is>
      </c>
      <c r="B472" s="3" t="inlineStr">
        <is>
          <t>Rodobens</t>
        </is>
      </c>
      <c r="C472" s="21" t="inlineStr">
        <is>
          <t>Comércio</t>
        </is>
      </c>
    </row>
    <row r="473" ht="15.75" customHeight="1">
      <c r="A473" s="19" t="inlineStr">
        <is>
          <t>RSID3</t>
        </is>
      </c>
      <c r="B473" s="3" t="inlineStr">
        <is>
          <t>Rossi Resid</t>
        </is>
      </c>
      <c r="C473" s="21" t="inlineStr">
        <is>
          <t>Construção</t>
        </is>
      </c>
    </row>
    <row r="474" ht="15.75" customHeight="1">
      <c r="A474" s="19" t="inlineStr">
        <is>
          <t>RAIL3</t>
        </is>
      </c>
      <c r="B474" s="3" t="inlineStr">
        <is>
          <t>Rumo S.A.</t>
        </is>
      </c>
      <c r="C474" s="21" t="inlineStr">
        <is>
          <t>Transporte Serviç</t>
        </is>
      </c>
    </row>
    <row r="475" ht="15.75" customHeight="1">
      <c r="A475" s="19" t="inlineStr">
        <is>
          <t>SBSP3</t>
        </is>
      </c>
      <c r="B475" s="3" t="inlineStr">
        <is>
          <t>Sabesp</t>
        </is>
      </c>
      <c r="C475" s="21" t="inlineStr">
        <is>
          <t>Outros</t>
        </is>
      </c>
    </row>
    <row r="476" ht="15.75" customHeight="1">
      <c r="A476" s="19" t="inlineStr">
        <is>
          <t>SAPR3</t>
        </is>
      </c>
      <c r="B476" s="3" t="inlineStr">
        <is>
          <t>Sanepar</t>
        </is>
      </c>
      <c r="C476" s="21" t="inlineStr">
        <is>
          <t>Outros</t>
        </is>
      </c>
    </row>
    <row r="477" ht="15.75" customHeight="1">
      <c r="A477" s="19" t="inlineStr">
        <is>
          <t>SAPR4</t>
        </is>
      </c>
      <c r="B477" s="3" t="inlineStr">
        <is>
          <t>Sanepar</t>
        </is>
      </c>
      <c r="C477" s="21" t="inlineStr">
        <is>
          <t>Outros</t>
        </is>
      </c>
    </row>
    <row r="478" ht="15.75" customHeight="1">
      <c r="A478" s="19" t="inlineStr">
        <is>
          <t>SAPR11</t>
        </is>
      </c>
      <c r="B478" s="3" t="inlineStr">
        <is>
          <t>Sanepar</t>
        </is>
      </c>
      <c r="C478" s="21" t="inlineStr">
        <is>
          <t>Outros</t>
        </is>
      </c>
    </row>
    <row r="479" ht="15.75" customHeight="1">
      <c r="A479" s="19" t="inlineStr">
        <is>
          <t>SNSY3</t>
        </is>
      </c>
      <c r="B479" s="3" t="inlineStr">
        <is>
          <t>Sansuy</t>
        </is>
      </c>
      <c r="C479" s="21" t="inlineStr">
        <is>
          <t>Outros</t>
        </is>
      </c>
    </row>
    <row r="480" ht="15.75" customHeight="1">
      <c r="A480" s="19" t="inlineStr">
        <is>
          <t>SNSY5</t>
        </is>
      </c>
      <c r="B480" s="3" t="inlineStr">
        <is>
          <t>Sansuy</t>
        </is>
      </c>
      <c r="C480" s="21" t="inlineStr">
        <is>
          <t>Outros</t>
        </is>
      </c>
    </row>
    <row r="481" ht="15.75" customHeight="1">
      <c r="A481" s="19" t="inlineStr">
        <is>
          <t>SNSY6</t>
        </is>
      </c>
      <c r="B481" s="3" t="inlineStr">
        <is>
          <t>Sansuy</t>
        </is>
      </c>
      <c r="C481" s="21" t="inlineStr">
        <is>
          <t>Outros</t>
        </is>
      </c>
    </row>
    <row r="482" ht="15.75" customHeight="1">
      <c r="A482" s="19" t="inlineStr">
        <is>
          <t>SANB3</t>
        </is>
      </c>
      <c r="B482" s="3" t="inlineStr">
        <is>
          <t>Santander BR</t>
        </is>
      </c>
      <c r="C482" s="21" t="inlineStr">
        <is>
          <t>Finanças e Seguros</t>
        </is>
      </c>
    </row>
    <row r="483" ht="15.75" customHeight="1">
      <c r="A483" s="19" t="inlineStr">
        <is>
          <t>SANB4</t>
        </is>
      </c>
      <c r="B483" s="3" t="inlineStr">
        <is>
          <t>Santander BR</t>
        </is>
      </c>
      <c r="C483" s="21" t="inlineStr">
        <is>
          <t>Finanças e Seguros</t>
        </is>
      </c>
    </row>
    <row r="484" ht="15.75" customHeight="1">
      <c r="A484" s="19" t="inlineStr">
        <is>
          <t>SANB11</t>
        </is>
      </c>
      <c r="B484" s="3" t="inlineStr">
        <is>
          <t>Santander BR</t>
        </is>
      </c>
      <c r="C484" s="21" t="inlineStr">
        <is>
          <t>Finanças e Seguros</t>
        </is>
      </c>
    </row>
    <row r="485" ht="15.75" customHeight="1">
      <c r="A485" s="19" t="inlineStr">
        <is>
          <t>SANB99</t>
        </is>
      </c>
      <c r="B485" s="3" t="inlineStr">
        <is>
          <t>Santander BR</t>
        </is>
      </c>
      <c r="C485" s="21" t="inlineStr">
        <is>
          <t>Finanças e Seguros</t>
        </is>
      </c>
    </row>
    <row r="486" ht="15.75" customHeight="1">
      <c r="A486" s="19" t="inlineStr">
        <is>
          <t>CTSA3</t>
        </is>
      </c>
      <c r="B486" s="3" t="inlineStr">
        <is>
          <t>Santanense</t>
        </is>
      </c>
      <c r="C486" s="21" t="inlineStr">
        <is>
          <t>Textil</t>
        </is>
      </c>
    </row>
    <row r="487" ht="15.75" customHeight="1">
      <c r="A487" s="19" t="inlineStr">
        <is>
          <t>CTSA4</t>
        </is>
      </c>
      <c r="B487" s="3" t="inlineStr">
        <is>
          <t>Santanense</t>
        </is>
      </c>
      <c r="C487" s="21" t="inlineStr">
        <is>
          <t>Textil</t>
        </is>
      </c>
    </row>
    <row r="488" ht="15.75" customHeight="1">
      <c r="A488" s="19" t="inlineStr">
        <is>
          <t>STBP3</t>
        </is>
      </c>
      <c r="B488" s="3" t="inlineStr">
        <is>
          <t>Santos Brp</t>
        </is>
      </c>
      <c r="C488" s="21" t="inlineStr">
        <is>
          <t>Transporte Serviç</t>
        </is>
      </c>
    </row>
    <row r="489" ht="15.75" customHeight="1">
      <c r="A489" s="19" t="inlineStr">
        <is>
          <t>SCAR3</t>
        </is>
      </c>
      <c r="B489" s="3" t="inlineStr">
        <is>
          <t>Sao Carlos</t>
        </is>
      </c>
      <c r="C489" s="21" t="inlineStr">
        <is>
          <t>Outros</t>
        </is>
      </c>
    </row>
    <row r="490" ht="15.75" customHeight="1">
      <c r="A490" s="19" t="inlineStr">
        <is>
          <t>SMTO3</t>
        </is>
      </c>
      <c r="B490" s="3" t="inlineStr">
        <is>
          <t>Sao Martinho</t>
        </is>
      </c>
      <c r="C490" s="21" t="inlineStr">
        <is>
          <t>Outros</t>
        </is>
      </c>
    </row>
    <row r="491" ht="15.75" customHeight="1">
      <c r="A491" s="19" t="inlineStr">
        <is>
          <t>SLED3</t>
        </is>
      </c>
      <c r="B491" s="3" t="inlineStr">
        <is>
          <t>Saraiva Livr</t>
        </is>
      </c>
      <c r="C491" s="21" t="inlineStr">
        <is>
          <t>Outros</t>
        </is>
      </c>
    </row>
    <row r="492" ht="15.75" customHeight="1">
      <c r="A492" s="19" t="inlineStr">
        <is>
          <t>SLED4</t>
        </is>
      </c>
      <c r="B492" s="3" t="inlineStr">
        <is>
          <t>Saraiva Livr</t>
        </is>
      </c>
      <c r="C492" s="21" t="inlineStr">
        <is>
          <t>Outros</t>
        </is>
      </c>
    </row>
    <row r="493" ht="15.75" customHeight="1">
      <c r="A493" s="19" t="inlineStr">
        <is>
          <t>SHUL3</t>
        </is>
      </c>
      <c r="B493" s="3" t="inlineStr">
        <is>
          <t>Schulz</t>
        </is>
      </c>
      <c r="C493" s="21" t="inlineStr">
        <is>
          <t>Veiculos e peças</t>
        </is>
      </c>
    </row>
    <row r="494" ht="15.75" customHeight="1">
      <c r="A494" s="19" t="inlineStr">
        <is>
          <t>SHUL4</t>
        </is>
      </c>
      <c r="B494" s="3" t="inlineStr">
        <is>
          <t>Schulz</t>
        </is>
      </c>
      <c r="C494" s="21" t="inlineStr">
        <is>
          <t>Veiculos e peças</t>
        </is>
      </c>
    </row>
    <row r="495" ht="15.75" customHeight="1">
      <c r="A495" s="19" t="inlineStr">
        <is>
          <t>CSAB3</t>
        </is>
      </c>
      <c r="B495" s="3" t="inlineStr">
        <is>
          <t>Seg Al Bahia</t>
        </is>
      </c>
      <c r="C495" s="21" t="inlineStr">
        <is>
          <t>Finanças e Seguros</t>
        </is>
      </c>
    </row>
    <row r="496" ht="15.75" customHeight="1">
      <c r="A496" s="19" t="inlineStr">
        <is>
          <t>CSAB4</t>
        </is>
      </c>
      <c r="B496" s="3" t="inlineStr">
        <is>
          <t>Seg Al Bahia</t>
        </is>
      </c>
      <c r="C496" s="21" t="inlineStr">
        <is>
          <t>Finanças e Seguros</t>
        </is>
      </c>
    </row>
    <row r="497" ht="15.75" customHeight="1">
      <c r="A497" s="19" t="inlineStr">
        <is>
          <t>SEQL3</t>
        </is>
      </c>
      <c r="B497" s="3" t="inlineStr">
        <is>
          <t>Sequoia Log</t>
        </is>
      </c>
      <c r="C497" s="21" t="inlineStr">
        <is>
          <t>Transporte Serviç</t>
        </is>
      </c>
    </row>
    <row r="498" ht="15.75" customHeight="1">
      <c r="A498" s="19" t="inlineStr">
        <is>
          <t>SEER3</t>
        </is>
      </c>
      <c r="B498" s="3" t="inlineStr">
        <is>
          <t>Ser Educa</t>
        </is>
      </c>
      <c r="C498" s="21" t="inlineStr">
        <is>
          <t>Outros</t>
        </is>
      </c>
    </row>
    <row r="499" ht="15.75" customHeight="1">
      <c r="A499" s="19" t="inlineStr">
        <is>
          <t>CSNA3</t>
        </is>
      </c>
      <c r="B499" s="3" t="inlineStr">
        <is>
          <t>Sid Nacional</t>
        </is>
      </c>
      <c r="C499" s="21" t="inlineStr">
        <is>
          <t>Siderur &amp; Metalur</t>
        </is>
      </c>
    </row>
    <row r="500" ht="15.75" customHeight="1">
      <c r="A500" s="19" t="inlineStr">
        <is>
          <t>SIMH3</t>
        </is>
      </c>
      <c r="B500" s="3" t="inlineStr">
        <is>
          <t>Simpar</t>
        </is>
      </c>
      <c r="C500" s="21" t="inlineStr">
        <is>
          <t>Transporte Serviç</t>
        </is>
      </c>
    </row>
    <row r="501" ht="15.75" customHeight="1">
      <c r="A501" s="19" t="inlineStr">
        <is>
          <t>SQIA3</t>
        </is>
      </c>
      <c r="B501" s="3" t="inlineStr">
        <is>
          <t>Sinqia</t>
        </is>
      </c>
      <c r="C501" s="21" t="inlineStr">
        <is>
          <t>Software e Dados</t>
        </is>
      </c>
    </row>
    <row r="502" ht="15.75" customHeight="1">
      <c r="A502" s="19" t="inlineStr">
        <is>
          <t>SLCE3</t>
        </is>
      </c>
      <c r="B502" s="3" t="inlineStr">
        <is>
          <t>SLC Agricola</t>
        </is>
      </c>
      <c r="C502" s="21" t="inlineStr">
        <is>
          <t>Agro e Pesca</t>
        </is>
      </c>
    </row>
    <row r="503" ht="15.75" customHeight="1">
      <c r="A503" s="19" t="inlineStr">
        <is>
          <t>SMFT3</t>
        </is>
      </c>
      <c r="B503" s="3" t="inlineStr">
        <is>
          <t>Smart Fit</t>
        </is>
      </c>
      <c r="C503" s="21" t="inlineStr">
        <is>
          <t>Outros</t>
        </is>
      </c>
    </row>
    <row r="504" ht="15.75" customHeight="1">
      <c r="A504" s="19" t="inlineStr">
        <is>
          <t>SOND3</t>
        </is>
      </c>
      <c r="B504" s="3" t="inlineStr">
        <is>
          <t>Sondotecnica</t>
        </is>
      </c>
      <c r="C504" s="21" t="inlineStr">
        <is>
          <t>Outros</t>
        </is>
      </c>
    </row>
    <row r="505" ht="15.75" customHeight="1">
      <c r="A505" s="19" t="inlineStr">
        <is>
          <t>SOND5</t>
        </is>
      </c>
      <c r="B505" s="3" t="inlineStr">
        <is>
          <t>Sondotecnica</t>
        </is>
      </c>
      <c r="C505" s="21" t="inlineStr">
        <is>
          <t>Outros</t>
        </is>
      </c>
    </row>
    <row r="506" ht="15.75" customHeight="1">
      <c r="A506" s="19" t="inlineStr">
        <is>
          <t>SOND6</t>
        </is>
      </c>
      <c r="B506" s="3" t="inlineStr">
        <is>
          <t>Sondotecnica</t>
        </is>
      </c>
      <c r="C506" s="21" t="inlineStr">
        <is>
          <t>Outros</t>
        </is>
      </c>
    </row>
    <row r="507" ht="15.75" customHeight="1">
      <c r="A507" s="19" t="inlineStr">
        <is>
          <t>SGPS3</t>
        </is>
      </c>
      <c r="B507" s="3" t="inlineStr">
        <is>
          <t>Springs</t>
        </is>
      </c>
      <c r="C507" s="21" t="inlineStr">
        <is>
          <t>Textil</t>
        </is>
      </c>
    </row>
    <row r="508" ht="15.75" customHeight="1">
      <c r="A508" s="19" t="inlineStr">
        <is>
          <t>AHEB3</t>
        </is>
      </c>
      <c r="B508" s="3" t="inlineStr">
        <is>
          <t>SPturis</t>
        </is>
      </c>
      <c r="C508" s="21" t="inlineStr">
        <is>
          <t>Outros</t>
        </is>
      </c>
    </row>
    <row r="509" ht="15.75" customHeight="1">
      <c r="A509" s="19" t="inlineStr">
        <is>
          <t>AHEB5</t>
        </is>
      </c>
      <c r="B509" s="3" t="inlineStr">
        <is>
          <t>SPturis</t>
        </is>
      </c>
      <c r="C509" s="21" t="inlineStr">
        <is>
          <t>Outros</t>
        </is>
      </c>
    </row>
    <row r="510" ht="15.75" customHeight="1">
      <c r="A510" s="19" t="inlineStr">
        <is>
          <t>AHEB6</t>
        </is>
      </c>
      <c r="B510" s="3" t="inlineStr">
        <is>
          <t>SPturis</t>
        </is>
      </c>
      <c r="C510" s="21" t="inlineStr">
        <is>
          <t>Outros</t>
        </is>
      </c>
    </row>
    <row r="511" ht="15.75" customHeight="1">
      <c r="A511" s="19" t="inlineStr">
        <is>
          <t>STTR3</t>
        </is>
      </c>
      <c r="B511" s="3" t="inlineStr">
        <is>
          <t>Stara</t>
        </is>
      </c>
      <c r="C511" s="21" t="inlineStr">
        <is>
          <t>Máquinas Indust</t>
        </is>
      </c>
    </row>
    <row r="512" ht="15.75" customHeight="1">
      <c r="A512" s="19" t="inlineStr">
        <is>
          <t>STKF3</t>
        </is>
      </c>
      <c r="B512" s="3" t="inlineStr">
        <is>
          <t>Statkraft</t>
        </is>
      </c>
      <c r="C512" s="21" t="inlineStr">
        <is>
          <t>Energia Elétrica</t>
        </is>
      </c>
    </row>
    <row r="513" ht="15.75" customHeight="1">
      <c r="A513" s="19" t="inlineStr">
        <is>
          <t>OPSE3B</t>
        </is>
      </c>
      <c r="B513" s="3" t="inlineStr">
        <is>
          <t>Sudeste S/A</t>
        </is>
      </c>
      <c r="C513" s="21" t="inlineStr">
        <is>
          <t>Outros</t>
        </is>
      </c>
    </row>
    <row r="514" ht="15.75" customHeight="1">
      <c r="A514" s="19" t="inlineStr">
        <is>
          <t>OPTS3B</t>
        </is>
      </c>
      <c r="B514" s="3" t="inlineStr">
        <is>
          <t>Sul 116 Part</t>
        </is>
      </c>
      <c r="C514" s="21" t="inlineStr">
        <is>
          <t>Telecomunicações</t>
        </is>
      </c>
    </row>
    <row r="515" ht="15.75" customHeight="1">
      <c r="A515" s="19" t="inlineStr">
        <is>
          <t>SULA3</t>
        </is>
      </c>
      <c r="B515" s="3" t="inlineStr">
        <is>
          <t>Sul America</t>
        </is>
      </c>
      <c r="C515" s="21" t="inlineStr">
        <is>
          <t>Finanças e Seguros</t>
        </is>
      </c>
    </row>
    <row r="516" ht="15.75" customHeight="1">
      <c r="A516" s="19" t="inlineStr">
        <is>
          <t>SULA4</t>
        </is>
      </c>
      <c r="B516" s="3" t="inlineStr">
        <is>
          <t>Sul America</t>
        </is>
      </c>
      <c r="C516" s="21" t="inlineStr">
        <is>
          <t>Finanças e Seguros</t>
        </is>
      </c>
    </row>
    <row r="517" ht="15.75" customHeight="1">
      <c r="A517" s="19" t="inlineStr">
        <is>
          <t>SULA11</t>
        </is>
      </c>
      <c r="B517" s="3" t="inlineStr">
        <is>
          <t>Sul America</t>
        </is>
      </c>
      <c r="C517" s="21" t="inlineStr">
        <is>
          <t>Finanças e Seguros</t>
        </is>
      </c>
    </row>
    <row r="518" ht="15.75" customHeight="1">
      <c r="A518" s="19" t="inlineStr">
        <is>
          <t>NEMO3</t>
        </is>
      </c>
      <c r="B518" s="3" t="inlineStr">
        <is>
          <t>Suzano Hold</t>
        </is>
      </c>
      <c r="C518" s="21" t="inlineStr">
        <is>
          <t>Outros</t>
        </is>
      </c>
    </row>
    <row r="519" ht="15.75" customHeight="1">
      <c r="A519" s="19" t="inlineStr">
        <is>
          <t>NEMO5</t>
        </is>
      </c>
      <c r="B519" s="3" t="inlineStr">
        <is>
          <t>Suzano Hold</t>
        </is>
      </c>
      <c r="C519" s="21" t="inlineStr">
        <is>
          <t>Outros</t>
        </is>
      </c>
    </row>
    <row r="520" ht="15.75" customHeight="1">
      <c r="A520" s="19" t="inlineStr">
        <is>
          <t>NEMO6</t>
        </is>
      </c>
      <c r="B520" s="3" t="inlineStr">
        <is>
          <t>Suzano Hold</t>
        </is>
      </c>
      <c r="C520" s="21" t="inlineStr">
        <is>
          <t>Outros</t>
        </is>
      </c>
    </row>
    <row r="521" ht="15.75" customHeight="1">
      <c r="A521" s="19" t="inlineStr">
        <is>
          <t>SUZB3</t>
        </is>
      </c>
      <c r="B521" s="3" t="inlineStr">
        <is>
          <t>Suzano S.A.</t>
        </is>
      </c>
      <c r="C521" s="21" t="inlineStr">
        <is>
          <t>Papel e Celulose</t>
        </is>
      </c>
    </row>
    <row r="522" ht="15.75" customHeight="1">
      <c r="A522" s="19" t="inlineStr">
        <is>
          <t>SYNE3</t>
        </is>
      </c>
      <c r="B522" s="3" t="inlineStr">
        <is>
          <t>Syn Prop Tec</t>
        </is>
      </c>
      <c r="C522" s="21" t="inlineStr">
        <is>
          <t>Outros</t>
        </is>
      </c>
    </row>
    <row r="523" ht="15.75" customHeight="1">
      <c r="A523" s="19" t="inlineStr">
        <is>
          <t>TAEE3</t>
        </is>
      </c>
      <c r="B523" s="3" t="inlineStr">
        <is>
          <t>Taesa</t>
        </is>
      </c>
      <c r="C523" s="21" t="inlineStr">
        <is>
          <t>Energia Elétrica</t>
        </is>
      </c>
    </row>
    <row r="524" ht="15.75" customHeight="1">
      <c r="A524" s="19" t="inlineStr">
        <is>
          <t>TAEE4</t>
        </is>
      </c>
      <c r="B524" s="3" t="inlineStr">
        <is>
          <t>Taesa</t>
        </is>
      </c>
      <c r="C524" s="21" t="inlineStr">
        <is>
          <t>Energia Elétrica</t>
        </is>
      </c>
    </row>
    <row r="525" ht="15.75" customHeight="1">
      <c r="A525" s="19" t="inlineStr">
        <is>
          <t>TAEE11</t>
        </is>
      </c>
      <c r="B525" s="3" t="inlineStr">
        <is>
          <t>Taesa</t>
        </is>
      </c>
      <c r="C525" s="21" t="inlineStr">
        <is>
          <t>Energia Elétrica</t>
        </is>
      </c>
    </row>
    <row r="526" ht="15.75" customHeight="1">
      <c r="A526" s="19" t="inlineStr">
        <is>
          <t>TASA3</t>
        </is>
      </c>
      <c r="B526" s="3" t="inlineStr">
        <is>
          <t>Taurus Armas</t>
        </is>
      </c>
      <c r="C526" s="21" t="inlineStr">
        <is>
          <t>Siderur &amp; Metalur</t>
        </is>
      </c>
    </row>
    <row r="527" ht="15.75" customHeight="1">
      <c r="A527" s="19" t="inlineStr">
        <is>
          <t>TASA4</t>
        </is>
      </c>
      <c r="B527" s="3" t="inlineStr">
        <is>
          <t>Taurus Armas</t>
        </is>
      </c>
      <c r="C527" s="21" t="inlineStr">
        <is>
          <t>Siderur &amp; Metalur</t>
        </is>
      </c>
    </row>
    <row r="528" ht="15.75" customHeight="1">
      <c r="A528" s="19" t="inlineStr">
        <is>
          <t>TRAD3</t>
        </is>
      </c>
      <c r="B528" s="3" t="inlineStr">
        <is>
          <t>Tc</t>
        </is>
      </c>
      <c r="C528" s="21" t="inlineStr">
        <is>
          <t>Software e Dados</t>
        </is>
      </c>
    </row>
    <row r="529" ht="15.75" customHeight="1">
      <c r="A529" s="19" t="inlineStr">
        <is>
          <t>TECN3</t>
        </is>
      </c>
      <c r="B529" s="3" t="inlineStr">
        <is>
          <t>Technos</t>
        </is>
      </c>
      <c r="C529" s="21" t="inlineStr">
        <is>
          <t>Outros</t>
        </is>
      </c>
    </row>
    <row r="530" ht="15.75" customHeight="1">
      <c r="A530" s="19" t="inlineStr">
        <is>
          <t>TCSA3</t>
        </is>
      </c>
      <c r="B530" s="3" t="inlineStr">
        <is>
          <t>Tecnisa</t>
        </is>
      </c>
      <c r="C530" s="21" t="inlineStr">
        <is>
          <t>Construção</t>
        </is>
      </c>
    </row>
    <row r="531" ht="15.75" customHeight="1">
      <c r="A531" s="19" t="inlineStr">
        <is>
          <t>TCNO3</t>
        </is>
      </c>
      <c r="B531" s="3" t="inlineStr">
        <is>
          <t>Tecnosolo</t>
        </is>
      </c>
      <c r="C531" s="21" t="inlineStr">
        <is>
          <t>Outros</t>
        </is>
      </c>
    </row>
    <row r="532" ht="15.75" customHeight="1">
      <c r="A532" s="19" t="inlineStr">
        <is>
          <t>TCNO4</t>
        </is>
      </c>
      <c r="B532" s="3" t="inlineStr">
        <is>
          <t>Tecnosolo</t>
        </is>
      </c>
      <c r="C532" s="21" t="inlineStr">
        <is>
          <t>Outros</t>
        </is>
      </c>
    </row>
    <row r="533" ht="15.75" customHeight="1">
      <c r="A533" s="19" t="inlineStr">
        <is>
          <t>TGMA3</t>
        </is>
      </c>
      <c r="B533" s="3" t="inlineStr">
        <is>
          <t>Tegma</t>
        </is>
      </c>
      <c r="C533" s="21" t="inlineStr">
        <is>
          <t>Transporte Serviç</t>
        </is>
      </c>
    </row>
    <row r="534" ht="15.75" customHeight="1">
      <c r="A534" s="19" t="inlineStr">
        <is>
          <t>TEGA3</t>
        </is>
      </c>
      <c r="B534" s="3" t="inlineStr">
        <is>
          <t>Tegra Incorp</t>
        </is>
      </c>
      <c r="C534" s="21" t="inlineStr">
        <is>
          <t>Construção</t>
        </is>
      </c>
    </row>
    <row r="535" ht="15.75" customHeight="1">
      <c r="A535" s="19" t="inlineStr">
        <is>
          <t>TEKA3</t>
        </is>
      </c>
      <c r="B535" s="3" t="inlineStr">
        <is>
          <t>Teka</t>
        </is>
      </c>
      <c r="C535" s="21" t="inlineStr">
        <is>
          <t>Textil</t>
        </is>
      </c>
    </row>
    <row r="536" ht="15.75" customHeight="1">
      <c r="A536" s="19" t="inlineStr">
        <is>
          <t>TEKA4</t>
        </is>
      </c>
      <c r="B536" s="3" t="inlineStr">
        <is>
          <t>Teka</t>
        </is>
      </c>
      <c r="C536" s="21" t="inlineStr">
        <is>
          <t>Textil</t>
        </is>
      </c>
    </row>
    <row r="537" ht="15.75" customHeight="1">
      <c r="A537" s="19" t="inlineStr">
        <is>
          <t>TKNO3</t>
        </is>
      </c>
      <c r="B537" s="3" t="inlineStr">
        <is>
          <t>Tekno</t>
        </is>
      </c>
      <c r="C537" s="21" t="inlineStr">
        <is>
          <t>Siderur &amp; Metalur</t>
        </is>
      </c>
    </row>
    <row r="538" ht="15.75" customHeight="1">
      <c r="A538" s="19" t="inlineStr">
        <is>
          <t>TKNO4</t>
        </is>
      </c>
      <c r="B538" s="3" t="inlineStr">
        <is>
          <t>Tekno</t>
        </is>
      </c>
      <c r="C538" s="21" t="inlineStr">
        <is>
          <t>Siderur &amp; Metalur</t>
        </is>
      </c>
    </row>
    <row r="539" ht="15.75" customHeight="1">
      <c r="A539" s="19" t="inlineStr">
        <is>
          <t>TELB3</t>
        </is>
      </c>
      <c r="B539" s="3" t="inlineStr">
        <is>
          <t>Telebras</t>
        </is>
      </c>
      <c r="C539" s="21" t="inlineStr">
        <is>
          <t>Telecomunicações</t>
        </is>
      </c>
    </row>
    <row r="540" ht="15.75" customHeight="1">
      <c r="A540" s="19" t="inlineStr">
        <is>
          <t>TELB4</t>
        </is>
      </c>
      <c r="B540" s="3" t="inlineStr">
        <is>
          <t>Telebras</t>
        </is>
      </c>
      <c r="C540" s="21" t="inlineStr">
        <is>
          <t>Telecomunicações</t>
        </is>
      </c>
    </row>
    <row r="541" ht="15.75" customHeight="1">
      <c r="A541" s="19" t="inlineStr">
        <is>
          <t>VIVT3</t>
        </is>
      </c>
      <c r="B541" s="3" t="inlineStr">
        <is>
          <t>Telef Brasil</t>
        </is>
      </c>
      <c r="C541" s="21" t="inlineStr">
        <is>
          <t>Telecomunicações</t>
        </is>
      </c>
    </row>
    <row r="542" ht="15.75" customHeight="1">
      <c r="A542" s="19" t="inlineStr">
        <is>
          <t>TEND3</t>
        </is>
      </c>
      <c r="B542" s="3" t="inlineStr">
        <is>
          <t>Tenda</t>
        </is>
      </c>
      <c r="C542" s="21" t="inlineStr">
        <is>
          <t>Construção</t>
        </is>
      </c>
    </row>
    <row r="543" ht="15.75" customHeight="1">
      <c r="A543" s="19" t="inlineStr">
        <is>
          <t>LAND3</t>
        </is>
      </c>
      <c r="B543" s="3" t="inlineStr">
        <is>
          <t>Terrasantapa</t>
        </is>
      </c>
      <c r="C543" s="21" t="inlineStr">
        <is>
          <t>Outros</t>
        </is>
      </c>
    </row>
    <row r="544" ht="15.75" customHeight="1">
      <c r="A544" s="19" t="inlineStr">
        <is>
          <t>TXRX3</t>
        </is>
      </c>
      <c r="B544" s="3" t="inlineStr">
        <is>
          <t>Tex Renaux</t>
        </is>
      </c>
      <c r="C544" s="21" t="inlineStr">
        <is>
          <t>Textil</t>
        </is>
      </c>
    </row>
    <row r="545" ht="15.75" customHeight="1">
      <c r="A545" s="19" t="inlineStr">
        <is>
          <t>TXRX4</t>
        </is>
      </c>
      <c r="B545" s="3" t="inlineStr">
        <is>
          <t>Tex Renaux</t>
        </is>
      </c>
      <c r="C545" s="21" t="inlineStr">
        <is>
          <t>Textil</t>
        </is>
      </c>
    </row>
    <row r="546" ht="15.75" customHeight="1">
      <c r="A546" s="19" t="inlineStr">
        <is>
          <t>TIMS3</t>
        </is>
      </c>
      <c r="B546" s="3" t="inlineStr">
        <is>
          <t>Tim</t>
        </is>
      </c>
      <c r="C546" s="21" t="inlineStr">
        <is>
          <t>Telecomunicações</t>
        </is>
      </c>
    </row>
    <row r="547" ht="15.75" customHeight="1">
      <c r="A547" s="19" t="inlineStr">
        <is>
          <t>SHOW3</t>
        </is>
      </c>
      <c r="B547" s="3" t="inlineStr">
        <is>
          <t>Time For Fun</t>
        </is>
      </c>
      <c r="C547" s="21" t="inlineStr">
        <is>
          <t>Outros</t>
        </is>
      </c>
    </row>
    <row r="548" ht="15.75" customHeight="1">
      <c r="A548" s="19" t="inlineStr">
        <is>
          <t>TOTS3</t>
        </is>
      </c>
      <c r="B548" s="3" t="inlineStr">
        <is>
          <t>Totvs</t>
        </is>
      </c>
      <c r="C548" s="21" t="inlineStr">
        <is>
          <t>Software e Dados</t>
        </is>
      </c>
    </row>
    <row r="549" ht="15.75" customHeight="1">
      <c r="A549" s="19" t="inlineStr">
        <is>
          <t>TFCO4</t>
        </is>
      </c>
      <c r="B549" s="3" t="inlineStr">
        <is>
          <t>Track Field</t>
        </is>
      </c>
      <c r="C549" s="21" t="inlineStr">
        <is>
          <t>Comércio</t>
        </is>
      </c>
    </row>
    <row r="550" ht="15.75" customHeight="1">
      <c r="A550" s="19" t="inlineStr">
        <is>
          <t>TRPL3</t>
        </is>
      </c>
      <c r="B550" s="3" t="inlineStr">
        <is>
          <t>Tran Paulist</t>
        </is>
      </c>
      <c r="C550" s="21" t="inlineStr">
        <is>
          <t>Energia Elétrica</t>
        </is>
      </c>
    </row>
    <row r="551" ht="15.75" customHeight="1">
      <c r="A551" s="19" t="inlineStr">
        <is>
          <t>TRPL4</t>
        </is>
      </c>
      <c r="B551" s="3" t="inlineStr">
        <is>
          <t>Tran Paulist</t>
        </is>
      </c>
      <c r="C551" s="21" t="inlineStr">
        <is>
          <t>Energia Elétrica</t>
        </is>
      </c>
    </row>
    <row r="552" ht="15.75" customHeight="1">
      <c r="A552" s="19" t="inlineStr">
        <is>
          <t>LUXM3</t>
        </is>
      </c>
      <c r="B552" s="3" t="inlineStr">
        <is>
          <t>Trevisa</t>
        </is>
      </c>
      <c r="C552" s="21" t="inlineStr">
        <is>
          <t>Outros</t>
        </is>
      </c>
    </row>
    <row r="553" ht="15.75" customHeight="1">
      <c r="A553" s="19" t="inlineStr">
        <is>
          <t>LUXM4</t>
        </is>
      </c>
      <c r="B553" s="3" t="inlineStr">
        <is>
          <t>Trevisa</t>
        </is>
      </c>
      <c r="C553" s="21" t="inlineStr">
        <is>
          <t>Outros</t>
        </is>
      </c>
    </row>
    <row r="554" ht="15.75" customHeight="1">
      <c r="A554" s="19" t="inlineStr">
        <is>
          <t>TRIS3</t>
        </is>
      </c>
      <c r="B554" s="3" t="inlineStr">
        <is>
          <t>Trisul</t>
        </is>
      </c>
      <c r="C554" s="21" t="inlineStr">
        <is>
          <t>Construção</t>
        </is>
      </c>
    </row>
    <row r="555" ht="15.75" customHeight="1">
      <c r="A555" s="19" t="inlineStr">
        <is>
          <t>TPIS3</t>
        </is>
      </c>
      <c r="B555" s="3" t="inlineStr">
        <is>
          <t>Triunfo Part</t>
        </is>
      </c>
      <c r="C555" s="21" t="inlineStr">
        <is>
          <t>Transporte Serviç</t>
        </is>
      </c>
    </row>
    <row r="556" ht="15.75" customHeight="1">
      <c r="A556" s="19" t="inlineStr">
        <is>
          <t>TUPY3</t>
        </is>
      </c>
      <c r="B556" s="3" t="inlineStr">
        <is>
          <t>Tupy</t>
        </is>
      </c>
      <c r="C556" s="21" t="inlineStr">
        <is>
          <t>Veiculos e peças</t>
        </is>
      </c>
    </row>
    <row r="557" ht="15.75" customHeight="1">
      <c r="A557" s="19" t="inlineStr">
        <is>
          <t>UGPA3</t>
        </is>
      </c>
      <c r="B557" s="3" t="inlineStr">
        <is>
          <t>Ultrapar</t>
        </is>
      </c>
      <c r="C557" s="21" t="inlineStr">
        <is>
          <t>Petróleo e Gas</t>
        </is>
      </c>
    </row>
    <row r="558" ht="15.75" customHeight="1">
      <c r="A558" s="19" t="inlineStr">
        <is>
          <t>UCAS3</t>
        </is>
      </c>
      <c r="B558" s="3" t="inlineStr">
        <is>
          <t>Unicasa</t>
        </is>
      </c>
      <c r="C558" s="21" t="inlineStr">
        <is>
          <t>Outros</t>
        </is>
      </c>
    </row>
    <row r="559" ht="15.75" customHeight="1">
      <c r="A559" s="19" t="inlineStr">
        <is>
          <t>FIQE3</t>
        </is>
      </c>
      <c r="B559" s="3" t="inlineStr">
        <is>
          <t>Unifique</t>
        </is>
      </c>
      <c r="C559" s="21" t="inlineStr">
        <is>
          <t>Telecomunicações</t>
        </is>
      </c>
    </row>
    <row r="560" ht="15.75" customHeight="1">
      <c r="A560" s="19" t="inlineStr">
        <is>
          <t>UNIP3</t>
        </is>
      </c>
      <c r="B560" s="3" t="inlineStr">
        <is>
          <t>Unipar</t>
        </is>
      </c>
      <c r="C560" s="21" t="inlineStr">
        <is>
          <t>Química</t>
        </is>
      </c>
    </row>
    <row r="561" ht="15.75" customHeight="1">
      <c r="A561" s="19" t="inlineStr">
        <is>
          <t>UNIP5</t>
        </is>
      </c>
      <c r="B561" s="3" t="inlineStr">
        <is>
          <t>Unipar</t>
        </is>
      </c>
      <c r="C561" s="21" t="inlineStr">
        <is>
          <t>Química</t>
        </is>
      </c>
    </row>
    <row r="562" ht="15.75" customHeight="1">
      <c r="A562" s="19" t="inlineStr">
        <is>
          <t>UNIP6</t>
        </is>
      </c>
      <c r="B562" s="3" t="inlineStr">
        <is>
          <t>Unipar</t>
        </is>
      </c>
      <c r="C562" s="21" t="inlineStr">
        <is>
          <t>Química</t>
        </is>
      </c>
    </row>
    <row r="563" ht="15.75" customHeight="1">
      <c r="A563" s="19" t="inlineStr">
        <is>
          <t>UPKP3B</t>
        </is>
      </c>
      <c r="B563" s="3" t="inlineStr">
        <is>
          <t>Uptick</t>
        </is>
      </c>
      <c r="C563" s="21" t="inlineStr">
        <is>
          <t>Energia Elétrica</t>
        </is>
      </c>
    </row>
    <row r="564" ht="15.75" customHeight="1">
      <c r="A564" s="19" t="inlineStr">
        <is>
          <t>USIM3</t>
        </is>
      </c>
      <c r="B564" s="3" t="inlineStr">
        <is>
          <t>Usiminas</t>
        </is>
      </c>
      <c r="C564" s="21" t="inlineStr">
        <is>
          <t>Siderur &amp; Metalur</t>
        </is>
      </c>
    </row>
    <row r="565" ht="15.75" customHeight="1">
      <c r="A565" s="19" t="inlineStr">
        <is>
          <t>USIM5</t>
        </is>
      </c>
      <c r="B565" s="3" t="inlineStr">
        <is>
          <t>Usiminas</t>
        </is>
      </c>
      <c r="C565" s="21" t="inlineStr">
        <is>
          <t>Siderur &amp; Metalur</t>
        </is>
      </c>
    </row>
    <row r="566" ht="15.75" customHeight="1">
      <c r="A566" s="19" t="inlineStr">
        <is>
          <t>USIM6</t>
        </is>
      </c>
      <c r="B566" s="3" t="inlineStr">
        <is>
          <t>Usiminas</t>
        </is>
      </c>
      <c r="C566" s="21" t="inlineStr">
        <is>
          <t>Siderur &amp; Metalur</t>
        </is>
      </c>
    </row>
    <row r="567" ht="15.75" customHeight="1">
      <c r="A567" s="19" t="inlineStr">
        <is>
          <t>VALE3</t>
        </is>
      </c>
      <c r="B567" s="3" t="inlineStr">
        <is>
          <t>Vale</t>
        </is>
      </c>
      <c r="C567" s="21" t="inlineStr">
        <is>
          <t>Mineração</t>
        </is>
      </c>
    </row>
    <row r="568" ht="15.75" customHeight="1">
      <c r="A568" s="19" t="inlineStr">
        <is>
          <t>VLID3</t>
        </is>
      </c>
      <c r="B568" s="3" t="inlineStr">
        <is>
          <t>Valid</t>
        </is>
      </c>
      <c r="C568" s="21" t="inlineStr">
        <is>
          <t>Outros</t>
        </is>
      </c>
    </row>
    <row r="569" ht="15.75" customHeight="1">
      <c r="A569" s="19" t="inlineStr">
        <is>
          <t>VAMO3</t>
        </is>
      </c>
      <c r="B569" s="3" t="inlineStr">
        <is>
          <t>Vamos</t>
        </is>
      </c>
      <c r="C569" s="21" t="inlineStr">
        <is>
          <t>Outros</t>
        </is>
      </c>
    </row>
    <row r="570" ht="15.75" customHeight="1">
      <c r="A570" s="19" t="inlineStr">
        <is>
          <t>VIIA3</t>
        </is>
      </c>
      <c r="B570" s="3" t="inlineStr">
        <is>
          <t>Via</t>
        </is>
      </c>
      <c r="C570" s="21" t="inlineStr">
        <is>
          <t>Comércio</t>
        </is>
      </c>
    </row>
    <row r="571" ht="15.75" customHeight="1">
      <c r="A571" s="19" t="inlineStr">
        <is>
          <t>VBBR3</t>
        </is>
      </c>
      <c r="B571" s="3" t="inlineStr">
        <is>
          <t>Vibra</t>
        </is>
      </c>
      <c r="C571" s="21" t="inlineStr">
        <is>
          <t>Petróleo e Gas</t>
        </is>
      </c>
    </row>
    <row r="572" ht="15.75" customHeight="1">
      <c r="A572" s="19" t="inlineStr">
        <is>
          <t>VITT3</t>
        </is>
      </c>
      <c r="B572" s="3" t="inlineStr">
        <is>
          <t>Vittia</t>
        </is>
      </c>
      <c r="C572" s="21" t="inlineStr">
        <is>
          <t>Agro e Pesca</t>
        </is>
      </c>
    </row>
    <row r="573" ht="15.75" customHeight="1">
      <c r="A573" s="19" t="inlineStr">
        <is>
          <t>VIVA3</t>
        </is>
      </c>
      <c r="B573" s="3" t="inlineStr">
        <is>
          <t>Vivara S.A.</t>
        </is>
      </c>
      <c r="C573" s="21" t="inlineStr">
        <is>
          <t>Comércio</t>
        </is>
      </c>
    </row>
    <row r="574" ht="15.75" customHeight="1">
      <c r="A574" s="19" t="inlineStr">
        <is>
          <t>VVEO3</t>
        </is>
      </c>
      <c r="B574" s="3" t="inlineStr">
        <is>
          <t>Viveo</t>
        </is>
      </c>
      <c r="C574" s="21" t="inlineStr">
        <is>
          <t>Comércio</t>
        </is>
      </c>
    </row>
    <row r="575" ht="15.75" customHeight="1">
      <c r="A575" s="19" t="inlineStr">
        <is>
          <t>VIVR3</t>
        </is>
      </c>
      <c r="B575" s="3" t="inlineStr">
        <is>
          <t>Viver</t>
        </is>
      </c>
      <c r="C575" s="21" t="inlineStr">
        <is>
          <t>Construção</t>
        </is>
      </c>
    </row>
    <row r="576" ht="15.75" customHeight="1">
      <c r="A576" s="19" t="inlineStr">
        <is>
          <t>VULC3</t>
        </is>
      </c>
      <c r="B576" s="3" t="inlineStr">
        <is>
          <t>Vulcabras</t>
        </is>
      </c>
      <c r="C576" s="21" t="inlineStr">
        <is>
          <t>Textil</t>
        </is>
      </c>
    </row>
    <row r="577" ht="15.75" customHeight="1">
      <c r="A577" s="19" t="inlineStr">
        <is>
          <t>LVTC3</t>
        </is>
      </c>
      <c r="B577" s="3" t="inlineStr">
        <is>
          <t>Wdc Networks</t>
        </is>
      </c>
      <c r="C577" s="21" t="inlineStr">
        <is>
          <t>Comércio</t>
        </is>
      </c>
    </row>
    <row r="578" ht="15.75" customHeight="1">
      <c r="A578" s="19" t="inlineStr">
        <is>
          <t>WEGE3</t>
        </is>
      </c>
      <c r="B578" s="3" t="inlineStr">
        <is>
          <t>Weg</t>
        </is>
      </c>
      <c r="C578" s="21" t="inlineStr">
        <is>
          <t>Máquinas Indust</t>
        </is>
      </c>
    </row>
    <row r="579" ht="15.75" customHeight="1">
      <c r="A579" s="19" t="inlineStr">
        <is>
          <t>WEST3</t>
        </is>
      </c>
      <c r="B579" s="3" t="inlineStr">
        <is>
          <t>Westwing</t>
        </is>
      </c>
      <c r="C579" s="21" t="inlineStr">
        <is>
          <t>Comércio</t>
        </is>
      </c>
    </row>
    <row r="580" ht="15.75" customHeight="1">
      <c r="A580" s="19" t="inlineStr">
        <is>
          <t>MWET3</t>
        </is>
      </c>
      <c r="B580" s="3" t="inlineStr">
        <is>
          <t>Wetzel S/A</t>
        </is>
      </c>
      <c r="C580" s="21" t="inlineStr">
        <is>
          <t>Veiculos e peças</t>
        </is>
      </c>
    </row>
    <row r="581" ht="15.75" customHeight="1">
      <c r="A581" s="19" t="inlineStr">
        <is>
          <t>MWET4</t>
        </is>
      </c>
      <c r="B581" s="3" t="inlineStr">
        <is>
          <t>Wetzel S/A</t>
        </is>
      </c>
      <c r="C581" s="21" t="inlineStr">
        <is>
          <t>Veiculos e peças</t>
        </is>
      </c>
    </row>
    <row r="582" ht="15.75" customHeight="1">
      <c r="A582" s="19" t="inlineStr">
        <is>
          <t>WHRL3</t>
        </is>
      </c>
      <c r="B582" s="3" t="inlineStr">
        <is>
          <t>Whirlpool</t>
        </is>
      </c>
      <c r="C582" s="21" t="inlineStr">
        <is>
          <t>Eletroeletrônicos</t>
        </is>
      </c>
    </row>
    <row r="583" ht="15.75" customHeight="1">
      <c r="A583" s="19" t="inlineStr">
        <is>
          <t>WHRL4</t>
        </is>
      </c>
      <c r="B583" s="3" t="inlineStr">
        <is>
          <t>Whirlpool</t>
        </is>
      </c>
      <c r="C583" s="21" t="inlineStr">
        <is>
          <t>Eletroeletrônicos</t>
        </is>
      </c>
    </row>
    <row r="584" ht="15.75" customHeight="1">
      <c r="A584" s="19" t="inlineStr">
        <is>
          <t>PORT3</t>
        </is>
      </c>
      <c r="B584" s="3" t="inlineStr">
        <is>
          <t>Wilson Sons</t>
        </is>
      </c>
      <c r="C584" s="21" t="inlineStr">
        <is>
          <t>Transporte Serviç</t>
        </is>
      </c>
    </row>
    <row r="585" ht="15.75" customHeight="1">
      <c r="A585" s="19" t="inlineStr">
        <is>
          <t>WIZS3</t>
        </is>
      </c>
      <c r="B585" s="3" t="inlineStr">
        <is>
          <t>Wiz S.A.</t>
        </is>
      </c>
      <c r="C585" s="21" t="inlineStr">
        <is>
          <t>Finanças e Seguros</t>
        </is>
      </c>
    </row>
    <row r="586" ht="15.75" customHeight="1">
      <c r="A586" s="19" t="inlineStr">
        <is>
          <t>WLMM3</t>
        </is>
      </c>
      <c r="B586" s="3" t="inlineStr">
        <is>
          <t>Wlm Ind Com</t>
        </is>
      </c>
      <c r="C586" s="21" t="inlineStr">
        <is>
          <t>Comércio</t>
        </is>
      </c>
    </row>
    <row r="587" ht="15.75" customHeight="1">
      <c r="A587" s="19" t="inlineStr">
        <is>
          <t>WLMM4</t>
        </is>
      </c>
      <c r="B587" s="3" t="inlineStr">
        <is>
          <t>Wlm Ind Com</t>
        </is>
      </c>
      <c r="C587" s="21" t="inlineStr">
        <is>
          <t>Comércio</t>
        </is>
      </c>
    </row>
    <row r="588" ht="15.75" customHeight="1">
      <c r="A588" s="19" t="inlineStr">
        <is>
          <t>YBRA3B</t>
        </is>
      </c>
      <c r="B588" s="3" t="inlineStr">
        <is>
          <t>Ybyra S/A</t>
        </is>
      </c>
      <c r="C588" s="21" t="inlineStr">
        <is>
          <t>Outros</t>
        </is>
      </c>
    </row>
    <row r="589" ht="15.75" customHeight="1">
      <c r="A589" s="19" t="inlineStr">
        <is>
          <t>YDUQ3</t>
        </is>
      </c>
      <c r="B589" s="3" t="inlineStr">
        <is>
          <t>Yduqs Part</t>
        </is>
      </c>
      <c r="C589" s="21" t="inlineStr">
        <is>
          <t>Outros</t>
        </is>
      </c>
    </row>
    <row r="590" ht="15.75" customHeight="1">
      <c r="A590" s="19" t="n"/>
    </row>
    <row r="591" ht="15.75" customHeight="1">
      <c r="A591" s="19" t="n"/>
    </row>
    <row r="592" ht="15.75" customHeight="1">
      <c r="A592" s="19" t="n"/>
    </row>
    <row r="593" ht="15.75" customHeight="1">
      <c r="A593" s="19" t="n"/>
    </row>
    <row r="594" ht="15.75" customHeight="1">
      <c r="A594" s="19" t="n"/>
    </row>
    <row r="595" ht="15.75" customHeight="1">
      <c r="A595" s="19" t="n"/>
    </row>
    <row r="596" ht="15.75" customHeight="1">
      <c r="A596" s="19" t="n"/>
    </row>
    <row r="597" ht="15.75" customHeight="1">
      <c r="A597" s="19" t="n"/>
    </row>
    <row r="598" ht="15.75" customHeight="1">
      <c r="A598" s="19" t="n"/>
    </row>
    <row r="599" ht="15.75" customHeight="1">
      <c r="A599" s="19" t="n"/>
    </row>
    <row r="600" ht="15.75" customHeight="1">
      <c r="A600" s="19" t="n"/>
    </row>
    <row r="601" ht="15.75" customHeight="1">
      <c r="A601" s="19" t="n"/>
    </row>
    <row r="602" ht="15.75" customHeight="1">
      <c r="A602" s="19" t="n"/>
    </row>
    <row r="603" ht="15.75" customHeight="1">
      <c r="A603" s="19" t="n"/>
    </row>
    <row r="604" ht="15.75" customHeight="1">
      <c r="A604" s="19" t="n"/>
    </row>
    <row r="605" ht="15.75" customHeight="1">
      <c r="A605" s="19" t="n"/>
    </row>
    <row r="606" ht="15.75" customHeight="1">
      <c r="A606" s="19" t="n"/>
    </row>
    <row r="607" ht="15.75" customHeight="1">
      <c r="A607" s="19" t="n"/>
    </row>
    <row r="608" ht="15.75" customHeight="1">
      <c r="A608" s="19" t="n"/>
    </row>
    <row r="609" ht="15.75" customHeight="1">
      <c r="A609" s="19" t="n"/>
    </row>
    <row r="610" ht="15.75" customHeight="1">
      <c r="A610" s="19" t="n"/>
    </row>
    <row r="611" ht="15.75" customHeight="1">
      <c r="A611" s="19" t="n"/>
    </row>
    <row r="612" ht="15.75" customHeight="1">
      <c r="A612" s="19" t="n"/>
    </row>
    <row r="613" ht="15.75" customHeight="1">
      <c r="A613" s="19" t="n"/>
    </row>
    <row r="614" ht="15.75" customHeight="1">
      <c r="A614" s="19" t="n"/>
    </row>
    <row r="615" ht="15.75" customHeight="1">
      <c r="A615" s="19" t="n"/>
    </row>
    <row r="616" ht="15.75" customHeight="1">
      <c r="A616" s="19" t="n"/>
    </row>
    <row r="617" ht="15.75" customHeight="1">
      <c r="A617" s="19" t="n"/>
    </row>
    <row r="618" ht="15.75" customHeight="1">
      <c r="A618" s="19" t="n"/>
    </row>
    <row r="619" ht="15.75" customHeight="1">
      <c r="A619" s="19" t="n"/>
    </row>
    <row r="620" ht="15.75" customHeight="1">
      <c r="A620" s="19" t="n"/>
    </row>
    <row r="621" ht="15.75" customHeight="1">
      <c r="A621" s="19" t="n"/>
    </row>
    <row r="622" ht="15.75" customHeight="1">
      <c r="A622" s="19" t="n"/>
    </row>
    <row r="623" ht="15.75" customHeight="1">
      <c r="A623" s="19" t="n"/>
    </row>
    <row r="624" ht="15.75" customHeight="1">
      <c r="A624" s="19" t="n"/>
    </row>
    <row r="625" ht="15.75" customHeight="1">
      <c r="A625" s="19" t="n"/>
    </row>
    <row r="626" ht="15.75" customHeight="1">
      <c r="A626" s="19" t="n"/>
    </row>
    <row r="627" ht="15.75" customHeight="1">
      <c r="A627" s="19" t="n"/>
    </row>
    <row r="628" ht="15.75" customHeight="1">
      <c r="A628" s="19" t="n"/>
    </row>
    <row r="629" ht="15.75" customHeight="1">
      <c r="A629" s="19" t="n"/>
    </row>
    <row r="630" ht="15.75" customHeight="1">
      <c r="A630" s="19" t="n"/>
    </row>
    <row r="631" ht="15.75" customHeight="1">
      <c r="A631" s="19" t="n"/>
    </row>
    <row r="632" ht="15.75" customHeight="1">
      <c r="A632" s="19" t="n"/>
    </row>
    <row r="633" ht="15.75" customHeight="1">
      <c r="A633" s="19" t="n"/>
    </row>
    <row r="634" ht="15.75" customHeight="1">
      <c r="A634" s="19" t="n"/>
    </row>
    <row r="635" ht="15.75" customHeight="1">
      <c r="A635" s="19" t="n"/>
    </row>
    <row r="636" ht="15.75" customHeight="1">
      <c r="A636" s="19" t="n"/>
    </row>
    <row r="637" ht="15.75" customHeight="1">
      <c r="A637" s="19" t="n"/>
    </row>
    <row r="638" ht="15.75" customHeight="1">
      <c r="A638" s="19" t="n"/>
    </row>
    <row r="639" ht="15.75" customHeight="1">
      <c r="A639" s="19" t="n"/>
    </row>
    <row r="640" ht="15.75" customHeight="1">
      <c r="A640" s="19" t="n"/>
    </row>
    <row r="641" ht="15.75" customHeight="1">
      <c r="A641" s="19" t="n"/>
    </row>
    <row r="642" ht="15.75" customHeight="1">
      <c r="A642" s="19" t="n"/>
    </row>
    <row r="643" ht="15.75" customHeight="1">
      <c r="A643" s="19" t="n"/>
    </row>
    <row r="644" ht="15.75" customHeight="1">
      <c r="A644" s="19" t="n"/>
    </row>
    <row r="645" ht="15.75" customHeight="1">
      <c r="A645" s="19" t="n"/>
    </row>
    <row r="646" ht="15.75" customHeight="1">
      <c r="A646" s="19" t="n"/>
    </row>
    <row r="647" ht="15.75" customHeight="1">
      <c r="A647" s="19" t="n"/>
    </row>
    <row r="648" ht="15.75" customHeight="1">
      <c r="A648" s="19" t="n"/>
    </row>
    <row r="649" ht="15.75" customHeight="1">
      <c r="A649" s="19" t="n"/>
    </row>
    <row r="650" ht="15.75" customHeight="1">
      <c r="A650" s="19" t="n"/>
    </row>
    <row r="651" ht="15.75" customHeight="1">
      <c r="A651" s="19" t="n"/>
    </row>
    <row r="652" ht="15.75" customHeight="1">
      <c r="A652" s="19" t="n"/>
    </row>
    <row r="653" ht="15.75" customHeight="1">
      <c r="A653" s="19" t="n"/>
    </row>
    <row r="654" ht="15.75" customHeight="1">
      <c r="A654" s="19" t="n"/>
    </row>
    <row r="655" ht="15.75" customHeight="1">
      <c r="A655" s="19" t="n"/>
    </row>
    <row r="656" ht="15.75" customHeight="1">
      <c r="A656" s="19" t="n"/>
    </row>
    <row r="657" ht="15.75" customHeight="1">
      <c r="A657" s="19" t="n"/>
    </row>
    <row r="658" ht="15.75" customHeight="1">
      <c r="A658" s="19" t="n"/>
    </row>
    <row r="659" ht="15.75" customHeight="1">
      <c r="A659" s="19" t="n"/>
    </row>
    <row r="660" ht="15.75" customHeight="1">
      <c r="A660" s="19" t="n"/>
    </row>
    <row r="661" ht="15.75" customHeight="1">
      <c r="A661" s="19" t="n"/>
    </row>
    <row r="662" ht="15.75" customHeight="1">
      <c r="A662" s="19" t="n"/>
    </row>
    <row r="663" ht="15.75" customHeight="1">
      <c r="A663" s="19" t="n"/>
    </row>
    <row r="664" ht="15.75" customHeight="1">
      <c r="A664" s="19" t="n"/>
    </row>
    <row r="665" ht="15.75" customHeight="1">
      <c r="A665" s="19" t="n"/>
    </row>
    <row r="666" ht="15.75" customHeight="1">
      <c r="A666" s="19" t="n"/>
    </row>
    <row r="667" ht="15.75" customHeight="1">
      <c r="A667" s="19" t="n"/>
    </row>
    <row r="668" ht="15.75" customHeight="1">
      <c r="A668" s="19" t="n"/>
    </row>
    <row r="669" ht="15.75" customHeight="1">
      <c r="A669" s="19" t="n"/>
    </row>
    <row r="670" ht="15.75" customHeight="1">
      <c r="A670" s="19" t="n"/>
    </row>
    <row r="671" ht="15.75" customHeight="1">
      <c r="A671" s="19" t="n"/>
    </row>
    <row r="672" ht="15.75" customHeight="1">
      <c r="A672" s="19" t="n"/>
    </row>
    <row r="673" ht="15.75" customHeight="1">
      <c r="A673" s="19" t="n"/>
    </row>
    <row r="674" ht="15.75" customHeight="1">
      <c r="A674" s="19" t="n"/>
    </row>
    <row r="675" ht="15.75" customHeight="1">
      <c r="A675" s="19" t="n"/>
    </row>
    <row r="676" ht="15.75" customHeight="1">
      <c r="A676" s="19" t="n"/>
    </row>
    <row r="677" ht="15.75" customHeight="1">
      <c r="A677" s="19" t="n"/>
    </row>
    <row r="678" ht="15.75" customHeight="1">
      <c r="A678" s="19" t="n"/>
    </row>
    <row r="679" ht="15.75" customHeight="1">
      <c r="A679" s="19" t="n"/>
    </row>
    <row r="680" ht="15.75" customHeight="1">
      <c r="A680" s="19" t="n"/>
    </row>
    <row r="681" ht="15.75" customHeight="1">
      <c r="A681" s="19" t="n"/>
    </row>
    <row r="682" ht="15.75" customHeight="1">
      <c r="A682" s="19" t="n"/>
    </row>
    <row r="683" ht="15.75" customHeight="1">
      <c r="A683" s="19" t="n"/>
    </row>
    <row r="684" ht="15.75" customHeight="1">
      <c r="A684" s="19" t="n"/>
    </row>
    <row r="685" ht="15.75" customHeight="1">
      <c r="A685" s="19" t="n"/>
    </row>
    <row r="686" ht="15.75" customHeight="1">
      <c r="A686" s="19" t="n"/>
    </row>
    <row r="687" ht="15.75" customHeight="1">
      <c r="A687" s="19" t="n"/>
    </row>
    <row r="688" ht="15.75" customHeight="1">
      <c r="A688" s="19" t="n"/>
    </row>
    <row r="689" ht="15.75" customHeight="1">
      <c r="A689" s="19" t="n"/>
    </row>
    <row r="690" ht="15.75" customHeight="1">
      <c r="A690" s="19" t="n"/>
    </row>
    <row r="691" ht="15.75" customHeight="1">
      <c r="A691" s="19" t="n"/>
    </row>
    <row r="692" ht="15.75" customHeight="1">
      <c r="A692" s="19" t="n"/>
    </row>
    <row r="693" ht="15.75" customHeight="1">
      <c r="A693" s="19" t="n"/>
    </row>
    <row r="694" ht="15.75" customHeight="1">
      <c r="A694" s="19" t="n"/>
    </row>
    <row r="695" ht="15.75" customHeight="1">
      <c r="A695" s="19" t="n"/>
    </row>
    <row r="696" ht="15.75" customHeight="1">
      <c r="A696" s="19" t="n"/>
    </row>
    <row r="697" ht="15.75" customHeight="1">
      <c r="A697" s="19" t="n"/>
    </row>
    <row r="698" ht="15.75" customHeight="1">
      <c r="A698" s="19" t="n"/>
    </row>
    <row r="699" ht="15.75" customHeight="1">
      <c r="A699" s="19" t="n"/>
    </row>
    <row r="700" ht="15.75" customHeight="1">
      <c r="A700" s="19" t="n"/>
    </row>
    <row r="701" ht="15.75" customHeight="1">
      <c r="A701" s="19" t="n"/>
    </row>
    <row r="702" ht="15.75" customHeight="1">
      <c r="A702" s="19" t="n"/>
    </row>
    <row r="703" ht="15.75" customHeight="1">
      <c r="A703" s="19" t="n"/>
    </row>
    <row r="704" ht="15.75" customHeight="1">
      <c r="A704" s="19" t="n"/>
    </row>
    <row r="705" ht="15.75" customHeight="1">
      <c r="A705" s="19" t="n"/>
    </row>
    <row r="706" ht="15.75" customHeight="1">
      <c r="A706" s="19" t="n"/>
    </row>
    <row r="707" ht="15.75" customHeight="1">
      <c r="A707" s="19" t="n"/>
    </row>
    <row r="708" ht="15.75" customHeight="1">
      <c r="A708" s="19" t="n"/>
    </row>
    <row r="709" ht="15.75" customHeight="1">
      <c r="A709" s="19" t="n"/>
    </row>
    <row r="710" ht="15.75" customHeight="1">
      <c r="A710" s="19" t="n"/>
    </row>
    <row r="711" ht="15.75" customHeight="1">
      <c r="A711" s="19" t="n"/>
    </row>
    <row r="712" ht="15.75" customHeight="1">
      <c r="A712" s="19" t="n"/>
    </row>
    <row r="713" ht="15.75" customHeight="1">
      <c r="A713" s="19" t="n"/>
    </row>
    <row r="714" ht="15.75" customHeight="1">
      <c r="A714" s="19" t="n"/>
    </row>
    <row r="715" ht="15.75" customHeight="1">
      <c r="A715" s="19" t="n"/>
    </row>
    <row r="716" ht="15.75" customHeight="1">
      <c r="A716" s="19" t="n"/>
    </row>
    <row r="717" ht="15.75" customHeight="1">
      <c r="A717" s="19" t="n"/>
    </row>
    <row r="718" ht="15.75" customHeight="1">
      <c r="A718" s="19" t="n"/>
    </row>
    <row r="719" ht="15.75" customHeight="1">
      <c r="A719" s="19" t="n"/>
    </row>
    <row r="720" ht="15.75" customHeight="1">
      <c r="A720" s="19" t="n"/>
    </row>
    <row r="721" ht="15.75" customHeight="1">
      <c r="A721" s="19" t="n"/>
    </row>
    <row r="722" ht="15.75" customHeight="1">
      <c r="A722" s="19" t="n"/>
    </row>
    <row r="723" ht="15.75" customHeight="1">
      <c r="A723" s="19" t="n"/>
    </row>
    <row r="724" ht="15.75" customHeight="1">
      <c r="A724" s="19" t="n"/>
    </row>
    <row r="725" ht="15.75" customHeight="1">
      <c r="A725" s="19" t="n"/>
    </row>
    <row r="726" ht="15.75" customHeight="1">
      <c r="A726" s="19" t="n"/>
    </row>
    <row r="727" ht="15.75" customHeight="1">
      <c r="A727" s="19" t="n"/>
    </row>
    <row r="728" ht="15.75" customHeight="1">
      <c r="A728" s="19" t="n"/>
    </row>
    <row r="729" ht="15.75" customHeight="1">
      <c r="A729" s="19" t="n"/>
    </row>
    <row r="730" ht="15.75" customHeight="1">
      <c r="A730" s="19" t="n"/>
    </row>
    <row r="731" ht="15.75" customHeight="1">
      <c r="A731" s="19" t="n"/>
    </row>
    <row r="732" ht="15.75" customHeight="1">
      <c r="A732" s="19" t="n"/>
    </row>
    <row r="733" ht="15.75" customHeight="1">
      <c r="A733" s="19" t="n"/>
    </row>
    <row r="734" ht="15.75" customHeight="1">
      <c r="A734" s="19" t="n"/>
    </row>
    <row r="735" ht="15.75" customHeight="1">
      <c r="A735" s="19" t="n"/>
    </row>
    <row r="736" ht="15.75" customHeight="1">
      <c r="A736" s="19" t="n"/>
    </row>
    <row r="737" ht="15.75" customHeight="1">
      <c r="A737" s="19" t="n"/>
    </row>
    <row r="738" ht="15.75" customHeight="1">
      <c r="A738" s="19" t="n"/>
    </row>
    <row r="739" ht="15.75" customHeight="1">
      <c r="A739" s="19" t="n"/>
    </row>
    <row r="740" ht="15.75" customHeight="1">
      <c r="A740" s="19" t="n"/>
    </row>
    <row r="741" ht="15.75" customHeight="1">
      <c r="A741" s="19" t="n"/>
    </row>
    <row r="742" ht="15.75" customHeight="1">
      <c r="A742" s="19" t="n"/>
    </row>
    <row r="743" ht="15.75" customHeight="1">
      <c r="A743" s="19" t="n"/>
    </row>
    <row r="744" ht="15.75" customHeight="1">
      <c r="A744" s="19" t="n"/>
    </row>
    <row r="745" ht="15.75" customHeight="1">
      <c r="A745" s="19" t="n"/>
    </row>
    <row r="746" ht="15.75" customHeight="1">
      <c r="A746" s="19" t="n"/>
    </row>
    <row r="747" ht="15.75" customHeight="1">
      <c r="A747" s="19" t="n"/>
    </row>
    <row r="748" ht="15.75" customHeight="1">
      <c r="A748" s="19" t="n"/>
    </row>
    <row r="749" ht="15.75" customHeight="1">
      <c r="A749" s="19" t="n"/>
    </row>
    <row r="750" ht="15.75" customHeight="1">
      <c r="A750" s="19" t="n"/>
    </row>
    <row r="751" ht="15.75" customHeight="1">
      <c r="A751" s="19" t="n"/>
    </row>
    <row r="752" ht="15.75" customHeight="1">
      <c r="A752" s="19" t="n"/>
    </row>
    <row r="753" ht="15.75" customHeight="1">
      <c r="A753" s="19" t="n"/>
    </row>
    <row r="754" ht="15.75" customHeight="1">
      <c r="A754" s="19" t="n"/>
    </row>
    <row r="755" ht="15.75" customHeight="1">
      <c r="A755" s="19" t="n"/>
    </row>
    <row r="756" ht="15.75" customHeight="1">
      <c r="A756" s="19" t="n"/>
    </row>
    <row r="757" ht="15.75" customHeight="1">
      <c r="A757" s="19" t="n"/>
    </row>
    <row r="758" ht="15.75" customHeight="1">
      <c r="A758" s="19" t="n"/>
    </row>
    <row r="759" ht="15.75" customHeight="1">
      <c r="A759" s="19" t="n"/>
    </row>
    <row r="760" ht="15.75" customHeight="1">
      <c r="A760" s="19" t="n"/>
    </row>
    <row r="761" ht="15.75" customHeight="1">
      <c r="A761" s="19" t="n"/>
    </row>
    <row r="762" ht="15.75" customHeight="1">
      <c r="A762" s="19" t="n"/>
    </row>
    <row r="763" ht="15.75" customHeight="1">
      <c r="A763" s="19" t="n"/>
    </row>
    <row r="764" ht="15.75" customHeight="1">
      <c r="A764" s="19" t="n"/>
    </row>
    <row r="765" ht="15.75" customHeight="1">
      <c r="A765" s="19" t="n"/>
    </row>
    <row r="766" ht="15.75" customHeight="1">
      <c r="A766" s="19" t="n"/>
    </row>
    <row r="767" ht="15.75" customHeight="1">
      <c r="A767" s="19" t="n"/>
    </row>
    <row r="768" ht="15.75" customHeight="1">
      <c r="A768" s="19" t="n"/>
    </row>
    <row r="769" ht="15.75" customHeight="1">
      <c r="A769" s="19" t="n"/>
    </row>
    <row r="770" ht="15.75" customHeight="1">
      <c r="A770" s="19" t="n"/>
    </row>
    <row r="771" ht="15.75" customHeight="1">
      <c r="A771" s="19" t="n"/>
    </row>
    <row r="772" ht="15.75" customHeight="1">
      <c r="A772" s="19" t="n"/>
    </row>
    <row r="773" ht="15.75" customHeight="1">
      <c r="A773" s="19" t="n"/>
    </row>
    <row r="774" ht="15.75" customHeight="1">
      <c r="A774" s="19" t="n"/>
    </row>
    <row r="775" ht="15.75" customHeight="1">
      <c r="A775" s="19" t="n"/>
    </row>
    <row r="776" ht="15.75" customHeight="1">
      <c r="A776" s="19" t="n"/>
    </row>
    <row r="777" ht="15.75" customHeight="1">
      <c r="A777" s="19" t="n"/>
    </row>
    <row r="778" ht="15.75" customHeight="1">
      <c r="A778" s="19" t="n"/>
    </row>
    <row r="779" ht="15.75" customHeight="1">
      <c r="A779" s="19" t="n"/>
    </row>
    <row r="780" ht="15.75" customHeight="1">
      <c r="A780" s="19" t="n"/>
    </row>
    <row r="781" ht="15.75" customHeight="1">
      <c r="A781" s="19" t="n"/>
    </row>
    <row r="782" ht="15.75" customHeight="1">
      <c r="A782" s="19" t="n"/>
    </row>
    <row r="783" ht="15.75" customHeight="1">
      <c r="A783" s="19" t="n"/>
    </row>
    <row r="784" ht="15.75" customHeight="1">
      <c r="A784" s="19" t="n"/>
    </row>
    <row r="785" ht="15.75" customHeight="1">
      <c r="A785" s="19" t="n"/>
    </row>
    <row r="786" ht="15.75" customHeight="1">
      <c r="A786" s="19" t="n"/>
    </row>
    <row r="787" ht="15.75" customHeight="1">
      <c r="A787" s="19" t="n"/>
    </row>
    <row r="788" ht="15.75" customHeight="1">
      <c r="A788" s="19" t="n"/>
    </row>
    <row r="789" ht="15.75" customHeight="1">
      <c r="A789" s="19" t="n"/>
    </row>
    <row r="790" ht="15.75" customHeight="1">
      <c r="A790" s="19" t="n"/>
    </row>
    <row r="791" ht="15.75" customHeight="1">
      <c r="A791" s="19" t="n"/>
    </row>
    <row r="792" ht="15.75" customHeight="1">
      <c r="A792" s="19" t="n"/>
    </row>
    <row r="793" ht="15.75" customHeight="1">
      <c r="A793" s="19" t="n"/>
    </row>
    <row r="794" ht="15.75" customHeight="1">
      <c r="A794" s="19" t="n"/>
    </row>
    <row r="795" ht="15.75" customHeight="1">
      <c r="A795" s="19" t="n"/>
    </row>
    <row r="796" ht="15.75" customHeight="1">
      <c r="A796" s="19" t="n"/>
    </row>
    <row r="797" ht="15.75" customHeight="1">
      <c r="A797" s="19" t="n"/>
    </row>
    <row r="798" ht="15.75" customHeight="1">
      <c r="A798" s="19" t="n"/>
    </row>
    <row r="799" ht="15.75" customHeight="1">
      <c r="A799" s="19" t="n"/>
    </row>
    <row r="800" ht="15.75" customHeight="1">
      <c r="A800" s="19" t="n"/>
    </row>
    <row r="801" ht="15.75" customHeight="1">
      <c r="A801" s="19" t="n"/>
    </row>
    <row r="802" ht="15.75" customHeight="1">
      <c r="A802" s="19" t="n"/>
    </row>
    <row r="803" ht="15.75" customHeight="1">
      <c r="A803" s="19" t="n"/>
    </row>
    <row r="804" ht="15.75" customHeight="1">
      <c r="A804" s="19" t="n"/>
    </row>
    <row r="805" ht="15.75" customHeight="1">
      <c r="A805" s="19" t="n"/>
    </row>
    <row r="806" ht="15.75" customHeight="1">
      <c r="A806" s="19" t="n"/>
    </row>
    <row r="807" ht="15.75" customHeight="1">
      <c r="A807" s="19" t="n"/>
    </row>
    <row r="808" ht="15.75" customHeight="1">
      <c r="A808" s="19" t="n"/>
    </row>
    <row r="809" ht="15.75" customHeight="1">
      <c r="A809" s="19" t="n"/>
    </row>
    <row r="810" ht="15.75" customHeight="1">
      <c r="A810" s="19" t="n"/>
    </row>
    <row r="811" ht="15.75" customHeight="1">
      <c r="A811" s="19" t="n"/>
    </row>
    <row r="812" ht="15.75" customHeight="1">
      <c r="A812" s="19" t="n"/>
    </row>
    <row r="813" ht="15.75" customHeight="1">
      <c r="A813" s="19" t="n"/>
    </row>
    <row r="814" ht="15.75" customHeight="1">
      <c r="A814" s="19" t="n"/>
    </row>
    <row r="815" ht="15.75" customHeight="1">
      <c r="A815" s="19" t="n"/>
    </row>
    <row r="816" ht="15.75" customHeight="1">
      <c r="A816" s="19" t="n"/>
    </row>
    <row r="817" ht="15.75" customHeight="1">
      <c r="A817" s="19" t="n"/>
    </row>
    <row r="818" ht="15.75" customHeight="1">
      <c r="A818" s="19" t="n"/>
    </row>
    <row r="819" ht="15.75" customHeight="1">
      <c r="A819" s="19" t="n"/>
    </row>
    <row r="820" ht="15.75" customHeight="1">
      <c r="A820" s="19" t="n"/>
    </row>
    <row r="821" ht="15.75" customHeight="1">
      <c r="A821" s="19" t="n"/>
    </row>
    <row r="822" ht="15.75" customHeight="1">
      <c r="A822" s="19" t="n"/>
    </row>
    <row r="823" ht="15.75" customHeight="1">
      <c r="A823" s="19" t="n"/>
    </row>
    <row r="824" ht="15.75" customHeight="1">
      <c r="A824" s="19" t="n"/>
    </row>
    <row r="825" ht="15.75" customHeight="1">
      <c r="A825" s="19" t="n"/>
    </row>
    <row r="826" ht="15.75" customHeight="1">
      <c r="A826" s="19" t="n"/>
    </row>
    <row r="827" ht="15.75" customHeight="1">
      <c r="A827" s="19" t="n"/>
    </row>
    <row r="828" ht="15.75" customHeight="1">
      <c r="A828" s="19" t="n"/>
    </row>
    <row r="829" ht="15.75" customHeight="1">
      <c r="A829" s="19" t="n"/>
    </row>
    <row r="830" ht="15.75" customHeight="1">
      <c r="A830" s="19" t="n"/>
    </row>
    <row r="831" ht="15.75" customHeight="1">
      <c r="A831" s="19" t="n"/>
    </row>
    <row r="832" ht="15.75" customHeight="1">
      <c r="A832" s="19" t="n"/>
    </row>
    <row r="833" ht="15.75" customHeight="1">
      <c r="A833" s="19" t="n"/>
    </row>
    <row r="834" ht="15.75" customHeight="1">
      <c r="A834" s="19" t="n"/>
    </row>
    <row r="835" ht="15.75" customHeight="1">
      <c r="A835" s="19" t="n"/>
    </row>
    <row r="836" ht="15.75" customHeight="1">
      <c r="A836" s="19" t="n"/>
    </row>
    <row r="837" ht="15.75" customHeight="1">
      <c r="A837" s="19" t="n"/>
    </row>
    <row r="838" ht="15.75" customHeight="1">
      <c r="A838" s="19" t="n"/>
    </row>
    <row r="839" ht="15.75" customHeight="1">
      <c r="A839" s="19" t="n"/>
    </row>
    <row r="840" ht="15.75" customHeight="1">
      <c r="A840" s="19" t="n"/>
    </row>
    <row r="841" ht="15.75" customHeight="1">
      <c r="A841" s="19" t="n"/>
    </row>
    <row r="842" ht="15.75" customHeight="1">
      <c r="A842" s="19" t="n"/>
    </row>
    <row r="843" ht="15.75" customHeight="1">
      <c r="A843" s="19" t="n"/>
    </row>
    <row r="844" ht="15.75" customHeight="1">
      <c r="A844" s="19" t="n"/>
    </row>
    <row r="845" ht="15.75" customHeight="1">
      <c r="A845" s="19" t="n"/>
    </row>
    <row r="846" ht="15.75" customHeight="1">
      <c r="A846" s="19" t="n"/>
    </row>
    <row r="847" ht="15.75" customHeight="1">
      <c r="A847" s="19" t="n"/>
    </row>
    <row r="848" ht="15.75" customHeight="1">
      <c r="A848" s="19" t="n"/>
    </row>
    <row r="849" ht="15.75" customHeight="1">
      <c r="A849" s="19" t="n"/>
    </row>
    <row r="850" ht="15.75" customHeight="1">
      <c r="A850" s="19" t="n"/>
    </row>
    <row r="851" ht="15.75" customHeight="1">
      <c r="A851" s="19" t="n"/>
    </row>
    <row r="852" ht="15.75" customHeight="1">
      <c r="A852" s="19" t="n"/>
    </row>
    <row r="853" ht="15.75" customHeight="1">
      <c r="A853" s="19" t="n"/>
    </row>
    <row r="854" ht="15.75" customHeight="1">
      <c r="A854" s="19" t="n"/>
    </row>
    <row r="855" ht="15.75" customHeight="1">
      <c r="A855" s="19" t="n"/>
    </row>
    <row r="856" ht="15.75" customHeight="1">
      <c r="A856" s="19" t="n"/>
    </row>
    <row r="857" ht="15.75" customHeight="1">
      <c r="A857" s="19" t="n"/>
    </row>
    <row r="858" ht="15.75" customHeight="1">
      <c r="A858" s="19" t="n"/>
    </row>
    <row r="859" ht="15.75" customHeight="1">
      <c r="A859" s="19" t="n"/>
    </row>
    <row r="860" ht="15.75" customHeight="1">
      <c r="A860" s="19" t="n"/>
    </row>
    <row r="861" ht="15.75" customHeight="1">
      <c r="A861" s="19" t="n"/>
    </row>
    <row r="862" ht="15.75" customHeight="1">
      <c r="A862" s="19" t="n"/>
    </row>
    <row r="863" ht="15.75" customHeight="1">
      <c r="A863" s="19" t="n"/>
    </row>
    <row r="864" ht="15.75" customHeight="1">
      <c r="A864" s="19" t="n"/>
    </row>
    <row r="865" ht="15.75" customHeight="1">
      <c r="A865" s="19" t="n"/>
    </row>
    <row r="866" ht="15.75" customHeight="1">
      <c r="A866" s="19" t="n"/>
    </row>
    <row r="867" ht="15.75" customHeight="1">
      <c r="A867" s="19" t="n"/>
    </row>
    <row r="868" ht="15.75" customHeight="1">
      <c r="A868" s="19" t="n"/>
    </row>
    <row r="869" ht="15.75" customHeight="1">
      <c r="A869" s="19" t="n"/>
    </row>
    <row r="870" ht="15.75" customHeight="1">
      <c r="A870" s="19" t="n"/>
    </row>
    <row r="871" ht="15.75" customHeight="1">
      <c r="A871" s="19" t="n"/>
    </row>
    <row r="872" ht="15.75" customHeight="1">
      <c r="A872" s="19" t="n"/>
    </row>
    <row r="873" ht="15.75" customHeight="1">
      <c r="A873" s="19" t="n"/>
    </row>
    <row r="874" ht="15.75" customHeight="1">
      <c r="A874" s="19" t="n"/>
    </row>
    <row r="875" ht="15.75" customHeight="1">
      <c r="A875" s="19" t="n"/>
    </row>
    <row r="876" ht="15.75" customHeight="1">
      <c r="A876" s="19" t="n"/>
    </row>
    <row r="877" ht="15.75" customHeight="1">
      <c r="A877" s="19" t="n"/>
    </row>
    <row r="878" ht="15.75" customHeight="1">
      <c r="A878" s="19" t="n"/>
    </row>
    <row r="879" ht="15.75" customHeight="1">
      <c r="A879" s="19" t="n"/>
    </row>
    <row r="880" ht="15.75" customHeight="1">
      <c r="A880" s="19" t="n"/>
    </row>
    <row r="881" ht="15.75" customHeight="1">
      <c r="A881" s="19" t="n"/>
    </row>
    <row r="882" ht="15.75" customHeight="1">
      <c r="A882" s="19" t="n"/>
    </row>
    <row r="883" ht="15.75" customHeight="1">
      <c r="A883" s="19" t="n"/>
    </row>
    <row r="884" ht="15.75" customHeight="1">
      <c r="A884" s="19" t="n"/>
    </row>
    <row r="885" ht="15.75" customHeight="1">
      <c r="A885" s="19" t="n"/>
    </row>
    <row r="886" ht="15.75" customHeight="1">
      <c r="A886" s="19" t="n"/>
    </row>
    <row r="887" ht="15.75" customHeight="1">
      <c r="A887" s="19" t="n"/>
    </row>
    <row r="888" ht="15.75" customHeight="1">
      <c r="A888" s="19" t="n"/>
    </row>
    <row r="889" ht="15.75" customHeight="1">
      <c r="A889" s="19" t="n"/>
    </row>
    <row r="890" ht="15.75" customHeight="1">
      <c r="A890" s="19" t="n"/>
    </row>
    <row r="891" ht="15.75" customHeight="1">
      <c r="A891" s="19" t="n"/>
    </row>
    <row r="892" ht="15.75" customHeight="1">
      <c r="A892" s="19" t="n"/>
    </row>
    <row r="893" ht="15.75" customHeight="1">
      <c r="A893" s="19" t="n"/>
    </row>
    <row r="894" ht="15.75" customHeight="1">
      <c r="A894" s="19" t="n"/>
    </row>
    <row r="895" ht="15.75" customHeight="1">
      <c r="A895" s="19" t="n"/>
    </row>
    <row r="896" ht="15.75" customHeight="1">
      <c r="A896" s="19" t="n"/>
    </row>
    <row r="897" ht="15.75" customHeight="1">
      <c r="A897" s="19" t="n"/>
    </row>
    <row r="898" ht="15.75" customHeight="1">
      <c r="A898" s="19" t="n"/>
    </row>
    <row r="899" ht="15.75" customHeight="1">
      <c r="A899" s="19" t="n"/>
    </row>
    <row r="900" ht="15.75" customHeight="1">
      <c r="A900" s="19" t="n"/>
    </row>
    <row r="901" ht="15.75" customHeight="1">
      <c r="A901" s="19" t="n"/>
    </row>
    <row r="902" ht="15.75" customHeight="1">
      <c r="A902" s="19" t="n"/>
    </row>
    <row r="903" ht="15.75" customHeight="1">
      <c r="A903" s="19" t="n"/>
    </row>
    <row r="904" ht="15.75" customHeight="1">
      <c r="A904" s="19" t="n"/>
    </row>
    <row r="905" ht="15.75" customHeight="1">
      <c r="A905" s="19" t="n"/>
    </row>
    <row r="906" ht="15.75" customHeight="1">
      <c r="A906" s="19" t="n"/>
    </row>
    <row r="907" ht="15.75" customHeight="1">
      <c r="A907" s="19" t="n"/>
    </row>
    <row r="908" ht="15.75" customHeight="1">
      <c r="A908" s="19" t="n"/>
    </row>
    <row r="909" ht="15.75" customHeight="1">
      <c r="A909" s="19" t="n"/>
    </row>
    <row r="910" ht="15.75" customHeight="1">
      <c r="A910" s="19" t="n"/>
    </row>
    <row r="911" ht="15.75" customHeight="1">
      <c r="A911" s="19" t="n"/>
    </row>
    <row r="912" ht="15.75" customHeight="1">
      <c r="A912" s="19" t="n"/>
    </row>
    <row r="913" ht="15.75" customHeight="1">
      <c r="A913" s="19" t="n"/>
    </row>
    <row r="914" ht="15.75" customHeight="1">
      <c r="A914" s="19" t="n"/>
    </row>
    <row r="915" ht="15.75" customHeight="1">
      <c r="A915" s="19" t="n"/>
    </row>
    <row r="916" ht="15.75" customHeight="1">
      <c r="A916" s="19" t="n"/>
    </row>
    <row r="917" ht="15.75" customHeight="1">
      <c r="A917" s="19" t="n"/>
    </row>
    <row r="918" ht="15.75" customHeight="1">
      <c r="A918" s="19" t="n"/>
    </row>
    <row r="919" ht="15.75" customHeight="1">
      <c r="A919" s="19" t="n"/>
    </row>
    <row r="920" ht="15.75" customHeight="1">
      <c r="A920" s="19" t="n"/>
    </row>
    <row r="921" ht="15.75" customHeight="1">
      <c r="A921" s="19" t="n"/>
    </row>
    <row r="922" ht="15.75" customHeight="1">
      <c r="A922" s="19" t="n"/>
    </row>
    <row r="923" ht="15.75" customHeight="1">
      <c r="A923" s="19" t="n"/>
    </row>
    <row r="924" ht="15.75" customHeight="1">
      <c r="A924" s="19" t="n"/>
    </row>
    <row r="925" ht="15.75" customHeight="1">
      <c r="A925" s="19" t="n"/>
    </row>
    <row r="926" ht="15.75" customHeight="1">
      <c r="A926" s="19" t="n"/>
    </row>
    <row r="927" ht="15.75" customHeight="1">
      <c r="A927" s="19" t="n"/>
    </row>
    <row r="928" ht="15.75" customHeight="1">
      <c r="A928" s="19" t="n"/>
    </row>
    <row r="929" ht="15.75" customHeight="1">
      <c r="A929" s="19" t="n"/>
    </row>
    <row r="930" ht="15.75" customHeight="1">
      <c r="A930" s="19" t="n"/>
    </row>
    <row r="931" ht="15.75" customHeight="1">
      <c r="A931" s="19" t="n"/>
    </row>
    <row r="932" ht="15.75" customHeight="1">
      <c r="A932" s="19" t="n"/>
    </row>
    <row r="933" ht="15.75" customHeight="1">
      <c r="A933" s="19" t="n"/>
    </row>
    <row r="934" ht="15.75" customHeight="1">
      <c r="A934" s="19" t="n"/>
    </row>
    <row r="935" ht="15.75" customHeight="1">
      <c r="A935" s="19" t="n"/>
    </row>
    <row r="936" ht="15.75" customHeight="1">
      <c r="A936" s="19" t="n"/>
    </row>
    <row r="937" ht="15.75" customHeight="1">
      <c r="A937" s="19" t="n"/>
    </row>
    <row r="938" ht="15.75" customHeight="1">
      <c r="A938" s="19" t="n"/>
    </row>
    <row r="939" ht="15.75" customHeight="1">
      <c r="A939" s="19" t="n"/>
    </row>
    <row r="940" ht="15.75" customHeight="1">
      <c r="A940" s="19" t="n"/>
    </row>
    <row r="941" ht="15.75" customHeight="1">
      <c r="A941" s="19" t="n"/>
    </row>
    <row r="942" ht="15.75" customHeight="1">
      <c r="A942" s="19" t="n"/>
    </row>
    <row r="943" ht="15.75" customHeight="1">
      <c r="A943" s="19" t="n"/>
    </row>
    <row r="944" ht="15.75" customHeight="1">
      <c r="A944" s="19" t="n"/>
    </row>
    <row r="945" ht="15.75" customHeight="1">
      <c r="A945" s="19" t="n"/>
    </row>
    <row r="946" ht="15.75" customHeight="1">
      <c r="A946" s="19" t="n"/>
    </row>
    <row r="947" ht="15.75" customHeight="1">
      <c r="A947" s="19" t="n"/>
    </row>
    <row r="948" ht="15.75" customHeight="1">
      <c r="A948" s="19" t="n"/>
    </row>
    <row r="949" ht="15.75" customHeight="1">
      <c r="A949" s="19" t="n"/>
    </row>
    <row r="950" ht="15.75" customHeight="1">
      <c r="A950" s="19" t="n"/>
    </row>
    <row r="951" ht="15.75" customHeight="1">
      <c r="A951" s="19" t="n"/>
    </row>
    <row r="952" ht="15.75" customHeight="1">
      <c r="A952" s="19" t="n"/>
    </row>
    <row r="953" ht="15.75" customHeight="1">
      <c r="A953" s="19" t="n"/>
    </row>
    <row r="954" ht="15.75" customHeight="1">
      <c r="A954" s="19" t="n"/>
    </row>
    <row r="955" ht="15.75" customHeight="1">
      <c r="A955" s="19" t="n"/>
    </row>
    <row r="956" ht="15.75" customHeight="1">
      <c r="A956" s="19" t="n"/>
    </row>
    <row r="957" ht="15.75" customHeight="1">
      <c r="A957" s="19" t="n"/>
    </row>
    <row r="958" ht="15.75" customHeight="1">
      <c r="A958" s="19" t="n"/>
    </row>
    <row r="959" ht="15.75" customHeight="1">
      <c r="A959" s="19" t="n"/>
    </row>
    <row r="960" ht="15.75" customHeight="1">
      <c r="A960" s="19" t="n"/>
    </row>
    <row r="961" ht="15.75" customHeight="1">
      <c r="A961" s="19" t="n"/>
    </row>
    <row r="962" ht="15.75" customHeight="1">
      <c r="A962" s="19" t="n"/>
    </row>
    <row r="963" ht="15.75" customHeight="1">
      <c r="A963" s="19" t="n"/>
    </row>
    <row r="964" ht="15.75" customHeight="1">
      <c r="A964" s="19" t="n"/>
    </row>
    <row r="965" ht="15.75" customHeight="1">
      <c r="A965" s="19" t="n"/>
    </row>
    <row r="966" ht="15.75" customHeight="1">
      <c r="A966" s="19" t="n"/>
    </row>
    <row r="967" ht="15.75" customHeight="1">
      <c r="A967" s="19" t="n"/>
    </row>
    <row r="968" ht="15.75" customHeight="1">
      <c r="A968" s="19" t="n"/>
    </row>
    <row r="969" ht="15.75" customHeight="1">
      <c r="A969" s="19" t="n"/>
    </row>
    <row r="970" ht="15.75" customHeight="1">
      <c r="A970" s="19" t="n"/>
    </row>
    <row r="971" ht="15.75" customHeight="1">
      <c r="A971" s="19" t="n"/>
    </row>
    <row r="972" ht="15.75" customHeight="1">
      <c r="A972" s="19" t="n"/>
    </row>
    <row r="973" ht="15.75" customHeight="1">
      <c r="A973" s="19" t="n"/>
    </row>
    <row r="974" ht="15.75" customHeight="1">
      <c r="A974" s="19" t="n"/>
    </row>
    <row r="975" ht="15.75" customHeight="1">
      <c r="A975" s="19" t="n"/>
    </row>
    <row r="976" ht="15.75" customHeight="1">
      <c r="A976" s="19" t="n"/>
    </row>
    <row r="977" ht="15.75" customHeight="1">
      <c r="A977" s="19" t="n"/>
    </row>
    <row r="978" ht="15.75" customHeight="1">
      <c r="A978" s="19" t="n"/>
    </row>
    <row r="979" ht="15.75" customHeight="1">
      <c r="A979" s="19" t="n"/>
    </row>
    <row r="980" ht="15.75" customHeight="1">
      <c r="A980" s="19" t="n"/>
    </row>
    <row r="981" ht="15.75" customHeight="1">
      <c r="A981" s="19" t="n"/>
    </row>
    <row r="982" ht="15.75" customHeight="1">
      <c r="A982" s="19" t="n"/>
    </row>
    <row r="983" ht="15.75" customHeight="1">
      <c r="A983" s="19" t="n"/>
    </row>
    <row r="984" ht="15.75" customHeight="1">
      <c r="A984" s="19" t="n"/>
    </row>
    <row r="985" ht="15.75" customHeight="1">
      <c r="A985" s="19" t="n"/>
    </row>
    <row r="986" ht="15.75" customHeight="1">
      <c r="A986" s="19" t="n"/>
    </row>
    <row r="987" ht="15.75" customHeight="1">
      <c r="A987" s="19" t="n"/>
    </row>
    <row r="988" ht="15.75" customHeight="1">
      <c r="A988" s="19" t="n"/>
    </row>
    <row r="989" ht="15.75" customHeight="1">
      <c r="A989" s="19" t="n"/>
    </row>
    <row r="990" ht="15.75" customHeight="1">
      <c r="A990" s="19" t="n"/>
    </row>
    <row r="991" ht="15.75" customHeight="1">
      <c r="A991" s="19" t="n"/>
    </row>
    <row r="992" ht="15.75" customHeight="1">
      <c r="A992" s="19" t="n"/>
    </row>
    <row r="993" ht="15.75" customHeight="1">
      <c r="A993" s="19" t="n"/>
    </row>
    <row r="994" ht="15.75" customHeight="1">
      <c r="A994" s="19" t="n"/>
    </row>
    <row r="995" ht="15.75" customHeight="1">
      <c r="A995" s="19" t="n"/>
    </row>
    <row r="996" ht="15.75" customHeight="1">
      <c r="A996" s="19" t="n"/>
    </row>
    <row r="997" ht="15.75" customHeight="1">
      <c r="A997" s="19" t="n"/>
    </row>
    <row r="998" ht="15.75" customHeight="1">
      <c r="A998" s="19" t="n"/>
    </row>
    <row r="999" ht="15.75" customHeight="1">
      <c r="A999" s="19" t="n"/>
    </row>
    <row r="1000" ht="15.75" customHeight="1">
      <c r="A1000" s="19" t="n"/>
    </row>
  </sheetData>
  <pageMargins left="0.511811024" right="0.511811024" top="0.787401575" bottom="0.7874015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Caio</dc:creator>
  <dcterms:created xmlns:dcterms="http://purl.org/dc/terms/" xmlns:xsi="http://www.w3.org/2001/XMLSchema-instance" xsi:type="dcterms:W3CDTF">2021-01-07T16:51:37Z</dcterms:created>
  <dcterms:modified xmlns:dcterms="http://purl.org/dc/terms/" xmlns:xsi="http://www.w3.org/2001/XMLSchema-instance" xsi:type="dcterms:W3CDTF">2026-07-29T18:01:50Z</dcterms:modified>
  <cp:lastModifiedBy>Jack Rodriguez</cp:lastModifiedBy>
</cp:coreProperties>
</file>